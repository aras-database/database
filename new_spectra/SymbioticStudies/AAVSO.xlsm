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bookViews>
    <workbookView xWindow="0" yWindow="0" windowWidth="24000" windowHeight="9735" tabRatio="742"/>
  </bookViews>
  <sheets>
    <sheet name="Index" sheetId="2" r:id="rId1"/>
    <sheet name="Export" sheetId="52" r:id="rId2"/>
    <sheet name="AGDra" sheetId="1" r:id="rId3"/>
    <sheet name="AGPeg" sheetId="8" r:id="rId4"/>
    <sheet name="AS270" sheetId="19" r:id="rId5"/>
    <sheet name="AS289" sheetId="18" r:id="rId6"/>
    <sheet name="AXPer" sheetId="35" r:id="rId7"/>
    <sheet name="BDCam" sheetId="36" r:id="rId8"/>
    <sheet name="BFCyg" sheetId="9" r:id="rId9"/>
    <sheet name="BXMon" sheetId="46" r:id="rId10"/>
    <sheet name="CICyg" sheetId="4" r:id="rId11"/>
    <sheet name="CHCyg" sheetId="3" r:id="rId12"/>
    <sheet name="CQDra" sheetId="39" r:id="rId13"/>
    <sheet name="EGAnd" sheetId="34" r:id="rId14"/>
    <sheet name="ERDel" sheetId="27" r:id="rId15"/>
    <sheet name="FNSgr" sheetId="21" r:id="rId16"/>
    <sheet name="FGSer" sheetId="20" r:id="rId17"/>
    <sheet name="GHGem" sheetId="49" r:id="rId18"/>
    <sheet name="HMSge" sheetId="23" r:id="rId19"/>
    <sheet name="IVVir" sheetId="41" r:id="rId20"/>
    <sheet name="LTDel" sheetId="26" r:id="rId21"/>
    <sheet name="NQGem" sheetId="48" r:id="rId22"/>
    <sheet name="oCet" sheetId="38" r:id="rId23"/>
    <sheet name="QWSge" sheetId="24" r:id="rId24"/>
    <sheet name="RSOph" sheetId="16" r:id="rId25"/>
    <sheet name="PUVul" sheetId="7" r:id="rId26"/>
    <sheet name="RAqr" sheetId="32" r:id="rId27"/>
    <sheet name="StHa55" sheetId="44" r:id="rId28"/>
    <sheet name="StHa149" sheetId="50" r:id="rId29"/>
    <sheet name="StHa169" sheetId="10" r:id="rId30"/>
    <sheet name="StHa190" sheetId="30" r:id="rId31"/>
    <sheet name="SULyn" sheetId="14" r:id="rId32"/>
    <sheet name="TCrB" sheetId="11" r:id="rId33"/>
    <sheet name="TXCVn" sheetId="40" r:id="rId34"/>
    <sheet name="UVAur" sheetId="42" r:id="rId35"/>
    <sheet name="V335Vul" sheetId="5" r:id="rId36"/>
    <sheet name="V407Cyg" sheetId="29" r:id="rId37"/>
    <sheet name="V443Her" sheetId="12" r:id="rId38"/>
    <sheet name="V471Per" sheetId="37" r:id="rId39"/>
    <sheet name="V503Her" sheetId="15" r:id="rId40"/>
    <sheet name="V627Cas" sheetId="31" r:id="rId41"/>
    <sheet name="V694Mon" sheetId="47" r:id="rId42"/>
    <sheet name="V919Sgr" sheetId="22" r:id="rId43"/>
    <sheet name="V934Her" sheetId="17" r:id="rId44"/>
    <sheet name="V1016Cyg" sheetId="25" r:id="rId45"/>
    <sheet name="V1261Ori" sheetId="43" r:id="rId46"/>
    <sheet name="V1329Cyg" sheetId="28" r:id="rId47"/>
    <sheet name="V1413Aql" sheetId="6" r:id="rId48"/>
    <sheet name="YYHer" sheetId="13" r:id="rId49"/>
    <sheet name="ZAnd" sheetId="33" r:id="rId50"/>
    <sheet name="ZZCMi" sheetId="45" r:id="rId51"/>
  </sheets>
  <externalReferences>
    <externalReference r:id="rId52"/>
  </externalReferences>
  <definedNames>
    <definedName name="_?star_ag_dra_num_results_10000_obs_types_ccd" localSheetId="2">AGDra!$A$1:$K$617</definedName>
    <definedName name="_?star_ag_peg_num_results_25_obs_types_ccd" localSheetId="3">AGPeg!$A$1:$K$92</definedName>
    <definedName name="_?star_as_270_num_results_25_obs_types_ccd" localSheetId="4">'AS270'!$A$1:$K$92</definedName>
    <definedName name="_?star_as_289_num_results_25_obs_types_ccd" localSheetId="5">'AS289'!$A$1:$K$55</definedName>
    <definedName name="_?star_ax_per_num_results_25_obs_types_ccd_1" localSheetId="6">AXPer!$A$1:$K$92</definedName>
    <definedName name="_?star_bd_cam_num_results_25_obs_types_ccd" localSheetId="7">BDCam!$A$1:$K$19</definedName>
    <definedName name="_?star_bf_cyg_num_results_25_obs_types_ccd" localSheetId="8">BFCyg!$A$1:$K$92</definedName>
    <definedName name="_?star_bx_mon_num_results_25_obs_types_ccd" localSheetId="9">BXMon!$A$1:$K$92</definedName>
    <definedName name="_?star_ch_cyg_num_results_25_obs_types_ccd" localSheetId="11">CHCyg!$A$1:$K$92</definedName>
    <definedName name="_?star_ci_cyg_num_results_25_obs_types_ccd" localSheetId="10">CICyg!$A$1:$K$92</definedName>
    <definedName name="_?star_cq_dra_num_results_25_obs_types_ccd" localSheetId="12">CQDra!$A$1:$A$10</definedName>
    <definedName name="_?star_eg_and_num_results_25_obs_types_ccd" localSheetId="13">EGAnd!$A$1:$K$92</definedName>
    <definedName name="_?star_er_del_num_results_25_obs_types_ccd" localSheetId="14">ERDel!$A$1:$K$92</definedName>
    <definedName name="_?star_fg_ser_num_results_25_obs_types_ccd" localSheetId="16">FGSer!$A$1:$K$92</definedName>
    <definedName name="_?star_fn_sgr_num_results_25_obs_types_ccd" localSheetId="15">FNSgr!$A$1:$K$92</definedName>
    <definedName name="_?star_gh_gem_num_results_25_obs_types_ccd" localSheetId="17">GHGem!$A$1:$K$92</definedName>
    <definedName name="_?star_hm_sge_num_results_25_obs_types_ccd" localSheetId="18">HMSge!$A$1:$K$92</definedName>
    <definedName name="_?star_iv_vir_num_results_25_obs_types_ccd" localSheetId="19">IVVir!$A$1:$A$10</definedName>
    <definedName name="_?star_lt_del_num_results_25_obs_types_ccd" localSheetId="20">LTDel!$A$1:$K$92</definedName>
    <definedName name="_?star_nq_gem_num_results_25_obs_types_ccd" localSheetId="21">NQGem!$A$1:$K$92</definedName>
    <definedName name="_?star_omi_cet_num_results_25_obs_types_ccd" localSheetId="22">oCet!$A$1:$K$92</definedName>
    <definedName name="_?star_pu_vul_num_results_25_obs_types_ccd" localSheetId="25">PUVul!$A$1:$K$92</definedName>
    <definedName name="_?star_qw_sge_num_results_25_obs_types_ccd" localSheetId="23">QWSge!$A$1:$K$92</definedName>
    <definedName name="_?star_r_aqr_num_results_25_obs_types_ccd" localSheetId="26">RAqr!$A$1:$K$92</definedName>
    <definedName name="_?star_rs_oph_num_results_25_obs_types_ccd" localSheetId="24">RSOph!$A$1:$K$92</definedName>
    <definedName name="_?star_stha_149_num_results_25_obs_types_ccd" localSheetId="28">StHa149!$A$1:$K$92</definedName>
    <definedName name="_?star_stha_169_num_results_25_obs_types_ccd" localSheetId="29">StHa169!$A$1:$K$92</definedName>
    <definedName name="_?star_stha_190_num_results_25_obs_types_ccd" localSheetId="30">StHa190!$A$1:$K$28</definedName>
    <definedName name="_?star_stha_55_num_results_25_obs_types_ccd" localSheetId="27">StHa55!$A$1:$A$12</definedName>
    <definedName name="_?star_su_lyn_num_results_25_obs_types_ccd" localSheetId="31">SULyn!$A$1:$K$40</definedName>
    <definedName name="_?star_t_crb_num_results_25_obs_types_ccd" localSheetId="32">TCrB!$A$1:$K$92</definedName>
    <definedName name="_?star_tx_cvn_num_results_25_obs_types_ccd" localSheetId="33">TXCVn!$A$1:$K$92</definedName>
    <definedName name="_?star_uv_aur_num_results_25_obs_types_ccd" localSheetId="34">UVAur!$A$1:$K$92</definedName>
    <definedName name="_?star_v1016_cyg_num_results_25_obs_types_ccd" localSheetId="44">V1016Cyg!$A$1:$K$92</definedName>
    <definedName name="_?star_v1261_ori_num_results_25_obs_types_ccd" localSheetId="45">V1261Ori!$A$1:$K$92</definedName>
    <definedName name="_?star_v1329_cyg_num_results_25_obs_types_ccd" localSheetId="46">V1329Cyg!$A$1:$K$92</definedName>
    <definedName name="_?star_v1413_aql_num_results_25_obs_types_ccd" localSheetId="47">V1413Aql!$A$1:$K$92</definedName>
    <definedName name="_?star_v335_vul_num_results_25_obs_types_ccd" localSheetId="35">V335Vul!$A$1:$K$92</definedName>
    <definedName name="_?star_v407_cyg_num_results_25_obs_types_ccd" localSheetId="36">V407Cyg!$A$1:$K$92</definedName>
    <definedName name="_?star_v443_her_num_results_25_obs_types_ccd" localSheetId="37">V443Her!$A$1:$K$92</definedName>
    <definedName name="_?star_v471_per_num_results_25_obs_types_ccd" localSheetId="38">V471Per!$A$1:$K$92</definedName>
    <definedName name="_?star_v503_her_num_results_25_obs_types_ccd" localSheetId="39">V503Her!$A$1:$K$92</definedName>
    <definedName name="_?star_v627_cas_num_results_25_obs_types_ccd" localSheetId="40">V627Cas!$A$1:$K$92</definedName>
    <definedName name="_?star_v694_mon_num_results_25_obs_types_ccd" localSheetId="41">V694Mon!$A$1:$K$92</definedName>
    <definedName name="_?star_v919_sgr_num_results_25_obs_types_ccd" localSheetId="42">V919Sgr!$A$1:$K$92</definedName>
    <definedName name="_?star_v934_her_num_results_25_obs_types_ccd" localSheetId="43">V934Her!$A$1:$K$22</definedName>
    <definedName name="_?star_yy_her_num_results_25_obs_types_ccd" localSheetId="48">YYHer!$A$1:$K$92</definedName>
    <definedName name="_?star_z_and_num_results_25_obs_types_ccd" localSheetId="49">ZAnd!$A$1:$K$92</definedName>
    <definedName name="_?star_zz_cmi_num_results_25_obs_types_ccd" localSheetId="50">ZZCMi!$A$1:$K$73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52" l="1"/>
  <c r="I8" i="52"/>
  <c r="I9" i="52"/>
  <c r="I10" i="52"/>
  <c r="I11" i="52"/>
  <c r="I12" i="52"/>
  <c r="I13" i="52"/>
  <c r="I14" i="52"/>
  <c r="I15" i="52"/>
  <c r="I16" i="52"/>
  <c r="I17" i="52"/>
  <c r="I18" i="52"/>
  <c r="I19" i="52"/>
  <c r="I20" i="52"/>
  <c r="I21" i="52"/>
  <c r="I22" i="52"/>
  <c r="I23" i="52"/>
  <c r="I24" i="52"/>
  <c r="I25" i="52"/>
  <c r="I26" i="52"/>
  <c r="I27" i="52"/>
  <c r="I28" i="52"/>
  <c r="I29" i="52"/>
  <c r="I30" i="52"/>
  <c r="I31" i="52"/>
  <c r="I32" i="52"/>
  <c r="I33" i="52"/>
  <c r="I34" i="52"/>
  <c r="I35" i="52"/>
  <c r="I36" i="52"/>
  <c r="I37" i="52"/>
  <c r="I38" i="52"/>
  <c r="I39" i="52"/>
  <c r="I40" i="52"/>
  <c r="I41" i="52"/>
  <c r="I42" i="52"/>
  <c r="I43" i="52"/>
  <c r="I44" i="52"/>
  <c r="I45" i="52"/>
  <c r="I46" i="52"/>
  <c r="I47" i="52"/>
  <c r="I48" i="52"/>
  <c r="I49" i="52"/>
  <c r="I50" i="52"/>
  <c r="I51" i="52"/>
  <c r="I52" i="52"/>
  <c r="I53" i="52"/>
  <c r="I54" i="52"/>
  <c r="I6" i="52"/>
  <c r="B7" i="52"/>
  <c r="C7" i="52"/>
  <c r="D7" i="52"/>
  <c r="E7" i="52"/>
  <c r="F7" i="52"/>
  <c r="G7" i="52"/>
  <c r="H7" i="52"/>
  <c r="J7" i="52"/>
  <c r="B8" i="52"/>
  <c r="C8" i="52"/>
  <c r="D8" i="52"/>
  <c r="E8" i="52"/>
  <c r="F8" i="52"/>
  <c r="G8" i="52"/>
  <c r="H8" i="52"/>
  <c r="J8" i="52"/>
  <c r="B9" i="52"/>
  <c r="C9" i="52"/>
  <c r="D9" i="52"/>
  <c r="E9" i="52"/>
  <c r="F9" i="52"/>
  <c r="G9" i="52"/>
  <c r="H9" i="52"/>
  <c r="J9" i="52"/>
  <c r="B10" i="52"/>
  <c r="C10" i="52"/>
  <c r="D10" i="52"/>
  <c r="E10" i="52"/>
  <c r="F10" i="52"/>
  <c r="G10" i="52"/>
  <c r="H10" i="52"/>
  <c r="J10" i="52"/>
  <c r="B11" i="52"/>
  <c r="C11" i="52"/>
  <c r="D11" i="52"/>
  <c r="E11" i="52"/>
  <c r="F11" i="52"/>
  <c r="G11" i="52"/>
  <c r="H11" i="52"/>
  <c r="J11" i="52"/>
  <c r="B12" i="52"/>
  <c r="C12" i="52"/>
  <c r="D12" i="52"/>
  <c r="E12" i="52"/>
  <c r="F12" i="52"/>
  <c r="G12" i="52"/>
  <c r="H12" i="52"/>
  <c r="J12" i="52"/>
  <c r="B13" i="52"/>
  <c r="C13" i="52"/>
  <c r="D13" i="52"/>
  <c r="E13" i="52"/>
  <c r="F13" i="52"/>
  <c r="B14" i="52"/>
  <c r="C14" i="52"/>
  <c r="D14" i="52"/>
  <c r="E14" i="52"/>
  <c r="F14" i="52"/>
  <c r="G14" i="52"/>
  <c r="H14" i="52"/>
  <c r="J14" i="52"/>
  <c r="B15" i="52"/>
  <c r="C15" i="52"/>
  <c r="D15" i="52"/>
  <c r="E15" i="52"/>
  <c r="F15" i="52"/>
  <c r="G15" i="52"/>
  <c r="H15" i="52"/>
  <c r="J15" i="52"/>
  <c r="B16" i="52"/>
  <c r="C16" i="52"/>
  <c r="D16" i="52"/>
  <c r="E16" i="52"/>
  <c r="F16" i="52"/>
  <c r="G16" i="52"/>
  <c r="H16" i="52"/>
  <c r="J16" i="52"/>
  <c r="B17" i="52"/>
  <c r="C17" i="52"/>
  <c r="D17" i="52"/>
  <c r="E17" i="52"/>
  <c r="F17" i="52"/>
  <c r="G17" i="52"/>
  <c r="H17" i="52"/>
  <c r="J17" i="52"/>
  <c r="B18" i="52"/>
  <c r="C18" i="52"/>
  <c r="D18" i="52"/>
  <c r="E18" i="52"/>
  <c r="F18" i="52"/>
  <c r="G18" i="52"/>
  <c r="H18" i="52"/>
  <c r="J18" i="52"/>
  <c r="B19" i="52"/>
  <c r="C19" i="52"/>
  <c r="D19" i="52"/>
  <c r="E19" i="52"/>
  <c r="F19" i="52"/>
  <c r="B20" i="52"/>
  <c r="C20" i="52"/>
  <c r="D20" i="52"/>
  <c r="E20" i="52"/>
  <c r="F20" i="52"/>
  <c r="G20" i="52"/>
  <c r="H20" i="52"/>
  <c r="J20" i="52"/>
  <c r="B21" i="52"/>
  <c r="C21" i="52"/>
  <c r="D21" i="52"/>
  <c r="E21" i="52"/>
  <c r="F21" i="52"/>
  <c r="B22" i="52"/>
  <c r="C22" i="52"/>
  <c r="D22" i="52"/>
  <c r="E22" i="52"/>
  <c r="F22" i="52"/>
  <c r="G22" i="52"/>
  <c r="H22" i="52"/>
  <c r="J22" i="52"/>
  <c r="B23" i="52"/>
  <c r="C23" i="52"/>
  <c r="D23" i="52"/>
  <c r="E23" i="52"/>
  <c r="F23" i="52"/>
  <c r="G23" i="52"/>
  <c r="H23" i="52"/>
  <c r="J23" i="52"/>
  <c r="B24" i="52"/>
  <c r="C24" i="52"/>
  <c r="D24" i="52"/>
  <c r="E24" i="52"/>
  <c r="F24" i="52"/>
  <c r="G24" i="52"/>
  <c r="H24" i="52"/>
  <c r="J24" i="52"/>
  <c r="B25" i="52"/>
  <c r="C25" i="52"/>
  <c r="D25" i="52"/>
  <c r="E25" i="52"/>
  <c r="F25" i="52"/>
  <c r="G25" i="52"/>
  <c r="H25" i="52"/>
  <c r="J25" i="52"/>
  <c r="B26" i="52"/>
  <c r="C26" i="52"/>
  <c r="D26" i="52"/>
  <c r="E26" i="52"/>
  <c r="F26" i="52"/>
  <c r="G26" i="52"/>
  <c r="H26" i="52"/>
  <c r="J26" i="52"/>
  <c r="B27" i="52"/>
  <c r="C27" i="52"/>
  <c r="D27" i="52"/>
  <c r="E27" i="52"/>
  <c r="F27" i="52"/>
  <c r="G27" i="52"/>
  <c r="H27" i="52"/>
  <c r="J27" i="52"/>
  <c r="B28" i="52"/>
  <c r="C28" i="52"/>
  <c r="D28" i="52"/>
  <c r="E28" i="52"/>
  <c r="F28" i="52"/>
  <c r="G28" i="52"/>
  <c r="H28" i="52"/>
  <c r="J28" i="52"/>
  <c r="B29" i="52"/>
  <c r="C29" i="52"/>
  <c r="D29" i="52"/>
  <c r="E29" i="52"/>
  <c r="F29" i="52"/>
  <c r="G29" i="52"/>
  <c r="H29" i="52"/>
  <c r="J29" i="52"/>
  <c r="B30" i="52"/>
  <c r="C30" i="52"/>
  <c r="D30" i="52"/>
  <c r="E30" i="52"/>
  <c r="F30" i="52"/>
  <c r="G30" i="52"/>
  <c r="H30" i="52"/>
  <c r="J30" i="52"/>
  <c r="B31" i="52"/>
  <c r="C31" i="52"/>
  <c r="D31" i="52"/>
  <c r="E31" i="52"/>
  <c r="F31" i="52"/>
  <c r="G31" i="52"/>
  <c r="H31" i="52"/>
  <c r="J31" i="52"/>
  <c r="B32" i="52"/>
  <c r="C32" i="52"/>
  <c r="D32" i="52"/>
  <c r="E32" i="52"/>
  <c r="F32" i="52"/>
  <c r="G32" i="52"/>
  <c r="H32" i="52"/>
  <c r="J32" i="52"/>
  <c r="B33" i="52"/>
  <c r="C33" i="52"/>
  <c r="D33" i="52"/>
  <c r="E33" i="52"/>
  <c r="F33" i="52"/>
  <c r="G33" i="52"/>
  <c r="H33" i="52"/>
  <c r="J33" i="52"/>
  <c r="B34" i="52"/>
  <c r="C34" i="52"/>
  <c r="D34" i="52"/>
  <c r="E34" i="52"/>
  <c r="F34" i="52"/>
  <c r="G34" i="52"/>
  <c r="H34" i="52"/>
  <c r="J34" i="52"/>
  <c r="B35" i="52"/>
  <c r="C35" i="52"/>
  <c r="D35" i="52"/>
  <c r="E35" i="52"/>
  <c r="F35" i="52"/>
  <c r="G35" i="52"/>
  <c r="H35" i="52"/>
  <c r="J35" i="52"/>
  <c r="B36" i="52"/>
  <c r="C36" i="52"/>
  <c r="D36" i="52"/>
  <c r="E36" i="52"/>
  <c r="F36" i="52"/>
  <c r="G36" i="52"/>
  <c r="H36" i="52"/>
  <c r="J36" i="52"/>
  <c r="B37" i="52"/>
  <c r="C37" i="52"/>
  <c r="D37" i="52"/>
  <c r="E37" i="52"/>
  <c r="F37" i="52"/>
  <c r="G37" i="52"/>
  <c r="H37" i="52"/>
  <c r="J37" i="52"/>
  <c r="B38" i="52"/>
  <c r="C38" i="52"/>
  <c r="D38" i="52"/>
  <c r="E38" i="52"/>
  <c r="F38" i="52"/>
  <c r="G38" i="52"/>
  <c r="H38" i="52"/>
  <c r="J38" i="52"/>
  <c r="B39" i="52"/>
  <c r="C39" i="52"/>
  <c r="D39" i="52"/>
  <c r="E39" i="52"/>
  <c r="F39" i="52"/>
  <c r="G39" i="52"/>
  <c r="H39" i="52"/>
  <c r="J39" i="52"/>
  <c r="B40" i="52"/>
  <c r="C40" i="52"/>
  <c r="D40" i="52"/>
  <c r="E40" i="52"/>
  <c r="F40" i="52"/>
  <c r="G40" i="52"/>
  <c r="H40" i="52"/>
  <c r="J40" i="52"/>
  <c r="B41" i="52"/>
  <c r="C41" i="52"/>
  <c r="D41" i="52"/>
  <c r="E41" i="52"/>
  <c r="F41" i="52"/>
  <c r="G41" i="52"/>
  <c r="H41" i="52"/>
  <c r="J41" i="52"/>
  <c r="B42" i="52"/>
  <c r="C42" i="52"/>
  <c r="D42" i="52"/>
  <c r="E42" i="52"/>
  <c r="F42" i="52"/>
  <c r="G42" i="52"/>
  <c r="H42" i="52"/>
  <c r="J42" i="52"/>
  <c r="B43" i="52"/>
  <c r="C43" i="52"/>
  <c r="D43" i="52"/>
  <c r="E43" i="52"/>
  <c r="F43" i="52"/>
  <c r="G43" i="52"/>
  <c r="H43" i="52"/>
  <c r="J43" i="52"/>
  <c r="B44" i="52"/>
  <c r="C44" i="52"/>
  <c r="D44" i="52"/>
  <c r="E44" i="52"/>
  <c r="F44" i="52"/>
  <c r="G44" i="52"/>
  <c r="H44" i="52"/>
  <c r="J44" i="52"/>
  <c r="B45" i="52"/>
  <c r="C45" i="52"/>
  <c r="D45" i="52"/>
  <c r="E45" i="52"/>
  <c r="F45" i="52"/>
  <c r="G45" i="52"/>
  <c r="H45" i="52"/>
  <c r="J45" i="52"/>
  <c r="B46" i="52"/>
  <c r="C46" i="52"/>
  <c r="D46" i="52"/>
  <c r="E46" i="52"/>
  <c r="F46" i="52"/>
  <c r="G46" i="52"/>
  <c r="H46" i="52"/>
  <c r="J46" i="52"/>
  <c r="B47" i="52"/>
  <c r="C47" i="52"/>
  <c r="D47" i="52"/>
  <c r="E47" i="52"/>
  <c r="F47" i="52"/>
  <c r="G47" i="52"/>
  <c r="H47" i="52"/>
  <c r="J47" i="52"/>
  <c r="B48" i="52"/>
  <c r="C48" i="52"/>
  <c r="D48" i="52"/>
  <c r="E48" i="52"/>
  <c r="F48" i="52"/>
  <c r="G48" i="52"/>
  <c r="H48" i="52"/>
  <c r="J48" i="52"/>
  <c r="B49" i="52"/>
  <c r="C49" i="52"/>
  <c r="D49" i="52"/>
  <c r="E49" i="52"/>
  <c r="F49" i="52"/>
  <c r="G49" i="52"/>
  <c r="H49" i="52"/>
  <c r="J49" i="52"/>
  <c r="B50" i="52"/>
  <c r="C50" i="52"/>
  <c r="D50" i="52"/>
  <c r="E50" i="52"/>
  <c r="F50" i="52"/>
  <c r="G50" i="52"/>
  <c r="H50" i="52"/>
  <c r="J50" i="52"/>
  <c r="B51" i="52"/>
  <c r="C51" i="52"/>
  <c r="D51" i="52"/>
  <c r="E51" i="52"/>
  <c r="F51" i="52"/>
  <c r="G51" i="52"/>
  <c r="H51" i="52"/>
  <c r="J51" i="52"/>
  <c r="B52" i="52"/>
  <c r="C52" i="52"/>
  <c r="D52" i="52"/>
  <c r="E52" i="52"/>
  <c r="F52" i="52"/>
  <c r="G52" i="52"/>
  <c r="H52" i="52"/>
  <c r="J52" i="52"/>
  <c r="B53" i="52"/>
  <c r="C53" i="52"/>
  <c r="D53" i="52"/>
  <c r="E53" i="52"/>
  <c r="F53" i="52"/>
  <c r="G53" i="52"/>
  <c r="H53" i="52"/>
  <c r="J53" i="52"/>
  <c r="B54" i="52"/>
  <c r="C54" i="52"/>
  <c r="D54" i="52"/>
  <c r="E54" i="52"/>
  <c r="F54" i="52"/>
  <c r="G54" i="52"/>
  <c r="H54" i="52"/>
  <c r="J54" i="52"/>
  <c r="C6" i="52"/>
  <c r="D6" i="52"/>
  <c r="E6" i="52"/>
  <c r="F6" i="52"/>
  <c r="G6" i="52"/>
  <c r="H6" i="52"/>
  <c r="J6" i="52"/>
  <c r="B6" i="52"/>
  <c r="B3" i="52"/>
  <c r="J2" i="52"/>
  <c r="N2" i="52" s="1"/>
  <c r="O2" i="52" l="1"/>
  <c r="P2" i="52" s="1"/>
  <c r="Q26" i="50" l="1"/>
  <c r="P26" i="50"/>
  <c r="O26" i="50"/>
  <c r="N26" i="50"/>
  <c r="M26" i="50"/>
  <c r="Q25" i="50"/>
  <c r="P25" i="50"/>
  <c r="O25" i="50"/>
  <c r="N25" i="50"/>
  <c r="M25" i="50"/>
  <c r="Q24" i="50"/>
  <c r="P24" i="50"/>
  <c r="O24" i="50"/>
  <c r="N24" i="50"/>
  <c r="M24" i="50"/>
  <c r="Q23" i="50"/>
  <c r="P23" i="50"/>
  <c r="O23" i="50"/>
  <c r="N23" i="50"/>
  <c r="M23" i="50"/>
  <c r="Q22" i="50"/>
  <c r="P22" i="50"/>
  <c r="O22" i="50"/>
  <c r="N22" i="50"/>
  <c r="M22" i="50"/>
  <c r="Q21" i="50"/>
  <c r="P21" i="50"/>
  <c r="O21" i="50"/>
  <c r="N21" i="50"/>
  <c r="M21" i="50"/>
  <c r="Q20" i="50"/>
  <c r="P20" i="50"/>
  <c r="O20" i="50"/>
  <c r="N20" i="50"/>
  <c r="M20" i="50"/>
  <c r="Q19" i="50"/>
  <c r="P19" i="50"/>
  <c r="O19" i="50"/>
  <c r="N19" i="50"/>
  <c r="M19" i="50"/>
  <c r="Q18" i="50"/>
  <c r="P18" i="50"/>
  <c r="O18" i="50"/>
  <c r="N18" i="50"/>
  <c r="M18" i="50"/>
  <c r="Q17" i="50"/>
  <c r="P17" i="50"/>
  <c r="O17" i="50"/>
  <c r="N17" i="50"/>
  <c r="M17" i="50"/>
  <c r="B3" i="2" l="1"/>
  <c r="J2" i="2" l="1"/>
  <c r="Q26" i="49"/>
  <c r="P26" i="49"/>
  <c r="O26" i="49"/>
  <c r="N26" i="49"/>
  <c r="M26" i="49"/>
  <c r="Q25" i="49"/>
  <c r="P25" i="49"/>
  <c r="O25" i="49"/>
  <c r="N25" i="49"/>
  <c r="M25" i="49"/>
  <c r="Q24" i="49"/>
  <c r="P24" i="49"/>
  <c r="O24" i="49"/>
  <c r="N24" i="49"/>
  <c r="M24" i="49"/>
  <c r="Q23" i="49"/>
  <c r="P23" i="49"/>
  <c r="O23" i="49"/>
  <c r="N23" i="49"/>
  <c r="M23" i="49"/>
  <c r="Q22" i="49"/>
  <c r="P22" i="49"/>
  <c r="O22" i="49"/>
  <c r="N22" i="49"/>
  <c r="M22" i="49"/>
  <c r="Q21" i="49"/>
  <c r="P21" i="49"/>
  <c r="O21" i="49"/>
  <c r="N21" i="49"/>
  <c r="M21" i="49"/>
  <c r="Q20" i="49"/>
  <c r="P20" i="49"/>
  <c r="O20" i="49"/>
  <c r="N20" i="49"/>
  <c r="M20" i="49"/>
  <c r="Q19" i="49"/>
  <c r="P19" i="49"/>
  <c r="O19" i="49"/>
  <c r="N19" i="49"/>
  <c r="M19" i="49"/>
  <c r="Q18" i="49"/>
  <c r="P18" i="49"/>
  <c r="O18" i="49"/>
  <c r="N18" i="49"/>
  <c r="M18" i="49"/>
  <c r="Q17" i="49"/>
  <c r="P17" i="49"/>
  <c r="O17" i="49"/>
  <c r="N17" i="49"/>
  <c r="M17" i="49"/>
  <c r="Q26" i="48"/>
  <c r="P26" i="48"/>
  <c r="O26" i="48"/>
  <c r="N26" i="48"/>
  <c r="M26" i="48"/>
  <c r="Q25" i="48"/>
  <c r="P25" i="48"/>
  <c r="O25" i="48"/>
  <c r="N25" i="48"/>
  <c r="M25" i="48"/>
  <c r="Q24" i="48"/>
  <c r="P24" i="48"/>
  <c r="O24" i="48"/>
  <c r="N24" i="48"/>
  <c r="M24" i="48"/>
  <c r="Q23" i="48"/>
  <c r="P23" i="48"/>
  <c r="O23" i="48"/>
  <c r="N23" i="48"/>
  <c r="M23" i="48"/>
  <c r="Q22" i="48"/>
  <c r="P22" i="48"/>
  <c r="O22" i="48"/>
  <c r="N22" i="48"/>
  <c r="M22" i="48"/>
  <c r="Q21" i="48"/>
  <c r="P21" i="48"/>
  <c r="O21" i="48"/>
  <c r="N21" i="48"/>
  <c r="M21" i="48"/>
  <c r="Q20" i="48"/>
  <c r="P20" i="48"/>
  <c r="O20" i="48"/>
  <c r="N20" i="48"/>
  <c r="M20" i="48"/>
  <c r="Q19" i="48"/>
  <c r="P19" i="48"/>
  <c r="O19" i="48"/>
  <c r="N19" i="48"/>
  <c r="M19" i="48"/>
  <c r="Q18" i="48"/>
  <c r="P18" i="48"/>
  <c r="O18" i="48"/>
  <c r="N18" i="48"/>
  <c r="M18" i="48"/>
  <c r="Q17" i="48"/>
  <c r="P17" i="48"/>
  <c r="O17" i="48"/>
  <c r="N17" i="48"/>
  <c r="M17" i="48"/>
  <c r="Q26" i="47"/>
  <c r="P26" i="47"/>
  <c r="O26" i="47"/>
  <c r="N26" i="47"/>
  <c r="M26" i="47"/>
  <c r="Q25" i="47"/>
  <c r="P25" i="47"/>
  <c r="O25" i="47"/>
  <c r="N25" i="47"/>
  <c r="M25" i="47"/>
  <c r="Q24" i="47"/>
  <c r="P24" i="47"/>
  <c r="O24" i="47"/>
  <c r="N24" i="47"/>
  <c r="M24" i="47"/>
  <c r="Q23" i="47"/>
  <c r="P23" i="47"/>
  <c r="O23" i="47"/>
  <c r="N23" i="47"/>
  <c r="M23" i="47"/>
  <c r="Q22" i="47"/>
  <c r="P22" i="47"/>
  <c r="O22" i="47"/>
  <c r="N22" i="47"/>
  <c r="M22" i="47"/>
  <c r="Q21" i="47"/>
  <c r="P21" i="47"/>
  <c r="O21" i="47"/>
  <c r="N21" i="47"/>
  <c r="M21" i="47"/>
  <c r="Q20" i="47"/>
  <c r="P20" i="47"/>
  <c r="O20" i="47"/>
  <c r="N20" i="47"/>
  <c r="M20" i="47"/>
  <c r="Q19" i="47"/>
  <c r="P19" i="47"/>
  <c r="O19" i="47"/>
  <c r="N19" i="47"/>
  <c r="M19" i="47"/>
  <c r="Q18" i="47"/>
  <c r="P18" i="47"/>
  <c r="O18" i="47"/>
  <c r="N18" i="47"/>
  <c r="M18" i="47"/>
  <c r="Q17" i="47"/>
  <c r="P17" i="47"/>
  <c r="O17" i="47"/>
  <c r="N17" i="47"/>
  <c r="M17" i="47"/>
  <c r="Q26" i="46"/>
  <c r="P26" i="46"/>
  <c r="O26" i="46"/>
  <c r="N26" i="46"/>
  <c r="M26" i="46"/>
  <c r="Q25" i="46"/>
  <c r="P25" i="46"/>
  <c r="O25" i="46"/>
  <c r="N25" i="46"/>
  <c r="M25" i="46"/>
  <c r="Q24" i="46"/>
  <c r="P24" i="46"/>
  <c r="O24" i="46"/>
  <c r="N24" i="46"/>
  <c r="M24" i="46"/>
  <c r="Q23" i="46"/>
  <c r="P23" i="46"/>
  <c r="O23" i="46"/>
  <c r="N23" i="46"/>
  <c r="M23" i="46"/>
  <c r="Q22" i="46"/>
  <c r="P22" i="46"/>
  <c r="O22" i="46"/>
  <c r="N22" i="46"/>
  <c r="M22" i="46"/>
  <c r="Q21" i="46"/>
  <c r="P21" i="46"/>
  <c r="O21" i="46"/>
  <c r="N21" i="46"/>
  <c r="M21" i="46"/>
  <c r="Q20" i="46"/>
  <c r="P20" i="46"/>
  <c r="O20" i="46"/>
  <c r="N20" i="46"/>
  <c r="M20" i="46"/>
  <c r="Q19" i="46"/>
  <c r="P19" i="46"/>
  <c r="O19" i="46"/>
  <c r="N19" i="46"/>
  <c r="M19" i="46"/>
  <c r="Q18" i="46"/>
  <c r="P18" i="46"/>
  <c r="O18" i="46"/>
  <c r="N18" i="46"/>
  <c r="M18" i="46"/>
  <c r="Q17" i="46"/>
  <c r="P17" i="46"/>
  <c r="O17" i="46"/>
  <c r="N17" i="46"/>
  <c r="M17" i="46"/>
  <c r="Q26" i="45"/>
  <c r="P26" i="45"/>
  <c r="O26" i="45"/>
  <c r="N26" i="45"/>
  <c r="M26" i="45"/>
  <c r="Q25" i="45"/>
  <c r="P25" i="45"/>
  <c r="O25" i="45"/>
  <c r="N25" i="45"/>
  <c r="M25" i="45"/>
  <c r="Q24" i="45"/>
  <c r="P24" i="45"/>
  <c r="O24" i="45"/>
  <c r="N24" i="45"/>
  <c r="M24" i="45"/>
  <c r="Q23" i="45"/>
  <c r="P23" i="45"/>
  <c r="O23" i="45"/>
  <c r="N23" i="45"/>
  <c r="M23" i="45"/>
  <c r="Q22" i="45"/>
  <c r="P22" i="45"/>
  <c r="O22" i="45"/>
  <c r="N22" i="45"/>
  <c r="M22" i="45"/>
  <c r="Q21" i="45"/>
  <c r="P21" i="45"/>
  <c r="O21" i="45"/>
  <c r="N21" i="45"/>
  <c r="M21" i="45"/>
  <c r="Q20" i="45"/>
  <c r="P20" i="45"/>
  <c r="O20" i="45"/>
  <c r="N20" i="45"/>
  <c r="M20" i="45"/>
  <c r="Q19" i="45"/>
  <c r="P19" i="45"/>
  <c r="O19" i="45"/>
  <c r="N19" i="45"/>
  <c r="M19" i="45"/>
  <c r="Q18" i="45"/>
  <c r="P18" i="45"/>
  <c r="O18" i="45"/>
  <c r="N18" i="45"/>
  <c r="M18" i="45"/>
  <c r="Q17" i="45"/>
  <c r="P17" i="45"/>
  <c r="O17" i="45"/>
  <c r="N17" i="45"/>
  <c r="M17" i="45"/>
  <c r="Q26" i="44"/>
  <c r="P26" i="44"/>
  <c r="O26" i="44"/>
  <c r="N26" i="44"/>
  <c r="M26" i="44"/>
  <c r="Q25" i="44"/>
  <c r="P25" i="44"/>
  <c r="O25" i="44"/>
  <c r="N25" i="44"/>
  <c r="M25" i="44"/>
  <c r="Q24" i="44"/>
  <c r="P24" i="44"/>
  <c r="O24" i="44"/>
  <c r="N24" i="44"/>
  <c r="M24" i="44"/>
  <c r="Q23" i="44"/>
  <c r="P23" i="44"/>
  <c r="O23" i="44"/>
  <c r="N23" i="44"/>
  <c r="M23" i="44"/>
  <c r="Q22" i="44"/>
  <c r="P22" i="44"/>
  <c r="O22" i="44"/>
  <c r="N22" i="44"/>
  <c r="M22" i="44"/>
  <c r="Q21" i="44"/>
  <c r="P21" i="44"/>
  <c r="O21" i="44"/>
  <c r="N21" i="44"/>
  <c r="M21" i="44"/>
  <c r="Q20" i="44"/>
  <c r="P20" i="44"/>
  <c r="O20" i="44"/>
  <c r="N20" i="44"/>
  <c r="M20" i="44"/>
  <c r="Q19" i="44"/>
  <c r="P19" i="44"/>
  <c r="O19" i="44"/>
  <c r="N19" i="44"/>
  <c r="M19" i="44"/>
  <c r="Q18" i="44"/>
  <c r="P18" i="44"/>
  <c r="O18" i="44"/>
  <c r="N18" i="44"/>
  <c r="M18" i="44"/>
  <c r="Q17" i="44"/>
  <c r="P17" i="44"/>
  <c r="O17" i="44"/>
  <c r="N17" i="44"/>
  <c r="M17" i="44"/>
  <c r="Q26" i="43"/>
  <c r="P26" i="43"/>
  <c r="O26" i="43"/>
  <c r="N26" i="43"/>
  <c r="M26" i="43"/>
  <c r="Q25" i="43"/>
  <c r="P25" i="43"/>
  <c r="O25" i="43"/>
  <c r="N25" i="43"/>
  <c r="M25" i="43"/>
  <c r="Q24" i="43"/>
  <c r="P24" i="43"/>
  <c r="O24" i="43"/>
  <c r="N24" i="43"/>
  <c r="M24" i="43"/>
  <c r="Q23" i="43"/>
  <c r="P23" i="43"/>
  <c r="O23" i="43"/>
  <c r="N23" i="43"/>
  <c r="M23" i="43"/>
  <c r="Q22" i="43"/>
  <c r="P22" i="43"/>
  <c r="O22" i="43"/>
  <c r="N22" i="43"/>
  <c r="M22" i="43"/>
  <c r="Q21" i="43"/>
  <c r="P21" i="43"/>
  <c r="O21" i="43"/>
  <c r="N21" i="43"/>
  <c r="M21" i="43"/>
  <c r="Q20" i="43"/>
  <c r="P20" i="43"/>
  <c r="O20" i="43"/>
  <c r="N20" i="43"/>
  <c r="M20" i="43"/>
  <c r="Q19" i="43"/>
  <c r="P19" i="43"/>
  <c r="O19" i="43"/>
  <c r="N19" i="43"/>
  <c r="M19" i="43"/>
  <c r="Q18" i="43"/>
  <c r="P18" i="43"/>
  <c r="O18" i="43"/>
  <c r="N18" i="43"/>
  <c r="M18" i="43"/>
  <c r="Q17" i="43"/>
  <c r="P17" i="43"/>
  <c r="O17" i="43"/>
  <c r="N17" i="43"/>
  <c r="M17" i="43"/>
  <c r="Q26" i="42"/>
  <c r="P26" i="42"/>
  <c r="O26" i="42"/>
  <c r="N26" i="42"/>
  <c r="M26" i="42"/>
  <c r="Q25" i="42"/>
  <c r="P25" i="42"/>
  <c r="O25" i="42"/>
  <c r="N25" i="42"/>
  <c r="M25" i="42"/>
  <c r="Q24" i="42"/>
  <c r="P24" i="42"/>
  <c r="O24" i="42"/>
  <c r="N24" i="42"/>
  <c r="M24" i="42"/>
  <c r="Q23" i="42"/>
  <c r="P23" i="42"/>
  <c r="O23" i="42"/>
  <c r="N23" i="42"/>
  <c r="M23" i="42"/>
  <c r="Q22" i="42"/>
  <c r="P22" i="42"/>
  <c r="O22" i="42"/>
  <c r="N22" i="42"/>
  <c r="M22" i="42"/>
  <c r="Q21" i="42"/>
  <c r="P21" i="42"/>
  <c r="O21" i="42"/>
  <c r="N21" i="42"/>
  <c r="M21" i="42"/>
  <c r="Q20" i="42"/>
  <c r="P20" i="42"/>
  <c r="O20" i="42"/>
  <c r="N20" i="42"/>
  <c r="M20" i="42"/>
  <c r="Q19" i="42"/>
  <c r="P19" i="42"/>
  <c r="O19" i="42"/>
  <c r="N19" i="42"/>
  <c r="M19" i="42"/>
  <c r="Q18" i="42"/>
  <c r="P18" i="42"/>
  <c r="O18" i="42"/>
  <c r="N18" i="42"/>
  <c r="M18" i="42"/>
  <c r="Q17" i="42"/>
  <c r="P17" i="42"/>
  <c r="O17" i="42"/>
  <c r="N17" i="42"/>
  <c r="M17" i="42"/>
  <c r="Q26" i="41"/>
  <c r="P26" i="41"/>
  <c r="O26" i="41"/>
  <c r="N26" i="41"/>
  <c r="M26" i="41"/>
  <c r="Q25" i="41"/>
  <c r="P25" i="41"/>
  <c r="O25" i="41"/>
  <c r="N25" i="41"/>
  <c r="M25" i="41"/>
  <c r="Q24" i="41"/>
  <c r="P24" i="41"/>
  <c r="O24" i="41"/>
  <c r="N24" i="41"/>
  <c r="M24" i="41"/>
  <c r="Q23" i="41"/>
  <c r="P23" i="41"/>
  <c r="O23" i="41"/>
  <c r="N23" i="41"/>
  <c r="M23" i="41"/>
  <c r="Q22" i="41"/>
  <c r="P22" i="41"/>
  <c r="O22" i="41"/>
  <c r="N22" i="41"/>
  <c r="M22" i="41"/>
  <c r="Q21" i="41"/>
  <c r="P21" i="41"/>
  <c r="O21" i="41"/>
  <c r="N21" i="41"/>
  <c r="M21" i="41"/>
  <c r="Q20" i="41"/>
  <c r="P20" i="41"/>
  <c r="O20" i="41"/>
  <c r="N20" i="41"/>
  <c r="M20" i="41"/>
  <c r="Q19" i="41"/>
  <c r="P19" i="41"/>
  <c r="O19" i="41"/>
  <c r="N19" i="41"/>
  <c r="M19" i="41"/>
  <c r="Q18" i="41"/>
  <c r="P18" i="41"/>
  <c r="O18" i="41"/>
  <c r="N18" i="41"/>
  <c r="M18" i="41"/>
  <c r="Q17" i="41"/>
  <c r="P17" i="41"/>
  <c r="O17" i="41"/>
  <c r="N17" i="41"/>
  <c r="M17" i="41"/>
  <c r="Q26" i="40"/>
  <c r="P26" i="40"/>
  <c r="O26" i="40"/>
  <c r="N26" i="40"/>
  <c r="M26" i="40"/>
  <c r="Q25" i="40"/>
  <c r="P25" i="40"/>
  <c r="O25" i="40"/>
  <c r="N25" i="40"/>
  <c r="M25" i="40"/>
  <c r="Q24" i="40"/>
  <c r="P24" i="40"/>
  <c r="O24" i="40"/>
  <c r="N24" i="40"/>
  <c r="M24" i="40"/>
  <c r="Q23" i="40"/>
  <c r="P23" i="40"/>
  <c r="O23" i="40"/>
  <c r="N23" i="40"/>
  <c r="M23" i="40"/>
  <c r="Q22" i="40"/>
  <c r="P22" i="40"/>
  <c r="O22" i="40"/>
  <c r="N22" i="40"/>
  <c r="M22" i="40"/>
  <c r="Q21" i="40"/>
  <c r="P21" i="40"/>
  <c r="O21" i="40"/>
  <c r="N21" i="40"/>
  <c r="M21" i="40"/>
  <c r="Q20" i="40"/>
  <c r="P20" i="40"/>
  <c r="O20" i="40"/>
  <c r="N20" i="40"/>
  <c r="M20" i="40"/>
  <c r="Q19" i="40"/>
  <c r="P19" i="40"/>
  <c r="O19" i="40"/>
  <c r="N19" i="40"/>
  <c r="M19" i="40"/>
  <c r="Q18" i="40"/>
  <c r="P18" i="40"/>
  <c r="O18" i="40"/>
  <c r="N18" i="40"/>
  <c r="M18" i="40"/>
  <c r="Q17" i="40"/>
  <c r="P17" i="40"/>
  <c r="O17" i="40"/>
  <c r="N17" i="40"/>
  <c r="M17" i="40"/>
  <c r="Q26" i="39"/>
  <c r="P26" i="39"/>
  <c r="O26" i="39"/>
  <c r="N26" i="39"/>
  <c r="M26" i="39"/>
  <c r="Q25" i="39"/>
  <c r="P25" i="39"/>
  <c r="O25" i="39"/>
  <c r="N25" i="39"/>
  <c r="M25" i="39"/>
  <c r="Q24" i="39"/>
  <c r="P24" i="39"/>
  <c r="O24" i="39"/>
  <c r="N24" i="39"/>
  <c r="M24" i="39"/>
  <c r="Q23" i="39"/>
  <c r="P23" i="39"/>
  <c r="O23" i="39"/>
  <c r="N23" i="39"/>
  <c r="M23" i="39"/>
  <c r="Q22" i="39"/>
  <c r="P22" i="39"/>
  <c r="O22" i="39"/>
  <c r="N22" i="39"/>
  <c r="M22" i="39"/>
  <c r="Q21" i="39"/>
  <c r="P21" i="39"/>
  <c r="O21" i="39"/>
  <c r="N21" i="39"/>
  <c r="M21" i="39"/>
  <c r="Q20" i="39"/>
  <c r="P20" i="39"/>
  <c r="O20" i="39"/>
  <c r="N20" i="39"/>
  <c r="M20" i="39"/>
  <c r="Q19" i="39"/>
  <c r="P19" i="39"/>
  <c r="O19" i="39"/>
  <c r="N19" i="39"/>
  <c r="M19" i="39"/>
  <c r="Q18" i="39"/>
  <c r="P18" i="39"/>
  <c r="O18" i="39"/>
  <c r="N18" i="39"/>
  <c r="M18" i="39"/>
  <c r="Q17" i="39"/>
  <c r="P17" i="39"/>
  <c r="O17" i="39"/>
  <c r="N17" i="39"/>
  <c r="M17" i="39"/>
  <c r="K15" i="2"/>
  <c r="K17" i="2"/>
  <c r="K14" i="2"/>
  <c r="K11" i="2"/>
  <c r="K16" i="2"/>
  <c r="K18" i="2"/>
  <c r="K12" i="2"/>
  <c r="K16" i="52" l="1"/>
  <c r="K14" i="52"/>
  <c r="K11" i="52"/>
  <c r="K17" i="52"/>
  <c r="K12" i="52"/>
  <c r="K15" i="52"/>
  <c r="K18" i="52"/>
  <c r="Q26" i="38"/>
  <c r="P26" i="38"/>
  <c r="O26" i="38"/>
  <c r="N26" i="38"/>
  <c r="M26" i="38"/>
  <c r="Q25" i="38"/>
  <c r="P25" i="38"/>
  <c r="O25" i="38"/>
  <c r="N25" i="38"/>
  <c r="M25" i="38"/>
  <c r="Q24" i="38"/>
  <c r="P24" i="38"/>
  <c r="O24" i="38"/>
  <c r="N24" i="38"/>
  <c r="M24" i="38"/>
  <c r="Q23" i="38"/>
  <c r="P23" i="38"/>
  <c r="O23" i="38"/>
  <c r="N23" i="38"/>
  <c r="M23" i="38"/>
  <c r="Q22" i="38"/>
  <c r="P22" i="38"/>
  <c r="O22" i="38"/>
  <c r="N22" i="38"/>
  <c r="M22" i="38"/>
  <c r="Q21" i="38"/>
  <c r="P21" i="38"/>
  <c r="O21" i="38"/>
  <c r="N21" i="38"/>
  <c r="M21" i="38"/>
  <c r="Q20" i="38"/>
  <c r="P20" i="38"/>
  <c r="O20" i="38"/>
  <c r="N20" i="38"/>
  <c r="M20" i="38"/>
  <c r="Q19" i="38"/>
  <c r="P19" i="38"/>
  <c r="O19" i="38"/>
  <c r="N19" i="38"/>
  <c r="M19" i="38"/>
  <c r="Q18" i="38"/>
  <c r="P18" i="38"/>
  <c r="O18" i="38"/>
  <c r="N18" i="38"/>
  <c r="M18" i="38"/>
  <c r="Q17" i="38"/>
  <c r="P17" i="38"/>
  <c r="O17" i="38"/>
  <c r="N17" i="38"/>
  <c r="M17" i="38"/>
  <c r="Q26" i="37"/>
  <c r="P26" i="37"/>
  <c r="O26" i="37"/>
  <c r="N26" i="37"/>
  <c r="M26" i="37"/>
  <c r="Q25" i="37"/>
  <c r="P25" i="37"/>
  <c r="O25" i="37"/>
  <c r="N25" i="37"/>
  <c r="M25" i="37"/>
  <c r="Q24" i="37"/>
  <c r="P24" i="37"/>
  <c r="O24" i="37"/>
  <c r="N24" i="37"/>
  <c r="M24" i="37"/>
  <c r="Q23" i="37"/>
  <c r="P23" i="37"/>
  <c r="O23" i="37"/>
  <c r="N23" i="37"/>
  <c r="M23" i="37"/>
  <c r="Q22" i="37"/>
  <c r="P22" i="37"/>
  <c r="O22" i="37"/>
  <c r="N22" i="37"/>
  <c r="M22" i="37"/>
  <c r="Q21" i="37"/>
  <c r="P21" i="37"/>
  <c r="O21" i="37"/>
  <c r="N21" i="37"/>
  <c r="M21" i="37"/>
  <c r="Q20" i="37"/>
  <c r="P20" i="37"/>
  <c r="O20" i="37"/>
  <c r="N20" i="37"/>
  <c r="M20" i="37"/>
  <c r="Q19" i="37"/>
  <c r="P19" i="37"/>
  <c r="O19" i="37"/>
  <c r="N19" i="37"/>
  <c r="M19" i="37"/>
  <c r="Q18" i="37"/>
  <c r="P18" i="37"/>
  <c r="O18" i="37"/>
  <c r="N18" i="37"/>
  <c r="M18" i="37"/>
  <c r="Q17" i="37"/>
  <c r="P17" i="37"/>
  <c r="O17" i="37"/>
  <c r="N17" i="37"/>
  <c r="M17" i="37"/>
  <c r="Q26" i="36"/>
  <c r="P26" i="36"/>
  <c r="O26" i="36"/>
  <c r="N26" i="36"/>
  <c r="M26" i="36"/>
  <c r="Q25" i="36"/>
  <c r="P25" i="36"/>
  <c r="O25" i="36"/>
  <c r="N25" i="36"/>
  <c r="M25" i="36"/>
  <c r="Q24" i="36"/>
  <c r="P24" i="36"/>
  <c r="O24" i="36"/>
  <c r="N24" i="36"/>
  <c r="M24" i="36"/>
  <c r="Q23" i="36"/>
  <c r="P23" i="36"/>
  <c r="O23" i="36"/>
  <c r="N23" i="36"/>
  <c r="M23" i="36"/>
  <c r="Q22" i="36"/>
  <c r="P22" i="36"/>
  <c r="O22" i="36"/>
  <c r="N22" i="36"/>
  <c r="M22" i="36"/>
  <c r="Q21" i="36"/>
  <c r="P21" i="36"/>
  <c r="O21" i="36"/>
  <c r="N21" i="36"/>
  <c r="M21" i="36"/>
  <c r="Q20" i="36"/>
  <c r="P20" i="36"/>
  <c r="O20" i="36"/>
  <c r="N20" i="36"/>
  <c r="M20" i="36"/>
  <c r="Q19" i="36"/>
  <c r="P19" i="36"/>
  <c r="O19" i="36"/>
  <c r="N19" i="36"/>
  <c r="M19" i="36"/>
  <c r="Q18" i="36"/>
  <c r="P18" i="36"/>
  <c r="O18" i="36"/>
  <c r="N18" i="36"/>
  <c r="M18" i="36"/>
  <c r="Q17" i="36"/>
  <c r="P17" i="36"/>
  <c r="O17" i="36"/>
  <c r="N17" i="36"/>
  <c r="M17" i="36"/>
  <c r="Q26" i="35"/>
  <c r="P26" i="35"/>
  <c r="O26" i="35"/>
  <c r="N26" i="35"/>
  <c r="M26" i="35"/>
  <c r="Q25" i="35"/>
  <c r="P25" i="35"/>
  <c r="O25" i="35"/>
  <c r="N25" i="35"/>
  <c r="M25" i="35"/>
  <c r="Q24" i="35"/>
  <c r="P24" i="35"/>
  <c r="O24" i="35"/>
  <c r="N24" i="35"/>
  <c r="M24" i="35"/>
  <c r="Q23" i="35"/>
  <c r="P23" i="35"/>
  <c r="O23" i="35"/>
  <c r="N23" i="35"/>
  <c r="M23" i="35"/>
  <c r="Q22" i="35"/>
  <c r="P22" i="35"/>
  <c r="O22" i="35"/>
  <c r="N22" i="35"/>
  <c r="M22" i="35"/>
  <c r="Q21" i="35"/>
  <c r="P21" i="35"/>
  <c r="O21" i="35"/>
  <c r="N21" i="35"/>
  <c r="M21" i="35"/>
  <c r="Q20" i="35"/>
  <c r="P20" i="35"/>
  <c r="O20" i="35"/>
  <c r="N20" i="35"/>
  <c r="M20" i="35"/>
  <c r="Q19" i="35"/>
  <c r="P19" i="35"/>
  <c r="O19" i="35"/>
  <c r="N19" i="35"/>
  <c r="M19" i="35"/>
  <c r="Q18" i="35"/>
  <c r="P18" i="35"/>
  <c r="O18" i="35"/>
  <c r="N18" i="35"/>
  <c r="M18" i="35"/>
  <c r="Q17" i="35"/>
  <c r="P17" i="35"/>
  <c r="O17" i="35"/>
  <c r="N17" i="35"/>
  <c r="M17" i="35"/>
  <c r="Q26" i="34"/>
  <c r="P26" i="34"/>
  <c r="O26" i="34"/>
  <c r="N26" i="34"/>
  <c r="M26" i="34"/>
  <c r="Q25" i="34"/>
  <c r="P25" i="34"/>
  <c r="O25" i="34"/>
  <c r="N25" i="34"/>
  <c r="M25" i="34"/>
  <c r="Q24" i="34"/>
  <c r="P24" i="34"/>
  <c r="O24" i="34"/>
  <c r="N24" i="34"/>
  <c r="M24" i="34"/>
  <c r="Q23" i="34"/>
  <c r="P23" i="34"/>
  <c r="O23" i="34"/>
  <c r="N23" i="34"/>
  <c r="M23" i="34"/>
  <c r="Q22" i="34"/>
  <c r="P22" i="34"/>
  <c r="O22" i="34"/>
  <c r="N22" i="34"/>
  <c r="M22" i="34"/>
  <c r="Q21" i="34"/>
  <c r="P21" i="34"/>
  <c r="O21" i="34"/>
  <c r="N21" i="34"/>
  <c r="M21" i="34"/>
  <c r="Q20" i="34"/>
  <c r="P20" i="34"/>
  <c r="O20" i="34"/>
  <c r="N20" i="34"/>
  <c r="M20" i="34"/>
  <c r="Q19" i="34"/>
  <c r="P19" i="34"/>
  <c r="O19" i="34"/>
  <c r="N19" i="34"/>
  <c r="M19" i="34"/>
  <c r="Q18" i="34"/>
  <c r="P18" i="34"/>
  <c r="O18" i="34"/>
  <c r="N18" i="34"/>
  <c r="M18" i="34"/>
  <c r="Q17" i="34"/>
  <c r="P17" i="34"/>
  <c r="O17" i="34"/>
  <c r="N17" i="34"/>
  <c r="M17" i="34"/>
  <c r="Q26" i="33"/>
  <c r="P26" i="33"/>
  <c r="O26" i="33"/>
  <c r="N26" i="33"/>
  <c r="M26" i="33"/>
  <c r="Q25" i="33"/>
  <c r="P25" i="33"/>
  <c r="O25" i="33"/>
  <c r="N25" i="33"/>
  <c r="M25" i="33"/>
  <c r="Q24" i="33"/>
  <c r="P24" i="33"/>
  <c r="O24" i="33"/>
  <c r="N24" i="33"/>
  <c r="M24" i="33"/>
  <c r="Q23" i="33"/>
  <c r="P23" i="33"/>
  <c r="O23" i="33"/>
  <c r="N23" i="33"/>
  <c r="M23" i="33"/>
  <c r="Q22" i="33"/>
  <c r="P22" i="33"/>
  <c r="O22" i="33"/>
  <c r="N22" i="33"/>
  <c r="M22" i="33"/>
  <c r="Q21" i="33"/>
  <c r="P21" i="33"/>
  <c r="O21" i="33"/>
  <c r="N21" i="33"/>
  <c r="M21" i="33"/>
  <c r="Q20" i="33"/>
  <c r="P20" i="33"/>
  <c r="O20" i="33"/>
  <c r="N20" i="33"/>
  <c r="M20" i="33"/>
  <c r="Q19" i="33"/>
  <c r="P19" i="33"/>
  <c r="O19" i="33"/>
  <c r="N19" i="33"/>
  <c r="M19" i="33"/>
  <c r="Q18" i="33"/>
  <c r="P18" i="33"/>
  <c r="O18" i="33"/>
  <c r="N18" i="33"/>
  <c r="M18" i="33"/>
  <c r="Q17" i="33"/>
  <c r="P17" i="33"/>
  <c r="O17" i="33"/>
  <c r="N17" i="33"/>
  <c r="M17" i="33"/>
  <c r="Q26" i="32"/>
  <c r="P26" i="32"/>
  <c r="O26" i="32"/>
  <c r="N26" i="32"/>
  <c r="M26" i="32"/>
  <c r="Q25" i="32"/>
  <c r="P25" i="32"/>
  <c r="O25" i="32"/>
  <c r="N25" i="32"/>
  <c r="M25" i="32"/>
  <c r="Q24" i="32"/>
  <c r="P24" i="32"/>
  <c r="O24" i="32"/>
  <c r="N24" i="32"/>
  <c r="M24" i="32"/>
  <c r="Q23" i="32"/>
  <c r="P23" i="32"/>
  <c r="O23" i="32"/>
  <c r="N23" i="32"/>
  <c r="M23" i="32"/>
  <c r="Q22" i="32"/>
  <c r="P22" i="32"/>
  <c r="O22" i="32"/>
  <c r="N22" i="32"/>
  <c r="M22" i="32"/>
  <c r="Q21" i="32"/>
  <c r="P21" i="32"/>
  <c r="O21" i="32"/>
  <c r="N21" i="32"/>
  <c r="M21" i="32"/>
  <c r="Q20" i="32"/>
  <c r="P20" i="32"/>
  <c r="O20" i="32"/>
  <c r="N20" i="32"/>
  <c r="M20" i="32"/>
  <c r="Q19" i="32"/>
  <c r="P19" i="32"/>
  <c r="O19" i="32"/>
  <c r="N19" i="32"/>
  <c r="M19" i="32"/>
  <c r="Q18" i="32"/>
  <c r="P18" i="32"/>
  <c r="O18" i="32"/>
  <c r="N18" i="32"/>
  <c r="M18" i="32"/>
  <c r="Q17" i="32"/>
  <c r="P17" i="32"/>
  <c r="O17" i="32"/>
  <c r="N17" i="32"/>
  <c r="M17" i="32"/>
  <c r="Q26" i="31"/>
  <c r="P26" i="31"/>
  <c r="O26" i="31"/>
  <c r="N26" i="31"/>
  <c r="M26" i="31"/>
  <c r="Q25" i="31"/>
  <c r="P25" i="31"/>
  <c r="O25" i="31"/>
  <c r="N25" i="31"/>
  <c r="M25" i="31"/>
  <c r="Q24" i="31"/>
  <c r="P24" i="31"/>
  <c r="O24" i="31"/>
  <c r="N24" i="31"/>
  <c r="M24" i="31"/>
  <c r="Q23" i="31"/>
  <c r="P23" i="31"/>
  <c r="O23" i="31"/>
  <c r="N23" i="31"/>
  <c r="M23" i="31"/>
  <c r="Q22" i="31"/>
  <c r="P22" i="31"/>
  <c r="O22" i="31"/>
  <c r="N22" i="31"/>
  <c r="M22" i="31"/>
  <c r="Q21" i="31"/>
  <c r="P21" i="31"/>
  <c r="O21" i="31"/>
  <c r="N21" i="31"/>
  <c r="M21" i="31"/>
  <c r="Q20" i="31"/>
  <c r="P20" i="31"/>
  <c r="O20" i="31"/>
  <c r="N20" i="31"/>
  <c r="M20" i="31"/>
  <c r="Q19" i="31"/>
  <c r="P19" i="31"/>
  <c r="O19" i="31"/>
  <c r="N19" i="31"/>
  <c r="M19" i="31"/>
  <c r="Q18" i="31"/>
  <c r="P18" i="31"/>
  <c r="O18" i="31"/>
  <c r="N18" i="31"/>
  <c r="M18" i="31"/>
  <c r="Q17" i="31"/>
  <c r="P17" i="31"/>
  <c r="O17" i="31"/>
  <c r="N17" i="31"/>
  <c r="M17" i="31"/>
  <c r="Q26" i="30"/>
  <c r="P26" i="30"/>
  <c r="O26" i="30"/>
  <c r="N26" i="30"/>
  <c r="M26" i="30"/>
  <c r="Q25" i="30"/>
  <c r="P25" i="30"/>
  <c r="O25" i="30"/>
  <c r="N25" i="30"/>
  <c r="M25" i="30"/>
  <c r="Q24" i="30"/>
  <c r="P24" i="30"/>
  <c r="O24" i="30"/>
  <c r="N24" i="30"/>
  <c r="M24" i="30"/>
  <c r="Q23" i="30"/>
  <c r="P23" i="30"/>
  <c r="O23" i="30"/>
  <c r="N23" i="30"/>
  <c r="M23" i="30"/>
  <c r="Q22" i="30"/>
  <c r="P22" i="30"/>
  <c r="O22" i="30"/>
  <c r="N22" i="30"/>
  <c r="M22" i="30"/>
  <c r="Q21" i="30"/>
  <c r="P21" i="30"/>
  <c r="O21" i="30"/>
  <c r="N21" i="30"/>
  <c r="M21" i="30"/>
  <c r="Q20" i="30"/>
  <c r="P20" i="30"/>
  <c r="O20" i="30"/>
  <c r="N20" i="30"/>
  <c r="M20" i="30"/>
  <c r="Q19" i="30"/>
  <c r="P19" i="30"/>
  <c r="O19" i="30"/>
  <c r="N19" i="30"/>
  <c r="M19" i="30"/>
  <c r="Q18" i="30"/>
  <c r="P18" i="30"/>
  <c r="O18" i="30"/>
  <c r="N18" i="30"/>
  <c r="M18" i="30"/>
  <c r="Q17" i="30"/>
  <c r="P17" i="30"/>
  <c r="O17" i="30"/>
  <c r="N17" i="30"/>
  <c r="M17" i="30"/>
  <c r="Q26" i="29"/>
  <c r="P26" i="29"/>
  <c r="O26" i="29"/>
  <c r="N26" i="29"/>
  <c r="M26" i="29"/>
  <c r="Q25" i="29"/>
  <c r="P25" i="29"/>
  <c r="O25" i="29"/>
  <c r="N25" i="29"/>
  <c r="M25" i="29"/>
  <c r="Q24" i="29"/>
  <c r="P24" i="29"/>
  <c r="O24" i="29"/>
  <c r="N24" i="29"/>
  <c r="M24" i="29"/>
  <c r="Q23" i="29"/>
  <c r="P23" i="29"/>
  <c r="O23" i="29"/>
  <c r="N23" i="29"/>
  <c r="M23" i="29"/>
  <c r="Q22" i="29"/>
  <c r="P22" i="29"/>
  <c r="O22" i="29"/>
  <c r="N22" i="29"/>
  <c r="M22" i="29"/>
  <c r="Q21" i="29"/>
  <c r="P21" i="29"/>
  <c r="O21" i="29"/>
  <c r="N21" i="29"/>
  <c r="M21" i="29"/>
  <c r="Q20" i="29"/>
  <c r="P20" i="29"/>
  <c r="O20" i="29"/>
  <c r="N20" i="29"/>
  <c r="M20" i="29"/>
  <c r="Q19" i="29"/>
  <c r="P19" i="29"/>
  <c r="O19" i="29"/>
  <c r="N19" i="29"/>
  <c r="M19" i="29"/>
  <c r="Q18" i="29"/>
  <c r="P18" i="29"/>
  <c r="O18" i="29"/>
  <c r="N18" i="29"/>
  <c r="M18" i="29"/>
  <c r="Q17" i="29"/>
  <c r="P17" i="29"/>
  <c r="O17" i="29"/>
  <c r="N17" i="29"/>
  <c r="M17" i="29"/>
  <c r="Q26" i="28"/>
  <c r="P26" i="28"/>
  <c r="O26" i="28"/>
  <c r="N26" i="28"/>
  <c r="M26" i="28"/>
  <c r="Q25" i="28"/>
  <c r="P25" i="28"/>
  <c r="O25" i="28"/>
  <c r="N25" i="28"/>
  <c r="M25" i="28"/>
  <c r="Q24" i="28"/>
  <c r="P24" i="28"/>
  <c r="O24" i="28"/>
  <c r="N24" i="28"/>
  <c r="M24" i="28"/>
  <c r="Q23" i="28"/>
  <c r="P23" i="28"/>
  <c r="O23" i="28"/>
  <c r="N23" i="28"/>
  <c r="M23" i="28"/>
  <c r="Q22" i="28"/>
  <c r="P22" i="28"/>
  <c r="O22" i="28"/>
  <c r="N22" i="28"/>
  <c r="M22" i="28"/>
  <c r="Q21" i="28"/>
  <c r="P21" i="28"/>
  <c r="O21" i="28"/>
  <c r="N21" i="28"/>
  <c r="M21" i="28"/>
  <c r="Q20" i="28"/>
  <c r="P20" i="28"/>
  <c r="O20" i="28"/>
  <c r="N20" i="28"/>
  <c r="M20" i="28"/>
  <c r="Q19" i="28"/>
  <c r="P19" i="28"/>
  <c r="O19" i="28"/>
  <c r="N19" i="28"/>
  <c r="M19" i="28"/>
  <c r="Q18" i="28"/>
  <c r="P18" i="28"/>
  <c r="O18" i="28"/>
  <c r="N18" i="28"/>
  <c r="M18" i="28"/>
  <c r="Q17" i="28"/>
  <c r="P17" i="28"/>
  <c r="O17" i="28"/>
  <c r="N17" i="28"/>
  <c r="M17" i="28"/>
  <c r="Q26" i="27"/>
  <c r="P26" i="27"/>
  <c r="O26" i="27"/>
  <c r="N26" i="27"/>
  <c r="M26" i="27"/>
  <c r="Q25" i="27"/>
  <c r="P25" i="27"/>
  <c r="O25" i="27"/>
  <c r="N25" i="27"/>
  <c r="M25" i="27"/>
  <c r="Q24" i="27"/>
  <c r="P24" i="27"/>
  <c r="O24" i="27"/>
  <c r="N24" i="27"/>
  <c r="M24" i="27"/>
  <c r="Q23" i="27"/>
  <c r="P23" i="27"/>
  <c r="O23" i="27"/>
  <c r="N23" i="27"/>
  <c r="M23" i="27"/>
  <c r="Q22" i="27"/>
  <c r="P22" i="27"/>
  <c r="O22" i="27"/>
  <c r="N22" i="27"/>
  <c r="M22" i="27"/>
  <c r="Q21" i="27"/>
  <c r="P21" i="27"/>
  <c r="O21" i="27"/>
  <c r="N21" i="27"/>
  <c r="M21" i="27"/>
  <c r="Q20" i="27"/>
  <c r="P20" i="27"/>
  <c r="O20" i="27"/>
  <c r="N20" i="27"/>
  <c r="M20" i="27"/>
  <c r="Q19" i="27"/>
  <c r="P19" i="27"/>
  <c r="O19" i="27"/>
  <c r="N19" i="27"/>
  <c r="M19" i="27"/>
  <c r="Q18" i="27"/>
  <c r="P18" i="27"/>
  <c r="O18" i="27"/>
  <c r="N18" i="27"/>
  <c r="M18" i="27"/>
  <c r="Q17" i="27"/>
  <c r="P17" i="27"/>
  <c r="O17" i="27"/>
  <c r="N17" i="27"/>
  <c r="M17" i="27"/>
  <c r="Q26" i="26"/>
  <c r="P26" i="26"/>
  <c r="O26" i="26"/>
  <c r="N26" i="26"/>
  <c r="M26" i="26"/>
  <c r="Q25" i="26"/>
  <c r="P25" i="26"/>
  <c r="O25" i="26"/>
  <c r="N25" i="26"/>
  <c r="M25" i="26"/>
  <c r="Q24" i="26"/>
  <c r="P24" i="26"/>
  <c r="O24" i="26"/>
  <c r="N24" i="26"/>
  <c r="M24" i="26"/>
  <c r="Q23" i="26"/>
  <c r="P23" i="26"/>
  <c r="O23" i="26"/>
  <c r="N23" i="26"/>
  <c r="M23" i="26"/>
  <c r="Q22" i="26"/>
  <c r="P22" i="26"/>
  <c r="O22" i="26"/>
  <c r="N22" i="26"/>
  <c r="M22" i="26"/>
  <c r="Q21" i="26"/>
  <c r="P21" i="26"/>
  <c r="O21" i="26"/>
  <c r="N21" i="26"/>
  <c r="M21" i="26"/>
  <c r="Q20" i="26"/>
  <c r="P20" i="26"/>
  <c r="O20" i="26"/>
  <c r="N20" i="26"/>
  <c r="M20" i="26"/>
  <c r="Q19" i="26"/>
  <c r="P19" i="26"/>
  <c r="O19" i="26"/>
  <c r="N19" i="26"/>
  <c r="M19" i="26"/>
  <c r="Q18" i="26"/>
  <c r="P18" i="26"/>
  <c r="O18" i="26"/>
  <c r="N18" i="26"/>
  <c r="M18" i="26"/>
  <c r="Q17" i="26"/>
  <c r="P17" i="26"/>
  <c r="O17" i="26"/>
  <c r="N17" i="26"/>
  <c r="M17" i="26"/>
  <c r="Q26" i="25"/>
  <c r="P26" i="25"/>
  <c r="O26" i="25"/>
  <c r="N26" i="25"/>
  <c r="M26" i="25"/>
  <c r="Q25" i="25"/>
  <c r="P25" i="25"/>
  <c r="O25" i="25"/>
  <c r="N25" i="25"/>
  <c r="M25" i="25"/>
  <c r="Q24" i="25"/>
  <c r="P24" i="25"/>
  <c r="O24" i="25"/>
  <c r="N24" i="25"/>
  <c r="M24" i="25"/>
  <c r="Q23" i="25"/>
  <c r="P23" i="25"/>
  <c r="O23" i="25"/>
  <c r="N23" i="25"/>
  <c r="M23" i="25"/>
  <c r="Q22" i="25"/>
  <c r="P22" i="25"/>
  <c r="O22" i="25"/>
  <c r="N22" i="25"/>
  <c r="M22" i="25"/>
  <c r="Q21" i="25"/>
  <c r="P21" i="25"/>
  <c r="O21" i="25"/>
  <c r="N21" i="25"/>
  <c r="M21" i="25"/>
  <c r="Q20" i="25"/>
  <c r="P20" i="25"/>
  <c r="O20" i="25"/>
  <c r="N20" i="25"/>
  <c r="M20" i="25"/>
  <c r="Q19" i="25"/>
  <c r="P19" i="25"/>
  <c r="O19" i="25"/>
  <c r="N19" i="25"/>
  <c r="M19" i="25"/>
  <c r="Q18" i="25"/>
  <c r="P18" i="25"/>
  <c r="O18" i="25"/>
  <c r="N18" i="25"/>
  <c r="M18" i="25"/>
  <c r="Q17" i="25"/>
  <c r="P17" i="25"/>
  <c r="O17" i="25"/>
  <c r="N17" i="25"/>
  <c r="M17" i="25"/>
  <c r="Q26" i="24"/>
  <c r="P26" i="24"/>
  <c r="O26" i="24"/>
  <c r="N26" i="24"/>
  <c r="M26" i="24"/>
  <c r="Q25" i="24"/>
  <c r="P25" i="24"/>
  <c r="O25" i="24"/>
  <c r="N25" i="24"/>
  <c r="M25" i="24"/>
  <c r="Q24" i="24"/>
  <c r="P24" i="24"/>
  <c r="O24" i="24"/>
  <c r="N24" i="24"/>
  <c r="M24" i="24"/>
  <c r="Q23" i="24"/>
  <c r="P23" i="24"/>
  <c r="O23" i="24"/>
  <c r="N23" i="24"/>
  <c r="M23" i="24"/>
  <c r="Q22" i="24"/>
  <c r="P22" i="24"/>
  <c r="O22" i="24"/>
  <c r="N22" i="24"/>
  <c r="M22" i="24"/>
  <c r="Q21" i="24"/>
  <c r="P21" i="24"/>
  <c r="O21" i="24"/>
  <c r="N21" i="24"/>
  <c r="M21" i="24"/>
  <c r="Q20" i="24"/>
  <c r="P20" i="24"/>
  <c r="O20" i="24"/>
  <c r="N20" i="24"/>
  <c r="M20" i="24"/>
  <c r="Q19" i="24"/>
  <c r="P19" i="24"/>
  <c r="O19" i="24"/>
  <c r="N19" i="24"/>
  <c r="M19" i="24"/>
  <c r="Q18" i="24"/>
  <c r="P18" i="24"/>
  <c r="O18" i="24"/>
  <c r="N18" i="24"/>
  <c r="M18" i="24"/>
  <c r="Q17" i="24"/>
  <c r="P17" i="24"/>
  <c r="O17" i="24"/>
  <c r="N17" i="24"/>
  <c r="M17" i="24"/>
  <c r="Q26" i="23"/>
  <c r="P26" i="23"/>
  <c r="O26" i="23"/>
  <c r="N26" i="23"/>
  <c r="M26" i="23"/>
  <c r="Q25" i="23"/>
  <c r="P25" i="23"/>
  <c r="O25" i="23"/>
  <c r="N25" i="23"/>
  <c r="M25" i="23"/>
  <c r="Q24" i="23"/>
  <c r="P24" i="23"/>
  <c r="O24" i="23"/>
  <c r="N24" i="23"/>
  <c r="M24" i="23"/>
  <c r="Q23" i="23"/>
  <c r="P23" i="23"/>
  <c r="O23" i="23"/>
  <c r="N23" i="23"/>
  <c r="M23" i="23"/>
  <c r="Q22" i="23"/>
  <c r="P22" i="23"/>
  <c r="O22" i="23"/>
  <c r="N22" i="23"/>
  <c r="M22" i="23"/>
  <c r="Q21" i="23"/>
  <c r="P21" i="23"/>
  <c r="O21" i="23"/>
  <c r="N21" i="23"/>
  <c r="M21" i="23"/>
  <c r="Q20" i="23"/>
  <c r="P20" i="23"/>
  <c r="O20" i="23"/>
  <c r="N20" i="23"/>
  <c r="M20" i="23"/>
  <c r="Q19" i="23"/>
  <c r="P19" i="23"/>
  <c r="O19" i="23"/>
  <c r="N19" i="23"/>
  <c r="M19" i="23"/>
  <c r="Q18" i="23"/>
  <c r="P18" i="23"/>
  <c r="O18" i="23"/>
  <c r="N18" i="23"/>
  <c r="M18" i="23"/>
  <c r="Q17" i="23"/>
  <c r="P17" i="23"/>
  <c r="O17" i="23"/>
  <c r="N17" i="23"/>
  <c r="M17" i="23"/>
  <c r="Q26" i="22"/>
  <c r="P26" i="22"/>
  <c r="O26" i="22"/>
  <c r="N26" i="22"/>
  <c r="M26" i="22"/>
  <c r="Q25" i="22"/>
  <c r="P25" i="22"/>
  <c r="O25" i="22"/>
  <c r="N25" i="22"/>
  <c r="M25" i="22"/>
  <c r="Q24" i="22"/>
  <c r="P24" i="22"/>
  <c r="O24" i="22"/>
  <c r="N24" i="22"/>
  <c r="M24" i="22"/>
  <c r="Q23" i="22"/>
  <c r="P23" i="22"/>
  <c r="O23" i="22"/>
  <c r="N23" i="22"/>
  <c r="M23" i="22"/>
  <c r="Q22" i="22"/>
  <c r="P22" i="22"/>
  <c r="O22" i="22"/>
  <c r="N22" i="22"/>
  <c r="M22" i="22"/>
  <c r="Q21" i="22"/>
  <c r="P21" i="22"/>
  <c r="O21" i="22"/>
  <c r="N21" i="22"/>
  <c r="M21" i="22"/>
  <c r="Q20" i="22"/>
  <c r="P20" i="22"/>
  <c r="O20" i="22"/>
  <c r="N20" i="22"/>
  <c r="M20" i="22"/>
  <c r="Q19" i="22"/>
  <c r="P19" i="22"/>
  <c r="O19" i="22"/>
  <c r="N19" i="22"/>
  <c r="M19" i="22"/>
  <c r="Q18" i="22"/>
  <c r="P18" i="22"/>
  <c r="O18" i="22"/>
  <c r="N18" i="22"/>
  <c r="M18" i="22"/>
  <c r="Q17" i="22"/>
  <c r="P17" i="22"/>
  <c r="O17" i="22"/>
  <c r="N17" i="22"/>
  <c r="M17" i="22"/>
  <c r="Q26" i="21"/>
  <c r="P26" i="21"/>
  <c r="O26" i="21"/>
  <c r="N26" i="21"/>
  <c r="M26" i="21"/>
  <c r="Q25" i="21"/>
  <c r="P25" i="21"/>
  <c r="O25" i="21"/>
  <c r="N25" i="21"/>
  <c r="M25" i="21"/>
  <c r="Q24" i="21"/>
  <c r="P24" i="21"/>
  <c r="O24" i="21"/>
  <c r="N24" i="21"/>
  <c r="M24" i="21"/>
  <c r="Q23" i="21"/>
  <c r="P23" i="21"/>
  <c r="O23" i="21"/>
  <c r="N23" i="21"/>
  <c r="M23" i="21"/>
  <c r="Q22" i="21"/>
  <c r="P22" i="21"/>
  <c r="O22" i="21"/>
  <c r="N22" i="21"/>
  <c r="M22" i="21"/>
  <c r="Q21" i="21"/>
  <c r="P21" i="21"/>
  <c r="O21" i="21"/>
  <c r="N21" i="21"/>
  <c r="M21" i="21"/>
  <c r="Q20" i="21"/>
  <c r="P20" i="21"/>
  <c r="O20" i="21"/>
  <c r="N20" i="21"/>
  <c r="M20" i="21"/>
  <c r="Q19" i="21"/>
  <c r="P19" i="21"/>
  <c r="O19" i="21"/>
  <c r="N19" i="21"/>
  <c r="M19" i="21"/>
  <c r="Q18" i="21"/>
  <c r="P18" i="21"/>
  <c r="O18" i="21"/>
  <c r="N18" i="21"/>
  <c r="M18" i="21"/>
  <c r="Q17" i="21"/>
  <c r="P17" i="21"/>
  <c r="O17" i="21"/>
  <c r="N17" i="21"/>
  <c r="M17" i="21"/>
  <c r="Q26" i="20"/>
  <c r="P26" i="20"/>
  <c r="O26" i="20"/>
  <c r="N26" i="20"/>
  <c r="M26" i="20"/>
  <c r="Q25" i="20"/>
  <c r="P25" i="20"/>
  <c r="O25" i="20"/>
  <c r="N25" i="20"/>
  <c r="M25" i="20"/>
  <c r="Q24" i="20"/>
  <c r="P24" i="20"/>
  <c r="O24" i="20"/>
  <c r="N24" i="20"/>
  <c r="M24" i="20"/>
  <c r="Q23" i="20"/>
  <c r="P23" i="20"/>
  <c r="O23" i="20"/>
  <c r="N23" i="20"/>
  <c r="M23" i="20"/>
  <c r="Q22" i="20"/>
  <c r="P22" i="20"/>
  <c r="O22" i="20"/>
  <c r="N22" i="20"/>
  <c r="M22" i="20"/>
  <c r="Q21" i="20"/>
  <c r="P21" i="20"/>
  <c r="O21" i="20"/>
  <c r="N21" i="20"/>
  <c r="M21" i="20"/>
  <c r="Q20" i="20"/>
  <c r="P20" i="20"/>
  <c r="O20" i="20"/>
  <c r="N20" i="20"/>
  <c r="M20" i="20"/>
  <c r="Q19" i="20"/>
  <c r="P19" i="20"/>
  <c r="O19" i="20"/>
  <c r="N19" i="20"/>
  <c r="M19" i="20"/>
  <c r="Q18" i="20"/>
  <c r="P18" i="20"/>
  <c r="O18" i="20"/>
  <c r="N18" i="20"/>
  <c r="M18" i="20"/>
  <c r="Q17" i="20"/>
  <c r="P17" i="20"/>
  <c r="O17" i="20"/>
  <c r="N17" i="20"/>
  <c r="M17" i="20"/>
  <c r="Q26" i="19"/>
  <c r="P26" i="19"/>
  <c r="O26" i="19"/>
  <c r="N26" i="19"/>
  <c r="M26" i="19"/>
  <c r="Q25" i="19"/>
  <c r="P25" i="19"/>
  <c r="O25" i="19"/>
  <c r="N25" i="19"/>
  <c r="M25" i="19"/>
  <c r="Q24" i="19"/>
  <c r="P24" i="19"/>
  <c r="O24" i="19"/>
  <c r="N24" i="19"/>
  <c r="M24" i="19"/>
  <c r="Q23" i="19"/>
  <c r="P23" i="19"/>
  <c r="O23" i="19"/>
  <c r="N23" i="19"/>
  <c r="M23" i="19"/>
  <c r="Q22" i="19"/>
  <c r="P22" i="19"/>
  <c r="O22" i="19"/>
  <c r="N22" i="19"/>
  <c r="M22" i="19"/>
  <c r="Q21" i="19"/>
  <c r="P21" i="19"/>
  <c r="O21" i="19"/>
  <c r="N21" i="19"/>
  <c r="M21" i="19"/>
  <c r="Q20" i="19"/>
  <c r="P20" i="19"/>
  <c r="O20" i="19"/>
  <c r="N20" i="19"/>
  <c r="M20" i="19"/>
  <c r="Q19" i="19"/>
  <c r="P19" i="19"/>
  <c r="O19" i="19"/>
  <c r="N19" i="19"/>
  <c r="M19" i="19"/>
  <c r="Q18" i="19"/>
  <c r="P18" i="19"/>
  <c r="O18" i="19"/>
  <c r="N18" i="19"/>
  <c r="M18" i="19"/>
  <c r="Q17" i="19"/>
  <c r="P17" i="19"/>
  <c r="O17" i="19"/>
  <c r="N17" i="19"/>
  <c r="M17" i="19"/>
  <c r="Q26" i="18"/>
  <c r="P26" i="18"/>
  <c r="O26" i="18"/>
  <c r="N26" i="18"/>
  <c r="M26" i="18"/>
  <c r="Q25" i="18"/>
  <c r="P25" i="18"/>
  <c r="O25" i="18"/>
  <c r="N25" i="18"/>
  <c r="M25" i="18"/>
  <c r="Q24" i="18"/>
  <c r="P24" i="18"/>
  <c r="O24" i="18"/>
  <c r="N24" i="18"/>
  <c r="M24" i="18"/>
  <c r="Q23" i="18"/>
  <c r="P23" i="18"/>
  <c r="O23" i="18"/>
  <c r="N23" i="18"/>
  <c r="M23" i="18"/>
  <c r="Q22" i="18"/>
  <c r="P22" i="18"/>
  <c r="O22" i="18"/>
  <c r="N22" i="18"/>
  <c r="M22" i="18"/>
  <c r="Q21" i="18"/>
  <c r="P21" i="18"/>
  <c r="O21" i="18"/>
  <c r="N21" i="18"/>
  <c r="M21" i="18"/>
  <c r="Q20" i="18"/>
  <c r="P20" i="18"/>
  <c r="O20" i="18"/>
  <c r="N20" i="18"/>
  <c r="M20" i="18"/>
  <c r="Q19" i="18"/>
  <c r="P19" i="18"/>
  <c r="O19" i="18"/>
  <c r="N19" i="18"/>
  <c r="M19" i="18"/>
  <c r="Q18" i="18"/>
  <c r="P18" i="18"/>
  <c r="O18" i="18"/>
  <c r="N18" i="18"/>
  <c r="M18" i="18"/>
  <c r="Q17" i="18"/>
  <c r="P17" i="18"/>
  <c r="O17" i="18"/>
  <c r="N17" i="18"/>
  <c r="M17" i="18"/>
  <c r="Q26" i="17"/>
  <c r="P26" i="17"/>
  <c r="O26" i="17"/>
  <c r="N26" i="17"/>
  <c r="M26" i="17"/>
  <c r="Q25" i="17"/>
  <c r="P25" i="17"/>
  <c r="O25" i="17"/>
  <c r="N25" i="17"/>
  <c r="M25" i="17"/>
  <c r="Q24" i="17"/>
  <c r="P24" i="17"/>
  <c r="O24" i="17"/>
  <c r="N24" i="17"/>
  <c r="M24" i="17"/>
  <c r="Q23" i="17"/>
  <c r="P23" i="17"/>
  <c r="O23" i="17"/>
  <c r="N23" i="17"/>
  <c r="M23" i="17"/>
  <c r="Q22" i="17"/>
  <c r="P22" i="17"/>
  <c r="O22" i="17"/>
  <c r="N22" i="17"/>
  <c r="M22" i="17"/>
  <c r="Q21" i="17"/>
  <c r="P21" i="17"/>
  <c r="O21" i="17"/>
  <c r="N21" i="17"/>
  <c r="M21" i="17"/>
  <c r="Q20" i="17"/>
  <c r="P20" i="17"/>
  <c r="O20" i="17"/>
  <c r="N20" i="17"/>
  <c r="M20" i="17"/>
  <c r="Q19" i="17"/>
  <c r="P19" i="17"/>
  <c r="O19" i="17"/>
  <c r="N19" i="17"/>
  <c r="M19" i="17"/>
  <c r="Q18" i="17"/>
  <c r="P18" i="17"/>
  <c r="O18" i="17"/>
  <c r="N18" i="17"/>
  <c r="M18" i="17"/>
  <c r="Q17" i="17"/>
  <c r="P17" i="17"/>
  <c r="O17" i="17"/>
  <c r="N17" i="17"/>
  <c r="M17" i="17"/>
  <c r="Q26" i="16"/>
  <c r="P26" i="16"/>
  <c r="O26" i="16"/>
  <c r="N26" i="16"/>
  <c r="M26" i="16"/>
  <c r="Q25" i="16"/>
  <c r="P25" i="16"/>
  <c r="O25" i="16"/>
  <c r="N25" i="16"/>
  <c r="M25" i="16"/>
  <c r="Q24" i="16"/>
  <c r="P24" i="16"/>
  <c r="O24" i="16"/>
  <c r="N24" i="16"/>
  <c r="M24" i="16"/>
  <c r="Q23" i="16"/>
  <c r="P23" i="16"/>
  <c r="O23" i="16"/>
  <c r="N23" i="16"/>
  <c r="M23" i="16"/>
  <c r="Q22" i="16"/>
  <c r="P22" i="16"/>
  <c r="O22" i="16"/>
  <c r="N22" i="16"/>
  <c r="M22" i="16"/>
  <c r="Q21" i="16"/>
  <c r="P21" i="16"/>
  <c r="O21" i="16"/>
  <c r="N21" i="16"/>
  <c r="M21" i="16"/>
  <c r="Q20" i="16"/>
  <c r="P20" i="16"/>
  <c r="O20" i="16"/>
  <c r="N20" i="16"/>
  <c r="M20" i="16"/>
  <c r="Q19" i="16"/>
  <c r="P19" i="16"/>
  <c r="O19" i="16"/>
  <c r="N19" i="16"/>
  <c r="M19" i="16"/>
  <c r="Q18" i="16"/>
  <c r="P18" i="16"/>
  <c r="O18" i="16"/>
  <c r="N18" i="16"/>
  <c r="M18" i="16"/>
  <c r="Q17" i="16"/>
  <c r="P17" i="16"/>
  <c r="O17" i="16"/>
  <c r="N17" i="16"/>
  <c r="M17" i="16"/>
  <c r="Q26" i="15"/>
  <c r="P26" i="15"/>
  <c r="O26" i="15"/>
  <c r="N26" i="15"/>
  <c r="M26" i="15"/>
  <c r="Q25" i="15"/>
  <c r="P25" i="15"/>
  <c r="O25" i="15"/>
  <c r="N25" i="15"/>
  <c r="M25" i="15"/>
  <c r="Q24" i="15"/>
  <c r="P24" i="15"/>
  <c r="O24" i="15"/>
  <c r="N24" i="15"/>
  <c r="M24" i="15"/>
  <c r="Q23" i="15"/>
  <c r="P23" i="15"/>
  <c r="O23" i="15"/>
  <c r="N23" i="15"/>
  <c r="M23" i="15"/>
  <c r="Q22" i="15"/>
  <c r="P22" i="15"/>
  <c r="O22" i="15"/>
  <c r="N22" i="15"/>
  <c r="M22" i="15"/>
  <c r="Q21" i="15"/>
  <c r="P21" i="15"/>
  <c r="O21" i="15"/>
  <c r="N21" i="15"/>
  <c r="M21" i="15"/>
  <c r="Q20" i="15"/>
  <c r="P20" i="15"/>
  <c r="O20" i="15"/>
  <c r="N20" i="15"/>
  <c r="M20" i="15"/>
  <c r="Q19" i="15"/>
  <c r="P19" i="15"/>
  <c r="O19" i="15"/>
  <c r="N19" i="15"/>
  <c r="M19" i="15"/>
  <c r="Q18" i="15"/>
  <c r="P18" i="15"/>
  <c r="O18" i="15"/>
  <c r="N18" i="15"/>
  <c r="M18" i="15"/>
  <c r="Q17" i="15"/>
  <c r="P17" i="15"/>
  <c r="O17" i="15"/>
  <c r="N17" i="15"/>
  <c r="M17" i="15"/>
  <c r="K6" i="2"/>
  <c r="K49" i="2"/>
  <c r="K43" i="2"/>
  <c r="K37" i="2"/>
  <c r="K39" i="2"/>
  <c r="K24" i="2"/>
  <c r="K25" i="2"/>
  <c r="K27" i="2"/>
  <c r="K46" i="2"/>
  <c r="K26" i="2"/>
  <c r="K40" i="2"/>
  <c r="K9" i="2"/>
  <c r="K10" i="2"/>
  <c r="K33" i="2"/>
  <c r="K47" i="2"/>
  <c r="K31" i="2"/>
  <c r="K8" i="2"/>
  <c r="K53" i="2"/>
  <c r="K45" i="2"/>
  <c r="K20" i="2"/>
  <c r="K52" i="2"/>
  <c r="K48" i="2"/>
  <c r="K30" i="2"/>
  <c r="K7" i="2"/>
  <c r="K51" i="2"/>
  <c r="K28" i="2"/>
  <c r="K51" i="52" l="1"/>
  <c r="K9" i="52"/>
  <c r="K24" i="52"/>
  <c r="K48" i="52"/>
  <c r="K30" i="52"/>
  <c r="K10" i="52"/>
  <c r="K27" i="52"/>
  <c r="K37" i="52"/>
  <c r="K52" i="52"/>
  <c r="K26" i="52"/>
  <c r="K40" i="52"/>
  <c r="K49" i="52"/>
  <c r="K33" i="52"/>
  <c r="K39" i="52"/>
  <c r="K43" i="52"/>
  <c r="K28" i="52"/>
  <c r="K47" i="52"/>
  <c r="K46" i="52"/>
  <c r="K45" i="52"/>
  <c r="K8" i="52"/>
  <c r="K7" i="52"/>
  <c r="K25" i="52"/>
  <c r="K31" i="52"/>
  <c r="K53" i="52"/>
  <c r="K20" i="52"/>
  <c r="K6" i="52"/>
  <c r="Q26" i="14"/>
  <c r="P26" i="14"/>
  <c r="O26" i="14"/>
  <c r="N26" i="14"/>
  <c r="M26" i="14"/>
  <c r="Q25" i="14"/>
  <c r="P25" i="14"/>
  <c r="O25" i="14"/>
  <c r="N25" i="14"/>
  <c r="M25" i="14"/>
  <c r="Q24" i="14"/>
  <c r="P24" i="14"/>
  <c r="O24" i="14"/>
  <c r="N24" i="14"/>
  <c r="M24" i="14"/>
  <c r="Q23" i="14"/>
  <c r="P23" i="14"/>
  <c r="O23" i="14"/>
  <c r="N23" i="14"/>
  <c r="M23" i="14"/>
  <c r="Q22" i="14"/>
  <c r="P22" i="14"/>
  <c r="O22" i="14"/>
  <c r="N22" i="14"/>
  <c r="M22" i="14"/>
  <c r="Q21" i="14"/>
  <c r="P21" i="14"/>
  <c r="O21" i="14"/>
  <c r="N21" i="14"/>
  <c r="M21" i="14"/>
  <c r="Q20" i="14"/>
  <c r="P20" i="14"/>
  <c r="O20" i="14"/>
  <c r="N20" i="14"/>
  <c r="M20" i="14"/>
  <c r="Q19" i="14"/>
  <c r="P19" i="14"/>
  <c r="O19" i="14"/>
  <c r="N19" i="14"/>
  <c r="M19" i="14"/>
  <c r="Q18" i="14"/>
  <c r="P18" i="14"/>
  <c r="O18" i="14"/>
  <c r="N18" i="14"/>
  <c r="M18" i="14"/>
  <c r="Q17" i="14"/>
  <c r="P17" i="14"/>
  <c r="O17" i="14"/>
  <c r="N17" i="14"/>
  <c r="M17" i="14"/>
  <c r="Q26" i="13"/>
  <c r="P26" i="13"/>
  <c r="O26" i="13"/>
  <c r="N26" i="13"/>
  <c r="M26" i="13"/>
  <c r="Q25" i="13"/>
  <c r="P25" i="13"/>
  <c r="O25" i="13"/>
  <c r="N25" i="13"/>
  <c r="M25" i="13"/>
  <c r="Q24" i="13"/>
  <c r="P24" i="13"/>
  <c r="O24" i="13"/>
  <c r="N24" i="13"/>
  <c r="M24" i="13"/>
  <c r="Q23" i="13"/>
  <c r="P23" i="13"/>
  <c r="O23" i="13"/>
  <c r="N23" i="13"/>
  <c r="M23" i="13"/>
  <c r="Q22" i="13"/>
  <c r="P22" i="13"/>
  <c r="O22" i="13"/>
  <c r="N22" i="13"/>
  <c r="M22" i="13"/>
  <c r="Q21" i="13"/>
  <c r="P21" i="13"/>
  <c r="O21" i="13"/>
  <c r="N21" i="13"/>
  <c r="M21" i="13"/>
  <c r="Q20" i="13"/>
  <c r="P20" i="13"/>
  <c r="O20" i="13"/>
  <c r="N20" i="13"/>
  <c r="M20" i="13"/>
  <c r="Q19" i="13"/>
  <c r="P19" i="13"/>
  <c r="O19" i="13"/>
  <c r="N19" i="13"/>
  <c r="M19" i="13"/>
  <c r="Q18" i="13"/>
  <c r="P18" i="13"/>
  <c r="O18" i="13"/>
  <c r="N18" i="13"/>
  <c r="M18" i="13"/>
  <c r="Q17" i="13"/>
  <c r="P17" i="13"/>
  <c r="O17" i="13"/>
  <c r="N17" i="13"/>
  <c r="M17" i="13"/>
  <c r="Q26" i="12"/>
  <c r="P26" i="12"/>
  <c r="O26" i="12"/>
  <c r="N26" i="12"/>
  <c r="M26" i="12"/>
  <c r="Q25" i="12"/>
  <c r="P25" i="12"/>
  <c r="O25" i="12"/>
  <c r="N25" i="12"/>
  <c r="M25" i="12"/>
  <c r="Q24" i="12"/>
  <c r="P24" i="12"/>
  <c r="O24" i="12"/>
  <c r="N24" i="12"/>
  <c r="M24" i="12"/>
  <c r="Q23" i="12"/>
  <c r="P23" i="12"/>
  <c r="O23" i="12"/>
  <c r="N23" i="12"/>
  <c r="M23" i="12"/>
  <c r="Q22" i="12"/>
  <c r="P22" i="12"/>
  <c r="O22" i="12"/>
  <c r="N22" i="12"/>
  <c r="M22" i="12"/>
  <c r="Q21" i="12"/>
  <c r="P21" i="12"/>
  <c r="O21" i="12"/>
  <c r="N21" i="12"/>
  <c r="M21" i="12"/>
  <c r="Q20" i="12"/>
  <c r="P20" i="12"/>
  <c r="O20" i="12"/>
  <c r="N20" i="12"/>
  <c r="M20" i="12"/>
  <c r="Q19" i="12"/>
  <c r="P19" i="12"/>
  <c r="O19" i="12"/>
  <c r="N19" i="12"/>
  <c r="M19" i="12"/>
  <c r="Q18" i="12"/>
  <c r="P18" i="12"/>
  <c r="O18" i="12"/>
  <c r="N18" i="12"/>
  <c r="M18" i="12"/>
  <c r="Q17" i="12"/>
  <c r="P17" i="12"/>
  <c r="O17" i="12"/>
  <c r="N17" i="12"/>
  <c r="M17" i="12"/>
  <c r="Q26" i="11"/>
  <c r="P26" i="11"/>
  <c r="O26" i="11"/>
  <c r="N26" i="11"/>
  <c r="M26" i="11"/>
  <c r="Q25" i="11"/>
  <c r="P25" i="11"/>
  <c r="O25" i="11"/>
  <c r="N25" i="11"/>
  <c r="M25" i="11"/>
  <c r="Q24" i="11"/>
  <c r="P24" i="11"/>
  <c r="O24" i="11"/>
  <c r="N24" i="11"/>
  <c r="M24" i="11"/>
  <c r="Q23" i="11"/>
  <c r="P23" i="11"/>
  <c r="O23" i="11"/>
  <c r="N23" i="11"/>
  <c r="M23" i="11"/>
  <c r="Q22" i="11"/>
  <c r="P22" i="11"/>
  <c r="O22" i="11"/>
  <c r="N22" i="11"/>
  <c r="M22" i="11"/>
  <c r="Q21" i="11"/>
  <c r="P21" i="11"/>
  <c r="O21" i="11"/>
  <c r="N21" i="11"/>
  <c r="M21" i="11"/>
  <c r="Q20" i="11"/>
  <c r="P20" i="11"/>
  <c r="O20" i="11"/>
  <c r="N20" i="11"/>
  <c r="M20" i="11"/>
  <c r="Q19" i="11"/>
  <c r="P19" i="11"/>
  <c r="O19" i="11"/>
  <c r="N19" i="11"/>
  <c r="M19" i="11"/>
  <c r="Q18" i="11"/>
  <c r="P18" i="11"/>
  <c r="O18" i="11"/>
  <c r="N18" i="11"/>
  <c r="M18" i="11"/>
  <c r="Q17" i="11"/>
  <c r="P17" i="11"/>
  <c r="O17" i="11"/>
  <c r="N17" i="11"/>
  <c r="M17" i="11"/>
  <c r="Q26" i="10"/>
  <c r="P26" i="10"/>
  <c r="O26" i="10"/>
  <c r="N26" i="10"/>
  <c r="M26" i="10"/>
  <c r="Q25" i="10"/>
  <c r="P25" i="10"/>
  <c r="O25" i="10"/>
  <c r="N25" i="10"/>
  <c r="M25" i="10"/>
  <c r="Q24" i="10"/>
  <c r="P24" i="10"/>
  <c r="O24" i="10"/>
  <c r="N24" i="10"/>
  <c r="M24" i="10"/>
  <c r="Q23" i="10"/>
  <c r="P23" i="10"/>
  <c r="O23" i="10"/>
  <c r="N23" i="10"/>
  <c r="M23" i="10"/>
  <c r="Q22" i="10"/>
  <c r="P22" i="10"/>
  <c r="O22" i="10"/>
  <c r="N22" i="10"/>
  <c r="M22" i="10"/>
  <c r="Q21" i="10"/>
  <c r="P21" i="10"/>
  <c r="O21" i="10"/>
  <c r="N21" i="10"/>
  <c r="M21" i="10"/>
  <c r="Q20" i="10"/>
  <c r="P20" i="10"/>
  <c r="O20" i="10"/>
  <c r="N20" i="10"/>
  <c r="M20" i="10"/>
  <c r="Q19" i="10"/>
  <c r="P19" i="10"/>
  <c r="O19" i="10"/>
  <c r="N19" i="10"/>
  <c r="M19" i="10"/>
  <c r="Q18" i="10"/>
  <c r="P18" i="10"/>
  <c r="O18" i="10"/>
  <c r="N18" i="10"/>
  <c r="M18" i="10"/>
  <c r="Q17" i="10"/>
  <c r="P17" i="10"/>
  <c r="O17" i="10"/>
  <c r="N17" i="10"/>
  <c r="M17" i="10"/>
  <c r="Q26" i="9"/>
  <c r="P26" i="9"/>
  <c r="O26" i="9"/>
  <c r="N26" i="9"/>
  <c r="M26" i="9"/>
  <c r="Q25" i="9"/>
  <c r="P25" i="9"/>
  <c r="O25" i="9"/>
  <c r="N25" i="9"/>
  <c r="M25" i="9"/>
  <c r="Q24" i="9"/>
  <c r="P24" i="9"/>
  <c r="O24" i="9"/>
  <c r="N24" i="9"/>
  <c r="M24" i="9"/>
  <c r="Q23" i="9"/>
  <c r="P23" i="9"/>
  <c r="O23" i="9"/>
  <c r="N23" i="9"/>
  <c r="M23" i="9"/>
  <c r="Q22" i="9"/>
  <c r="P22" i="9"/>
  <c r="O22" i="9"/>
  <c r="N22" i="9"/>
  <c r="M22" i="9"/>
  <c r="Q21" i="9"/>
  <c r="P21" i="9"/>
  <c r="O21" i="9"/>
  <c r="N21" i="9"/>
  <c r="M21" i="9"/>
  <c r="Q20" i="9"/>
  <c r="P20" i="9"/>
  <c r="O20" i="9"/>
  <c r="N20" i="9"/>
  <c r="M20" i="9"/>
  <c r="Q19" i="9"/>
  <c r="P19" i="9"/>
  <c r="O19" i="9"/>
  <c r="N19" i="9"/>
  <c r="M19" i="9"/>
  <c r="Q18" i="9"/>
  <c r="P18" i="9"/>
  <c r="O18" i="9"/>
  <c r="N18" i="9"/>
  <c r="M18" i="9"/>
  <c r="Q17" i="9"/>
  <c r="P17" i="9"/>
  <c r="O17" i="9"/>
  <c r="N17" i="9"/>
  <c r="M17" i="9"/>
  <c r="Q26" i="8"/>
  <c r="P26" i="8"/>
  <c r="O26" i="8"/>
  <c r="N26" i="8"/>
  <c r="M26" i="8"/>
  <c r="Q25" i="8"/>
  <c r="P25" i="8"/>
  <c r="O25" i="8"/>
  <c r="N25" i="8"/>
  <c r="M25" i="8"/>
  <c r="Q24" i="8"/>
  <c r="P24" i="8"/>
  <c r="O24" i="8"/>
  <c r="N24" i="8"/>
  <c r="M24" i="8"/>
  <c r="Q23" i="8"/>
  <c r="P23" i="8"/>
  <c r="O23" i="8"/>
  <c r="N23" i="8"/>
  <c r="M23" i="8"/>
  <c r="Q22" i="8"/>
  <c r="P22" i="8"/>
  <c r="O22" i="8"/>
  <c r="N22" i="8"/>
  <c r="M22" i="8"/>
  <c r="Q21" i="8"/>
  <c r="P21" i="8"/>
  <c r="O21" i="8"/>
  <c r="N21" i="8"/>
  <c r="M21" i="8"/>
  <c r="Q20" i="8"/>
  <c r="P20" i="8"/>
  <c r="O20" i="8"/>
  <c r="N20" i="8"/>
  <c r="M20" i="8"/>
  <c r="Q19" i="8"/>
  <c r="P19" i="8"/>
  <c r="O19" i="8"/>
  <c r="N19" i="8"/>
  <c r="M19" i="8"/>
  <c r="Q18" i="8"/>
  <c r="P18" i="8"/>
  <c r="O18" i="8"/>
  <c r="N18" i="8"/>
  <c r="M18" i="8"/>
  <c r="Q17" i="8"/>
  <c r="P17" i="8"/>
  <c r="O17" i="8"/>
  <c r="N17" i="8"/>
  <c r="M17" i="8"/>
  <c r="Q26" i="7"/>
  <c r="P26" i="7"/>
  <c r="O26" i="7"/>
  <c r="N26" i="7"/>
  <c r="M26" i="7"/>
  <c r="Q25" i="7"/>
  <c r="P25" i="7"/>
  <c r="O25" i="7"/>
  <c r="N25" i="7"/>
  <c r="M25" i="7"/>
  <c r="Q24" i="7"/>
  <c r="P24" i="7"/>
  <c r="O24" i="7"/>
  <c r="N24" i="7"/>
  <c r="M24" i="7"/>
  <c r="Q23" i="7"/>
  <c r="P23" i="7"/>
  <c r="O23" i="7"/>
  <c r="N23" i="7"/>
  <c r="M23" i="7"/>
  <c r="Q22" i="7"/>
  <c r="P22" i="7"/>
  <c r="O22" i="7"/>
  <c r="N22" i="7"/>
  <c r="M22" i="7"/>
  <c r="Q21" i="7"/>
  <c r="P21" i="7"/>
  <c r="O21" i="7"/>
  <c r="N21" i="7"/>
  <c r="M21" i="7"/>
  <c r="Q20" i="7"/>
  <c r="P20" i="7"/>
  <c r="O20" i="7"/>
  <c r="N20" i="7"/>
  <c r="M20" i="7"/>
  <c r="Q19" i="7"/>
  <c r="P19" i="7"/>
  <c r="O19" i="7"/>
  <c r="N19" i="7"/>
  <c r="M19" i="7"/>
  <c r="Q18" i="7"/>
  <c r="P18" i="7"/>
  <c r="O18" i="7"/>
  <c r="N18" i="7"/>
  <c r="M18" i="7"/>
  <c r="Q17" i="7"/>
  <c r="P17" i="7"/>
  <c r="O17" i="7"/>
  <c r="N17" i="7"/>
  <c r="M17" i="7"/>
  <c r="K22" i="2"/>
  <c r="K42" i="2"/>
  <c r="K32" i="2"/>
  <c r="K44" i="2"/>
  <c r="K35" i="2"/>
  <c r="K50" i="2"/>
  <c r="K54" i="2"/>
  <c r="K32" i="52" l="1"/>
  <c r="K35" i="52"/>
  <c r="K42" i="52"/>
  <c r="K44" i="52"/>
  <c r="K50" i="52"/>
  <c r="K54" i="52"/>
  <c r="K22" i="52"/>
  <c r="Q26" i="6"/>
  <c r="P26" i="6"/>
  <c r="O26" i="6"/>
  <c r="N26" i="6"/>
  <c r="M26" i="6"/>
  <c r="Q25" i="6"/>
  <c r="P25" i="6"/>
  <c r="O25" i="6"/>
  <c r="N25" i="6"/>
  <c r="M25" i="6"/>
  <c r="Q24" i="6"/>
  <c r="P24" i="6"/>
  <c r="O24" i="6"/>
  <c r="N24" i="6"/>
  <c r="M24" i="6"/>
  <c r="Q23" i="6"/>
  <c r="P23" i="6"/>
  <c r="O23" i="6"/>
  <c r="N23" i="6"/>
  <c r="M23" i="6"/>
  <c r="Q22" i="6"/>
  <c r="P22" i="6"/>
  <c r="O22" i="6"/>
  <c r="N22" i="6"/>
  <c r="M22" i="6"/>
  <c r="Q21" i="6"/>
  <c r="P21" i="6"/>
  <c r="O21" i="6"/>
  <c r="N21" i="6"/>
  <c r="M21" i="6"/>
  <c r="Q20" i="6"/>
  <c r="P20" i="6"/>
  <c r="O20" i="6"/>
  <c r="N20" i="6"/>
  <c r="M20" i="6"/>
  <c r="Q19" i="6"/>
  <c r="P19" i="6"/>
  <c r="O19" i="6"/>
  <c r="N19" i="6"/>
  <c r="M19" i="6"/>
  <c r="Q18" i="6"/>
  <c r="P18" i="6"/>
  <c r="O18" i="6"/>
  <c r="N18" i="6"/>
  <c r="M18" i="6"/>
  <c r="Q17" i="6"/>
  <c r="P17" i="6"/>
  <c r="O17" i="6"/>
  <c r="N17" i="6"/>
  <c r="M17" i="6"/>
  <c r="Q26" i="5"/>
  <c r="P26" i="5"/>
  <c r="O26" i="5"/>
  <c r="N26" i="5"/>
  <c r="M26" i="5"/>
  <c r="Q25" i="5"/>
  <c r="P25" i="5"/>
  <c r="O25" i="5"/>
  <c r="N25" i="5"/>
  <c r="M25" i="5"/>
  <c r="Q24" i="5"/>
  <c r="P24" i="5"/>
  <c r="O24" i="5"/>
  <c r="N24" i="5"/>
  <c r="M24" i="5"/>
  <c r="Q23" i="5"/>
  <c r="P23" i="5"/>
  <c r="O23" i="5"/>
  <c r="N23" i="5"/>
  <c r="M23" i="5"/>
  <c r="Q22" i="5"/>
  <c r="P22" i="5"/>
  <c r="O22" i="5"/>
  <c r="N22" i="5"/>
  <c r="M22" i="5"/>
  <c r="Q21" i="5"/>
  <c r="P21" i="5"/>
  <c r="O21" i="5"/>
  <c r="N21" i="5"/>
  <c r="M21" i="5"/>
  <c r="Q20" i="5"/>
  <c r="P20" i="5"/>
  <c r="O20" i="5"/>
  <c r="N20" i="5"/>
  <c r="M20" i="5"/>
  <c r="Q19" i="5"/>
  <c r="P19" i="5"/>
  <c r="O19" i="5"/>
  <c r="N19" i="5"/>
  <c r="M19" i="5"/>
  <c r="Q18" i="5"/>
  <c r="P18" i="5"/>
  <c r="O18" i="5"/>
  <c r="N18" i="5"/>
  <c r="M18" i="5"/>
  <c r="Q17" i="5"/>
  <c r="P17" i="5"/>
  <c r="O17" i="5"/>
  <c r="N17" i="5"/>
  <c r="M17" i="5"/>
  <c r="Q26" i="4"/>
  <c r="P26" i="4"/>
  <c r="O26" i="4"/>
  <c r="N26" i="4"/>
  <c r="M26" i="4"/>
  <c r="Q25" i="4"/>
  <c r="P25" i="4"/>
  <c r="O25" i="4"/>
  <c r="N25" i="4"/>
  <c r="M25" i="4"/>
  <c r="Q24" i="4"/>
  <c r="P24" i="4"/>
  <c r="O24" i="4"/>
  <c r="N24" i="4"/>
  <c r="M24" i="4"/>
  <c r="Q23" i="4"/>
  <c r="P23" i="4"/>
  <c r="O23" i="4"/>
  <c r="N23" i="4"/>
  <c r="M23" i="4"/>
  <c r="Q22" i="4"/>
  <c r="P22" i="4"/>
  <c r="O22" i="4"/>
  <c r="N22" i="4"/>
  <c r="M22" i="4"/>
  <c r="Q21" i="4"/>
  <c r="P21" i="4"/>
  <c r="O21" i="4"/>
  <c r="N21" i="4"/>
  <c r="M21" i="4"/>
  <c r="Q20" i="4"/>
  <c r="P20" i="4"/>
  <c r="O20" i="4"/>
  <c r="N20" i="4"/>
  <c r="M20" i="4"/>
  <c r="Q19" i="4"/>
  <c r="P19" i="4"/>
  <c r="O19" i="4"/>
  <c r="N19" i="4"/>
  <c r="M19" i="4"/>
  <c r="Q18" i="4"/>
  <c r="P18" i="4"/>
  <c r="O18" i="4"/>
  <c r="N18" i="4"/>
  <c r="M18" i="4"/>
  <c r="Q17" i="4"/>
  <c r="P17" i="4"/>
  <c r="O17" i="4"/>
  <c r="N17" i="4"/>
  <c r="M17" i="4"/>
  <c r="Q26" i="3"/>
  <c r="P26" i="3"/>
  <c r="O26" i="3"/>
  <c r="N26" i="3"/>
  <c r="M26" i="3"/>
  <c r="Q25" i="3"/>
  <c r="P25" i="3"/>
  <c r="O25" i="3"/>
  <c r="N25" i="3"/>
  <c r="M25" i="3"/>
  <c r="Q24" i="3"/>
  <c r="P24" i="3"/>
  <c r="O24" i="3"/>
  <c r="N24" i="3"/>
  <c r="M24" i="3"/>
  <c r="Q23" i="3"/>
  <c r="P23" i="3"/>
  <c r="O23" i="3"/>
  <c r="N23" i="3"/>
  <c r="M23" i="3"/>
  <c r="Q22" i="3"/>
  <c r="P22" i="3"/>
  <c r="O22" i="3"/>
  <c r="N22" i="3"/>
  <c r="M22" i="3"/>
  <c r="Q21" i="3"/>
  <c r="P21" i="3"/>
  <c r="O21" i="3"/>
  <c r="N21" i="3"/>
  <c r="M21" i="3"/>
  <c r="Q20" i="3"/>
  <c r="P20" i="3"/>
  <c r="O20" i="3"/>
  <c r="N20" i="3"/>
  <c r="M20" i="3"/>
  <c r="Q19" i="3"/>
  <c r="P19" i="3"/>
  <c r="O19" i="3"/>
  <c r="N19" i="3"/>
  <c r="M19" i="3"/>
  <c r="Q18" i="3"/>
  <c r="P18" i="3"/>
  <c r="O18" i="3"/>
  <c r="N18" i="3"/>
  <c r="M18" i="3"/>
  <c r="Q17" i="3"/>
  <c r="P17" i="3"/>
  <c r="O17" i="3"/>
  <c r="N17" i="3"/>
  <c r="M17" i="3"/>
  <c r="P25" i="1"/>
  <c r="Q25" i="1"/>
  <c r="M25" i="1"/>
  <c r="N25" i="1"/>
  <c r="O25" i="1"/>
  <c r="P26" i="1"/>
  <c r="Q26" i="1"/>
  <c r="M26" i="1"/>
  <c r="N26" i="1"/>
  <c r="O26" i="1"/>
  <c r="P22" i="1"/>
  <c r="Q22" i="1"/>
  <c r="M22" i="1"/>
  <c r="N22" i="1"/>
  <c r="O22" i="1"/>
  <c r="P23" i="1"/>
  <c r="Q23" i="1"/>
  <c r="M23" i="1"/>
  <c r="N23" i="1"/>
  <c r="O23" i="1"/>
  <c r="P24" i="1"/>
  <c r="Q24" i="1"/>
  <c r="M24" i="1"/>
  <c r="N24" i="1"/>
  <c r="O24" i="1"/>
  <c r="P18" i="1"/>
  <c r="Q18" i="1"/>
  <c r="M18" i="1"/>
  <c r="N18" i="1"/>
  <c r="O18" i="1"/>
  <c r="P19" i="1"/>
  <c r="Q19" i="1"/>
  <c r="M19" i="1"/>
  <c r="N19" i="1"/>
  <c r="O19" i="1"/>
  <c r="P20" i="1"/>
  <c r="Q20" i="1"/>
  <c r="M20" i="1"/>
  <c r="N20" i="1"/>
  <c r="O20" i="1"/>
  <c r="P21" i="1"/>
  <c r="Q21" i="1"/>
  <c r="M21" i="1"/>
  <c r="N21" i="1"/>
  <c r="O21" i="1"/>
  <c r="O17" i="1"/>
  <c r="N17" i="1"/>
  <c r="M17" i="1"/>
  <c r="Q17" i="1"/>
  <c r="P17" i="1"/>
  <c r="K41" i="2"/>
  <c r="K38" i="2"/>
  <c r="K29" i="2"/>
  <c r="K34" i="2"/>
  <c r="K36" i="2"/>
  <c r="K23" i="2"/>
  <c r="K34" i="52" l="1"/>
  <c r="K38" i="52"/>
  <c r="K23" i="52"/>
  <c r="K36" i="52"/>
  <c r="K41" i="52"/>
  <c r="K29" i="52"/>
</calcChain>
</file>

<file path=xl/connections.xml><?xml version="1.0" encoding="utf-8"?>
<connections xmlns="http://schemas.openxmlformats.org/spreadsheetml/2006/main">
  <connection id="1" name="Connexion" type="4" refreshedVersion="5" background="1" saveData="1">
    <webPr sourceData="1" parsePre="1" consecutive="1" xl2000="1" url="https://www.aavso.org/apps/webobs/results/?star=ag+dra&amp;num_results=10000&amp;obs_types=ccd"/>
  </connection>
  <connection id="2" interval="60" name="Connexion1" type="4" refreshedVersion="5" background="1" refreshOnLoad="1" saveData="1">
    <webPr sourceData="1" parsePre="1" consecutive="1" xl2000="1" url="https://www.aavso.org/apps/webobs/results/?star=ch+cyg&amp;num_results=25&amp;obs_types=ccd"/>
  </connection>
  <connection id="3" name="Connexion10" type="4" refreshedVersion="5" background="1" saveData="1">
    <webPr sourceData="1" parsePre="1" consecutive="1" xl2000="1" url="https://www.aavso.org/apps/webobs/results/?star=v443+her&amp;num_results=25&amp;obs_types=ccd"/>
  </connection>
  <connection id="4" name="Connexion11" type="4" refreshedVersion="5" background="1" saveData="1">
    <webPr sourceData="1" parsePre="1" consecutive="1" xl2000="1" url="https://www.aavso.org/apps/webobs/results/?star=yy+her&amp;num_results=25&amp;obs_types=ccd"/>
  </connection>
  <connection id="5" name="Connexion12" type="4" refreshedVersion="5" background="1" saveData="1">
    <webPr sourceData="1" parsePre="1" consecutive="1" xl2000="1" url="https://www.aavso.org/apps/webobs/results/?star=v503+her&amp;num_results=25&amp;obs_types=ccd"/>
  </connection>
  <connection id="6" name="Connexion13" type="4" refreshedVersion="5" background="1" saveData="1">
    <webPr sourceData="1" parsePre="1" consecutive="1" xl2000="1" url="https://www.aavso.org/apps/webobs/results/?star=rs+oph&amp;num_results=25&amp;obs_types=ccd"/>
  </connection>
  <connection id="7" name="Connexion14" type="4" refreshedVersion="5" background="1" saveData="1">
    <webPr sourceData="1" parsePre="1" consecutive="1" xl2000="1" url="https://www.aavso.org/apps/webobs/results/?star=v934+her&amp;num_results=25&amp;obs_types=ccd"/>
  </connection>
  <connection id="8" name="Connexion15" type="4" refreshedVersion="5" background="1" saveData="1">
    <webPr sourceData="1" parsePre="1" consecutive="1" xl2000="1" url="https://www.aavso.org/apps/webobs/results/?star=as+289&amp;num_results=25&amp;obs_types=ccd"/>
  </connection>
  <connection id="9" name="Connexion16" type="4" refreshedVersion="5" background="1" saveData="1">
    <webPr sourceData="1" parsePre="1" consecutive="1" xl2000="1" url="https://www.aavso.org/apps/webobs/results/?star=as+270&amp;num_results=25&amp;obs_types=ccd"/>
  </connection>
  <connection id="10" name="Connexion17" type="4" refreshedVersion="5" background="1" saveData="1">
    <webPr sourceData="1" parsePre="1" consecutive="1" xl2000="1" url="https://www.aavso.org/apps/webobs/results/?star=fg+ser&amp;num_results=25&amp;obs_types=ccd"/>
  </connection>
  <connection id="11" name="Connexion18" type="4" refreshedVersion="5" background="1" saveData="1">
    <webPr sourceData="1" parsePre="1" consecutive="1" xl2000="1" url="https://www.aavso.org/apps/webobs/results/?star=fn+sgr&amp;num_results=25&amp;obs_types=ccd"/>
  </connection>
  <connection id="12" name="Connexion19" type="4" refreshedVersion="5" background="1" saveData="1">
    <webPr sourceData="1" parsePre="1" consecutive="1" xl2000="1" url="https://www.aavso.org/apps/webobs/results/?star=v919+sgr&amp;num_results=25&amp;obs_types=ccd"/>
  </connection>
  <connection id="13" interval="60" name="Connexion2" type="4" refreshedVersion="5" background="1" refreshOnLoad="1" saveData="1">
    <webPr sourceData="1" parsePre="1" consecutive="1" xl2000="1" url="https://www.aavso.org/apps/webobs/results/?star=ci+cyg&amp;num_results=25&amp;obs_types=ccd"/>
  </connection>
  <connection id="14" name="Connexion20" type="4" refreshedVersion="5" background="1" saveData="1">
    <webPr sourceData="1" parsePre="1" consecutive="1" xl2000="1" url="https://www.aavso.org/apps/webobs/results/?star=hm+sge&amp;num_results=25&amp;obs_types=ccd"/>
  </connection>
  <connection id="15" name="Connexion21" type="4" refreshedVersion="5" background="1" refreshOnLoad="1" saveData="1">
    <webPr sourceData="1" parsePre="1" consecutive="1" xl2000="1" url="https://www.aavso.org/apps/webobs/results/?star=qw+sge&amp;num_results=25&amp;obs_types=ccd"/>
  </connection>
  <connection id="16" name="Connexion22" type="4" refreshedVersion="5" background="1" saveData="1">
    <webPr sourceData="1" parsePre="1" consecutive="1" xl2000="1" url="https://www.aavso.org/apps/webobs/results/?star=v1016+cyg&amp;num_results=25&amp;obs_types=ccd"/>
  </connection>
  <connection id="17" name="Connexion23" type="4" refreshedVersion="5" background="1" saveData="1">
    <webPr sourceData="1" parsePre="1" consecutive="1" xl2000="1" url="https://www.aavso.org/apps/webobs/results/?star=lt+del&amp;num_results=25&amp;obs_types=ccd"/>
  </connection>
  <connection id="18" name="Connexion24" type="4" refreshedVersion="5" background="1" saveData="1">
    <webPr sourceData="1" parsePre="1" consecutive="1" xl2000="1" url="https://www.aavso.org/apps/webobs/results/?star=er+del&amp;num_results=25&amp;obs_types=ccd"/>
  </connection>
  <connection id="19" name="Connexion25" type="4" refreshedVersion="5" background="1" saveData="1">
    <webPr sourceData="1" parsePre="1" consecutive="1" xl2000="1" url="https://www.aavso.org/apps/webobs/results/?star=v1329+cyg&amp;num_results=25&amp;obs_types=ccd"/>
  </connection>
  <connection id="20" name="Connexion26" type="4" refreshedVersion="5" background="1" saveData="1">
    <webPr sourceData="1" parsePre="1" consecutive="1" xl2000="1" url="https://www.aavso.org/apps/webobs/results/?star=v407+cyg&amp;num_results=25&amp;obs_types=ccd"/>
  </connection>
  <connection id="21" name="Connexion27" type="4" refreshedVersion="5" background="1" saveData="1">
    <webPr sourceData="1" parsePre="1" consecutive="1" xl2000="1" url="https://www.aavso.org/apps/webobs/results/?star=stha+190&amp;num_results=25&amp;obs_types=ccd"/>
  </connection>
  <connection id="22" name="Connexion28" type="4" refreshedVersion="5" background="1" saveData="1">
    <webPr sourceData="1" parsePre="1" consecutive="1" xl2000="1" url="https://www.aavso.org/apps/webobs/results/?star=v627+cas&amp;num_results=25&amp;obs_types=ccd"/>
  </connection>
  <connection id="23" name="Connexion29" type="4" refreshedVersion="5" background="1" saveData="1">
    <webPr sourceData="1" parsePre="1" consecutive="1" xl2000="1" url="https://www.aavso.org/apps/webobs/results/?star=r+aqr&amp;num_results=25&amp;obs_types=ccd"/>
  </connection>
  <connection id="24" interval="60" name="Connexion3" type="4" refreshedVersion="5" background="1" refreshOnLoad="1" saveData="1">
    <webPr sourceData="1" parsePre="1" consecutive="1" xl2000="1" url="https://www.aavso.org/apps/webobs/results/?star=v335+vul&amp;num_results=25&amp;obs_types=ccd"/>
  </connection>
  <connection id="25" name="Connexion30" type="4" refreshedVersion="5" background="1" saveData="1">
    <webPr sourceData="1" parsePre="1" consecutive="1" xl2000="1" url="https://www.aavso.org/apps/webobs/results/?star=z+and&amp;num_results=25&amp;obs_types=ccd"/>
  </connection>
  <connection id="26" name="Connexion31" type="4" refreshedVersion="5" background="1" saveData="1">
    <webPr sourceData="1" parsePre="1" consecutive="1" xl2000="1" url="https://www.aavso.org/apps/webobs/results/?star=eg+and&amp;num_results=25&amp;obs_types=ccd"/>
  </connection>
  <connection id="27" name="Connexion32" type="4" refreshedVersion="5" background="1" saveData="1">
    <webPr sourceData="1" parsePre="1" consecutive="1" xl2000="1" url="https://www.aavso.org/apps/webobs/results/?star=ax+per&amp;num_results=25&amp;obs_types=ccd"/>
  </connection>
  <connection id="28" name="Connexion33" type="4" refreshedVersion="5" background="1" saveData="1">
    <webPr sourceData="1" parsePre="1" consecutive="1" xl2000="1" url="https://www.aavso.org/apps/webobs/results/?star=bd+cam&amp;num_results=25&amp;obs_types=ccd"/>
  </connection>
  <connection id="29" name="Connexion34" type="4" refreshedVersion="5" background="1" saveData="1">
    <webPr sourceData="1" parsePre="1" consecutive="1" xl2000="1" url="https://www.aavso.org/apps/webobs/results/?star=v471+per&amp;num_results=25&amp;obs_types=ccd"/>
  </connection>
  <connection id="30" name="Connexion35" type="4" refreshedVersion="5" background="1" saveData="1">
    <webPr sourceData="1" parsePre="1" consecutive="1" xl2000="1" url="https://www.aavso.org/apps/webobs/results/?star=omi+cet&amp;num_results=25&amp;obs_types=ccd"/>
  </connection>
  <connection id="31" name="Connexion36" type="4" refreshedVersion="5" background="1" saveData="1">
    <webPr sourceData="1" parsePre="1" consecutive="1" xl2000="1" url="https://www.aavso.org/apps/webobs/results/?star=cq+dra&amp;num_results=25&amp;obs_types=ccd"/>
  </connection>
  <connection id="32" name="Connexion37" type="4" refreshedVersion="5" background="1" saveData="1">
    <webPr sourceData="1" parsePre="1" consecutive="1" xl2000="1" url="https://www.aavso.org/apps/webobs/results/?star=tx+cvn&amp;num_results=25&amp;obs_types=ccd"/>
  </connection>
  <connection id="33" name="Connexion38" type="4" refreshedVersion="5" background="1" saveData="1">
    <webPr sourceData="1" parsePre="1" consecutive="1" xl2000="1" url="https://www.aavso.org/apps/webobs/results/?star=iv+vir&amp;num_results=25&amp;obs_types=ccd"/>
  </connection>
  <connection id="34" name="Connexion39" type="4" refreshedVersion="5" background="1" saveData="1">
    <webPr sourceData="1" parsePre="1" consecutive="1" xl2000="1" url="https://www.aavso.org/apps/webobs/results/?star=uv+aur&amp;num_results=25&amp;obs_types=ccd"/>
  </connection>
  <connection id="35" interval="60" name="Connexion4" type="4" refreshedVersion="5" background="1" refreshOnLoad="1" saveData="1">
    <webPr sourceData="1" parsePre="1" consecutive="1" xl2000="1" url="https://www.aavso.org/apps/webobs/results/?star=v1413+aql&amp;num_results=25&amp;obs_types=ccd"/>
  </connection>
  <connection id="36" name="Connexion40" type="4" refreshedVersion="5" background="1" saveData="1">
    <webPr sourceData="1" parsePre="1" consecutive="1" xl2000="1" url="https://www.aavso.org/apps/webobs/results/?star=v1261+ori&amp;num_results=25&amp;obs_types=ccd"/>
  </connection>
  <connection id="37" name="Connexion41" type="4" refreshedVersion="5" background="1" saveData="1">
    <webPr sourceData="1" parsePre="1" consecutive="1" xl2000="1" url="https://www.aavso.org/apps/webobs/results/?star=stha+55&amp;num_results=25&amp;obs_types=ccd"/>
  </connection>
  <connection id="38" name="Connexion42" type="4" refreshedVersion="5" background="1" saveData="1">
    <webPr sourceData="1" parsePre="1" consecutive="1" xl2000="1" url="https://www.aavso.org/apps/webobs/results/?star=zz+cmi&amp;num_results=25&amp;obs_types=ccd"/>
  </connection>
  <connection id="39" name="Connexion43" type="4" refreshedVersion="5" background="1" saveData="1">
    <webPr sourceData="1" parsePre="1" consecutive="1" xl2000="1" url="https://www.aavso.org/apps/webobs/results/?star=bx+mon&amp;num_results=25&amp;obs_types=ccd"/>
  </connection>
  <connection id="40" name="Connexion44" type="4" refreshedVersion="5" background="1" saveData="1">
    <webPr sourceData="1" parsePre="1" consecutive="1" xl2000="1" url="https://www.aavso.org/apps/webobs/results/?star=v694+mon&amp;num_results=25&amp;obs_types=ccd"/>
  </connection>
  <connection id="41" name="Connexion45" type="4" refreshedVersion="5" background="1" saveData="1">
    <webPr sourceData="1" parsePre="1" consecutive="1" xl2000="1" url="https://www.aavso.org/apps/webobs/results/?star=nq+gem&amp;num_results=25&amp;obs_types=ccd"/>
  </connection>
  <connection id="42" name="Connexion46" type="4" refreshedVersion="5" background="1" saveData="1">
    <webPr sourceData="1" parsePre="1" consecutive="1" xl2000="1" url="https://www.aavso.org/apps/webobs/results/?star=gh+gem&amp;num_results=25&amp;obs_types=ccd"/>
  </connection>
  <connection id="43" name="Connexion47" type="4" refreshedVersion="5" background="1" saveData="1">
    <webPr sourceData="1" parsePre="1" consecutive="1" xl2000="1" url="https://www.aavso.org/apps/webobs/results/?star=stha+149&amp;num_results=25&amp;obs_types=ccd"/>
  </connection>
  <connection id="44" name="Connexion48" type="4" refreshedVersion="5" background="1" saveData="1">
    <webPr sourceData="1" parsePre="1" consecutive="1" xl2000="1" url="https://www.aavso.org/apps/webobs/results/?star=su+lyn&amp;num_results=25&amp;obs_types=ccd"/>
  </connection>
  <connection id="45" name="Connexion5" type="4" refreshedVersion="5" background="1" saveData="1">
    <webPr sourceData="1" parsePre="1" consecutive="1" xl2000="1" url="https://www.aavso.org/apps/webobs/results/?star=pu+vul&amp;num_results=25&amp;obs_types=ccd"/>
  </connection>
  <connection id="46" name="Connexion6" type="4" refreshedVersion="5" background="1" saveData="1">
    <webPr sourceData="1" parsePre="1" consecutive="1" xl2000="1" url="https://www.aavso.org/apps/webobs/results/?star=ag+peg&amp;num_results=25&amp;obs_types=ccd"/>
  </connection>
  <connection id="47" name="Connexion7" type="4" refreshedVersion="5" background="1" saveData="1">
    <webPr sourceData="1" parsePre="1" consecutive="1" xl2000="1" url="https://www.aavso.org/apps/webobs/results/?star=bf+cyg&amp;num_results=25&amp;obs_types=ccd"/>
  </connection>
  <connection id="48" name="Connexion8" type="4" refreshedVersion="5" background="1" saveData="1">
    <webPr sourceData="1" parsePre="1" consecutive="1" xl2000="1" url="https://www.aavso.org/apps/webobs/results/?star=stha+169&amp;num_results=25&amp;obs_types=ccd"/>
  </connection>
  <connection id="49" name="Connexion9" type="4" refreshedVersion="5" background="1" saveData="1">
    <webPr sourceData="1" parsePre="1" consecutive="1" xl2000="1" url="https://www.aavso.org/apps/webobs/results/?star=t+crb&amp;num_results=25&amp;obs_types=ccd"/>
  </connection>
</connections>
</file>

<file path=xl/sharedStrings.xml><?xml version="1.0" encoding="utf-8"?>
<sst xmlns="http://schemas.openxmlformats.org/spreadsheetml/2006/main" count="21776" uniqueCount="2873">
  <si>
    <t>AAVSO: American Association of Variable Star Observers</t>
  </si>
  <si>
    <t>1. Home</t>
  </si>
  <si>
    <t>2. WebObs</t>
  </si>
  <si>
    <t>3. Search</t>
  </si>
  <si>
    <t>4. Results</t>
  </si>
  <si>
    <t>WebObs Search Results</t>
  </si>
  <si>
    <t>Plot a Chart</t>
  </si>
  <si>
    <t>Generate a Light Curve</t>
  </si>
  <si>
    <t>Search VSX</t>
  </si>
  <si>
    <t>Star</t>
  </si>
  <si>
    <t>JD</t>
  </si>
  <si>
    <t>Calendar Date</t>
  </si>
  <si>
    <t>Magnitude</t>
  </si>
  <si>
    <t>Error</t>
  </si>
  <si>
    <t>Filter</t>
  </si>
  <si>
    <t>Observer</t>
  </si>
  <si>
    <t>AG DRA</t>
  </si>
  <si>
    <t>2016 Jun. 05.91596</t>
  </si>
  <si>
    <t>V</t>
  </si>
  <si>
    <t>BDG</t>
  </si>
  <si>
    <t>Details...</t>
  </si>
  <si>
    <t>Comp Star</t>
  </si>
  <si>
    <t>Check Star</t>
  </si>
  <si>
    <t>Transformed</t>
  </si>
  <si>
    <t>Chart</t>
  </si>
  <si>
    <t>Comment Codes</t>
  </si>
  <si>
    <t>Notes</t>
  </si>
  <si>
    <t>ENSEMBLE</t>
  </si>
  <si>
    <t>129 (12.856)</t>
  </si>
  <si>
    <t>Yes</t>
  </si>
  <si>
    <t>AAVSO 15067DSI</t>
  </si>
  <si>
    <t>—</t>
  </si>
  <si>
    <t>MEAN OF 10 OBS</t>
  </si>
  <si>
    <t>2016 Jun. 05.91584</t>
  </si>
  <si>
    <t>B</t>
  </si>
  <si>
    <t>129 (13.343)</t>
  </si>
  <si>
    <t>2016 May. 29.91829</t>
  </si>
  <si>
    <t>129 (12.830)</t>
  </si>
  <si>
    <t>2016 May. 29.91815</t>
  </si>
  <si>
    <t>129 (13.291)</t>
  </si>
  <si>
    <t>2016 May. 26.36000</t>
  </si>
  <si>
    <t>HBB</t>
  </si>
  <si>
    <t>000-BJS-730 (13.620)</t>
  </si>
  <si>
    <t>000-BCY-346 (14.677)</t>
  </si>
  <si>
    <t>X16242DGN</t>
  </si>
  <si>
    <t>BOXED X 4 ERR = STOM(MAG)|VMAGINS=12.293|VERR=0.003|K1=0.3680|K1ERR=0.0000|CREFMAG=11.858|CREFERR=0.008|KREFMAG=12.932|KREFERR=0.006|VX=1.5242|CX=1.5195|KX=1.5280|TB_BV=0.0490|TB_BVERR=0.0530|TAVER=2.47</t>
  </si>
  <si>
    <t>2016 May. 26.35963</t>
  </si>
  <si>
    <t>000-BJS-730 (12.598)</t>
  </si>
  <si>
    <t>000-BCY-346 (13.769)</t>
  </si>
  <si>
    <t>BOXED X 4 ERR = STOM(MAG)|VMAGINS=10.968|VERR=0.020|K1=0.2140|K1ERR=0.0000|CREFMAG=11.124|CREFERR=0.006|KREFMAG=12.340|KREFERR=0.000|VX=1.5228|CX=1.5181|KX=1.5266|TV_BV=0.0190|TV_BVERR=0.0500|TAVER=2.47</t>
  </si>
  <si>
    <t>AG Dra</t>
  </si>
  <si>
    <t>2016 May. 26.17910</t>
  </si>
  <si>
    <t>BDLA</t>
  </si>
  <si>
    <t>105 (11.163)</t>
  </si>
  <si>
    <t>117 (12.436)</t>
  </si>
  <si>
    <t>X16232FW</t>
  </si>
  <si>
    <t>High thin clouds</t>
  </si>
  <si>
    <t>2016 May. 26.16650</t>
  </si>
  <si>
    <t>105 (10.609)</t>
  </si>
  <si>
    <t>117 (11.899)</t>
  </si>
  <si>
    <t>2016 May. 24.93711</t>
  </si>
  <si>
    <t>129 (12.810)</t>
  </si>
  <si>
    <t>2016 May. 24.93699</t>
  </si>
  <si>
    <t>129 (13.275)</t>
  </si>
  <si>
    <t>2016 May. 22.02800</t>
  </si>
  <si>
    <t>TG</t>
  </si>
  <si>
    <t>MEV</t>
  </si>
  <si>
    <t>No</t>
  </si>
  <si>
    <t>TYCHO 2</t>
  </si>
  <si>
    <t>ASTROMETRY PHOTO.EXE</t>
  </si>
  <si>
    <t>2016 May. 21.01000</t>
  </si>
  <si>
    <t>2016 May. 19.35457</t>
  </si>
  <si>
    <t>SBL</t>
  </si>
  <si>
    <t>000-BJS-730 (11.784)</t>
  </si>
  <si>
    <t>2016 May. 19.35455</t>
  </si>
  <si>
    <t>000-BJS-730 (11.082)</t>
  </si>
  <si>
    <t>2016 May. 18.39762</t>
  </si>
  <si>
    <t>000-BJS-730 (11.799)</t>
  </si>
  <si>
    <t>2016 May. 18.39759</t>
  </si>
  <si>
    <t>000-BJS-730 (11.084)</t>
  </si>
  <si>
    <t>2016 May. 17.23171</t>
  </si>
  <si>
    <t>000-BJS-730 (11.806)</t>
  </si>
  <si>
    <t>2016 May. 17.23169</t>
  </si>
  <si>
    <t>000-BJS-730 (11.096)</t>
  </si>
  <si>
    <t>2016 May. 16.98500</t>
  </si>
  <si>
    <t>2016 May. 16.92297</t>
  </si>
  <si>
    <t>129 (12.820)</t>
  </si>
  <si>
    <t>2016 May. 16.92286</t>
  </si>
  <si>
    <t>129 (13.305)</t>
  </si>
  <si>
    <t>2016 May. 16.29943</t>
  </si>
  <si>
    <t>000-BJS-730 (11.105)</t>
  </si>
  <si>
    <t>2016 May. 16.29603</t>
  </si>
  <si>
    <t>000-BJS-730 (11.797)</t>
  </si>
  <si>
    <t>2016 May. 12.86899</t>
  </si>
  <si>
    <t>129 (12.842)</t>
  </si>
  <si>
    <t>2016 May. 12.86888</t>
  </si>
  <si>
    <t>129 (13.306)</t>
  </si>
  <si>
    <t>#</t>
  </si>
  <si>
    <t>Name</t>
  </si>
  <si>
    <t>AD (2000)</t>
  </si>
  <si>
    <t>DE (2000)</t>
  </si>
  <si>
    <t>EG And</t>
  </si>
  <si>
    <t>0 44 37.1</t>
  </si>
  <si>
    <t>40 40 45.7</t>
  </si>
  <si>
    <t>AX Per</t>
  </si>
  <si>
    <t>1 36 22.7</t>
  </si>
  <si>
    <t>54 15 2.5</t>
  </si>
  <si>
    <t>V471 Per</t>
  </si>
  <si>
    <t>1 58 49.7</t>
  </si>
  <si>
    <t>52 53 48.4</t>
  </si>
  <si>
    <t>2 19 20.7</t>
  </si>
  <si>
    <t>-2 58 39.5</t>
  </si>
  <si>
    <t>BD Cam</t>
  </si>
  <si>
    <t>3 42 9.3</t>
  </si>
  <si>
    <t>63 13 0.5</t>
  </si>
  <si>
    <t>UV Aur</t>
  </si>
  <si>
    <t>5 21 48.8</t>
  </si>
  <si>
    <t>32 30 43.1</t>
  </si>
  <si>
    <t>V1261 Ori</t>
  </si>
  <si>
    <t>5 22 18.6</t>
  </si>
  <si>
    <t>-8 39 58</t>
  </si>
  <si>
    <t>5 46 42</t>
  </si>
  <si>
    <t>6 43 48</t>
  </si>
  <si>
    <t>ZZ CMi</t>
  </si>
  <si>
    <t>7 24 13.9</t>
  </si>
  <si>
    <t>8 53 51.7</t>
  </si>
  <si>
    <t>BX Mon</t>
  </si>
  <si>
    <t>7 25 24</t>
  </si>
  <si>
    <t>-3 36 0</t>
  </si>
  <si>
    <t>V694 Mon</t>
  </si>
  <si>
    <t>7 25 51.2</t>
  </si>
  <si>
    <t>-7 44 8</t>
  </si>
  <si>
    <t>NQ Gem</t>
  </si>
  <si>
    <t>7 31 54.5</t>
  </si>
  <si>
    <t>24 30 12.5</t>
  </si>
  <si>
    <t>GH Gem</t>
  </si>
  <si>
    <t>7 4 4.9</t>
  </si>
  <si>
    <t>12 2 12</t>
  </si>
  <si>
    <t>CQ Dra</t>
  </si>
  <si>
    <t>12 30 06</t>
  </si>
  <si>
    <t>69 12 04</t>
  </si>
  <si>
    <t>TX CVn</t>
  </si>
  <si>
    <t>12 44 42</t>
  </si>
  <si>
    <t>36 45 50.6</t>
  </si>
  <si>
    <t>IV Vir</t>
  </si>
  <si>
    <t>14 16 34.3</t>
  </si>
  <si>
    <t xml:space="preserve"> -21 45 50</t>
  </si>
  <si>
    <t>T CrB</t>
  </si>
  <si>
    <t>15 59 30.1</t>
  </si>
  <si>
    <t>25 55 12.6</t>
  </si>
  <si>
    <t>16 1 40.5</t>
  </si>
  <si>
    <t>66 48 9.5</t>
  </si>
  <si>
    <t>V503 Her</t>
  </si>
  <si>
    <t>17 36 46</t>
  </si>
  <si>
    <t>23 18 18</t>
  </si>
  <si>
    <t>RS Oph</t>
  </si>
  <si>
    <t>17 50 13.2</t>
  </si>
  <si>
    <t>-6 42 28.4</t>
  </si>
  <si>
    <t>V934 Her</t>
  </si>
  <si>
    <t>17 6 34.5</t>
  </si>
  <si>
    <t>23 58 18.5</t>
  </si>
  <si>
    <t>AS 270</t>
  </si>
  <si>
    <t>18 05 33.7</t>
  </si>
  <si>
    <t xml:space="preserve"> -20 20 38</t>
  </si>
  <si>
    <t>AS 289</t>
  </si>
  <si>
    <t>18 12 22</t>
  </si>
  <si>
    <t>-11 40 13</t>
  </si>
  <si>
    <t>YY Her</t>
  </si>
  <si>
    <t>18 14 34.3</t>
  </si>
  <si>
    <t>20 59 20</t>
  </si>
  <si>
    <t>FG Ser</t>
  </si>
  <si>
    <t>18 15 6.2</t>
  </si>
  <si>
    <t>0 18 57.6</t>
  </si>
  <si>
    <t>StHa 149</t>
  </si>
  <si>
    <t>18 18 55.9</t>
  </si>
  <si>
    <t>27 26 12</t>
  </si>
  <si>
    <t>V443 Her</t>
  </si>
  <si>
    <t>18 22 8.4</t>
  </si>
  <si>
    <t>23 27 20</t>
  </si>
  <si>
    <t>FN Sgr</t>
  </si>
  <si>
    <t>18 53 52.9</t>
  </si>
  <si>
    <t>-18 59 42</t>
  </si>
  <si>
    <t>V335 Vul</t>
  </si>
  <si>
    <t>19 23 14.2</t>
  </si>
  <si>
    <t>24 27 40.2</t>
  </si>
  <si>
    <t>BF Cyg</t>
  </si>
  <si>
    <t>19 23 53.4</t>
  </si>
  <si>
    <t>29 40 25.1</t>
  </si>
  <si>
    <t>CH Cyg</t>
  </si>
  <si>
    <t>19 24 33</t>
  </si>
  <si>
    <t>50 14 29.1</t>
  </si>
  <si>
    <t>V919 Sgr</t>
  </si>
  <si>
    <t>19 3 46</t>
  </si>
  <si>
    <t>-16 59 53.9</t>
  </si>
  <si>
    <t>V1413 Aql</t>
  </si>
  <si>
    <t>19 3 51.6</t>
  </si>
  <si>
    <t>16 28 31.7</t>
  </si>
  <si>
    <t>HM Sge</t>
  </si>
  <si>
    <t>19 41 57.1</t>
  </si>
  <si>
    <t>16 44 39.9</t>
  </si>
  <si>
    <t>QW Sge</t>
  </si>
  <si>
    <t>19 45 49.6</t>
  </si>
  <si>
    <t>18 36 50</t>
  </si>
  <si>
    <t>CI Cyg</t>
  </si>
  <si>
    <t>19 50 11.8</t>
  </si>
  <si>
    <t>35 41 3.2</t>
  </si>
  <si>
    <t>StHA 169</t>
  </si>
  <si>
    <t>19 51 28.9</t>
  </si>
  <si>
    <t>46 23 6</t>
  </si>
  <si>
    <t>V1016 Cyg</t>
  </si>
  <si>
    <t>19 57 4.9</t>
  </si>
  <si>
    <t>39 49 33.9</t>
  </si>
  <si>
    <t>PU Vul</t>
  </si>
  <si>
    <t>20 21 12</t>
  </si>
  <si>
    <t>21 34 41.9</t>
  </si>
  <si>
    <t>LT Del</t>
  </si>
  <si>
    <t>20 35 57.3</t>
  </si>
  <si>
    <t>20 11 34</t>
  </si>
  <si>
    <t>ER Del</t>
  </si>
  <si>
    <t>20 42 46.4</t>
  </si>
  <si>
    <t>8 40 56.4</t>
  </si>
  <si>
    <t>V1329 Cyg</t>
  </si>
  <si>
    <t>20 51 1.1</t>
  </si>
  <si>
    <t>35 34 51.2</t>
  </si>
  <si>
    <t>V407 Cyg</t>
  </si>
  <si>
    <t>21 2 13</t>
  </si>
  <si>
    <t>45 46 30</t>
  </si>
  <si>
    <t>StHA 190</t>
  </si>
  <si>
    <t>21 41 44.8</t>
  </si>
  <si>
    <t>2 43 54.4</t>
  </si>
  <si>
    <t>AG Peg</t>
  </si>
  <si>
    <t>21 51 1.9</t>
  </si>
  <si>
    <t>12 37 29.4</t>
  </si>
  <si>
    <t>V627 Cas</t>
  </si>
  <si>
    <t>22 57 41.2</t>
  </si>
  <si>
    <t>58 49 14.9</t>
  </si>
  <si>
    <t>Z And</t>
  </si>
  <si>
    <t>23 33 39.5</t>
  </si>
  <si>
    <t>48 49 5.4</t>
  </si>
  <si>
    <t>R Aqr</t>
  </si>
  <si>
    <t>23 43 49.4</t>
  </si>
  <si>
    <t>-15 17 4.2</t>
  </si>
  <si>
    <t>SU Lyn</t>
  </si>
  <si>
    <t>06 42 55.1</t>
  </si>
  <si>
    <t>+55 28 27.2</t>
  </si>
  <si>
    <t>Date</t>
  </si>
  <si>
    <t>CH CYG</t>
  </si>
  <si>
    <t>SGEA</t>
  </si>
  <si>
    <t>JM</t>
  </si>
  <si>
    <t>I</t>
  </si>
  <si>
    <t>R</t>
  </si>
  <si>
    <t>CI CYG</t>
  </si>
  <si>
    <t>DKS</t>
  </si>
  <si>
    <t>ERROR: V-C STDDEV+C POISSON IN QUAD;</t>
  </si>
  <si>
    <t>TIA</t>
  </si>
  <si>
    <t>ERROR: V+C POISSON;</t>
  </si>
  <si>
    <t>OBS</t>
  </si>
  <si>
    <t>Showing 502 observations for V0335 Vul from 6 observers</t>
  </si>
  <si>
    <t>V335 VUL</t>
  </si>
  <si>
    <t>2014 Jul. 23.10600</t>
  </si>
  <si>
    <t>OCN</t>
  </si>
  <si>
    <t>120 (11.958)</t>
  </si>
  <si>
    <t>152 (15.208)</t>
  </si>
  <si>
    <t>13554GNH</t>
  </si>
  <si>
    <t>iTel18</t>
  </si>
  <si>
    <t>2013 Oct. 15.81690</t>
  </si>
  <si>
    <t>PXR</t>
  </si>
  <si>
    <t>E (12.1)</t>
  </si>
  <si>
    <t>G (13.041)</t>
  </si>
  <si>
    <t>BAAVSS 280.01</t>
  </si>
  <si>
    <t>2013 Oct. 15.81632</t>
  </si>
  <si>
    <t>G (13.045)</t>
  </si>
  <si>
    <t>2013 Oct. 15.81579</t>
  </si>
  <si>
    <t>G (13.053)</t>
  </si>
  <si>
    <t>2013 Oct. 15.81524</t>
  </si>
  <si>
    <t>G (13.054)</t>
  </si>
  <si>
    <t>2013 Oct. 15.81464</t>
  </si>
  <si>
    <t>G (13.062)</t>
  </si>
  <si>
    <t>2013 Oct. 15.81410</t>
  </si>
  <si>
    <t>G (13.073)</t>
  </si>
  <si>
    <t>2013 Oct. 15.81345</t>
  </si>
  <si>
    <t>G (13.066)</t>
  </si>
  <si>
    <t>2013 Oct. 15.81288</t>
  </si>
  <si>
    <t>G (13.081)</t>
  </si>
  <si>
    <t>2013 Oct. 15.81231</t>
  </si>
  <si>
    <t>G (13.057)</t>
  </si>
  <si>
    <t>2013 Oct. 15.81178</t>
  </si>
  <si>
    <t>G (13.058)</t>
  </si>
  <si>
    <t>2013 Oct. 15.81120</t>
  </si>
  <si>
    <t>G (13.070)</t>
  </si>
  <si>
    <t>2013 Sep. 02.87785</t>
  </si>
  <si>
    <t>G (13.065)</t>
  </si>
  <si>
    <t>BAAVSS 280.01 + RP (</t>
  </si>
  <si>
    <t>2013 Sep. 02.87712</t>
  </si>
  <si>
    <t>G (13.055)</t>
  </si>
  <si>
    <t>2013 Sep. 02.87639</t>
  </si>
  <si>
    <t>G (13.046)</t>
  </si>
  <si>
    <t>2013 Sep. 02.87566</t>
  </si>
  <si>
    <t>G (13.063)</t>
  </si>
  <si>
    <t>2013 Sep. 02.87492</t>
  </si>
  <si>
    <t>G (13.068)</t>
  </si>
  <si>
    <t>2013 Sep. 02.87418</t>
  </si>
  <si>
    <t>G (13.044)</t>
  </si>
  <si>
    <t>V0335 VUL</t>
  </si>
  <si>
    <t>2012 Jul. 17.07950</t>
  </si>
  <si>
    <t>CLZ</t>
  </si>
  <si>
    <t>97 (15.094)</t>
  </si>
  <si>
    <t>8223EY</t>
  </si>
  <si>
    <t>2012 Jul. 17.07810</t>
  </si>
  <si>
    <t>97 (15.095)</t>
  </si>
  <si>
    <t>2012 Jul. 17.07681</t>
  </si>
  <si>
    <t>97 (15.101)</t>
  </si>
  <si>
    <t>2012 Jul. 17.07552</t>
  </si>
  <si>
    <t>97 (15.131)</t>
  </si>
  <si>
    <t>2012 Jul. 17.07418</t>
  </si>
  <si>
    <t>97 (15.137)</t>
  </si>
  <si>
    <t>2012 Jul. 17.07282</t>
  </si>
  <si>
    <t>97 (15.124)</t>
  </si>
  <si>
    <t>2012 Jul. 17.07134</t>
  </si>
  <si>
    <t>97 (15.115)</t>
  </si>
  <si>
    <t>1, 2, 3, 4, 5 ... 21 Next Last</t>
  </si>
  <si>
    <t>Showing 783 observations for V1413 Aql from 18 observers</t>
  </si>
  <si>
    <t>V1413 AQL</t>
  </si>
  <si>
    <t>2016 May. 30.46300</t>
  </si>
  <si>
    <t>PYG</t>
  </si>
  <si>
    <t>000-BJP-393 (9.605)</t>
  </si>
  <si>
    <t>1341FZ</t>
  </si>
  <si>
    <t>COKER30</t>
  </si>
  <si>
    <t>2016 May. 30.46000</t>
  </si>
  <si>
    <t>000-BJP-393 (14.068)</t>
  </si>
  <si>
    <t>2016 May. 30.45700</t>
  </si>
  <si>
    <t>000-BJP-393 (12.024)</t>
  </si>
  <si>
    <t>2016 Feb. 17.50100</t>
  </si>
  <si>
    <t>000-BJP-394 (9.704)</t>
  </si>
  <si>
    <t>SRO-50</t>
  </si>
  <si>
    <t>2016 Feb. 17.49300</t>
  </si>
  <si>
    <t>000-BJP-394 (12.253)</t>
  </si>
  <si>
    <t>2016 Feb. 17.49200</t>
  </si>
  <si>
    <t>000-BJP-394 (14.183)</t>
  </si>
  <si>
    <t>2016 Feb. 16.50300</t>
  </si>
  <si>
    <t>2016 Feb. 16.50000</t>
  </si>
  <si>
    <t>2016 Feb. 16.49400</t>
  </si>
  <si>
    <t>2016 Feb. 10.51300</t>
  </si>
  <si>
    <t>2016 Feb. 10.00000</t>
  </si>
  <si>
    <t>2016 Jan. 30.54900</t>
  </si>
  <si>
    <t>2016 Jan. 30.54600</t>
  </si>
  <si>
    <t>000-BJP-394 (10.749)</t>
  </si>
  <si>
    <t>2016 Jan. 30.54400</t>
  </si>
  <si>
    <t>000-BJP-394 (13.078)</t>
  </si>
  <si>
    <t>2016 Jan. 29.55400</t>
  </si>
  <si>
    <t>000-BJP-394 (10.600)</t>
  </si>
  <si>
    <t>2016 Jan. 29.55300</t>
  </si>
  <si>
    <t>2016 Jan. 29.55200</t>
  </si>
  <si>
    <t>000-BJP-394 (12.934)</t>
  </si>
  <si>
    <t>2016 Jan. 28.55500</t>
  </si>
  <si>
    <t>2016 Jan. 28.54900</t>
  </si>
  <si>
    <t>000-BJP-394 (13.134)</t>
  </si>
  <si>
    <t>2016 Jan. 28.54200</t>
  </si>
  <si>
    <t>2016 Jan. 27.55600</t>
  </si>
  <si>
    <t>000-BJP-394 (10.703)</t>
  </si>
  <si>
    <t>2015 Aug. 01.16824</t>
  </si>
  <si>
    <t>MZK</t>
  </si>
  <si>
    <t>123 (12.296)</t>
  </si>
  <si>
    <t>8809IW</t>
  </si>
  <si>
    <t>2015 Jul. 11.34700</t>
  </si>
  <si>
    <t>1, 2, 3, 4, 5 ... 32 Next Last</t>
  </si>
  <si>
    <t>PU VUL</t>
  </si>
  <si>
    <t>000BCL385 (13.710)</t>
  </si>
  <si>
    <t>000BCL389 (12.209)</t>
  </si>
  <si>
    <t>X16112OE</t>
  </si>
  <si>
    <t>000BCL385 (14.377)</t>
  </si>
  <si>
    <t>000BCL389 (13.481)</t>
  </si>
  <si>
    <t>BOA</t>
  </si>
  <si>
    <t>NA</t>
  </si>
  <si>
    <t>https://www.aavso.org/apps/webobs/results/?star=ag+peg&amp;num_results=25&amp;obs_types=ccd</t>
  </si>
  <si>
    <t>AG PEG</t>
  </si>
  <si>
    <t>X15732FGC</t>
  </si>
  <si>
    <t>CMP</t>
  </si>
  <si>
    <t>https://www.aavso.org/apps/webobs/results/?star=bf+cyg&amp;num_results=25&amp;obs_types=ccd</t>
  </si>
  <si>
    <t>BF CYG</t>
  </si>
  <si>
    <t>DDJ</t>
  </si>
  <si>
    <t>000-BCG-649 (11.056)</t>
  </si>
  <si>
    <t>14573AOJ</t>
  </si>
  <si>
    <t>https://www.aavso.org/apps/webobs/results/?star=stha+169&amp;num_results=25&amp;obs_types=ccd</t>
  </si>
  <si>
    <t>Showing 180 observations for NSV 12466 from 4 observers</t>
  </si>
  <si>
    <t>NSV 12466</t>
  </si>
  <si>
    <t>2016 Jun. 04.45470</t>
  </si>
  <si>
    <t>126 (12.633)</t>
  </si>
  <si>
    <t>142 (14.181)</t>
  </si>
  <si>
    <t>X16253EEJ</t>
  </si>
  <si>
    <t>iT21. NSV 12466 B minus V index is currently positive 0.81.</t>
  </si>
  <si>
    <t>2016 Jun. 04.45330</t>
  </si>
  <si>
    <t>142 (14.697)</t>
  </si>
  <si>
    <t>126 (13.256)</t>
  </si>
  <si>
    <t>NSV 12466 current U minus B index is negative 0.328.</t>
  </si>
  <si>
    <t>2016 Jun. 04.45200</t>
  </si>
  <si>
    <t>U</t>
  </si>
  <si>
    <t>121 (12.527)</t>
  </si>
  <si>
    <t>133 (13.751)</t>
  </si>
  <si>
    <t>iT21</t>
  </si>
  <si>
    <t>2016 May. 23.00897</t>
  </si>
  <si>
    <t>133 (13.263)</t>
  </si>
  <si>
    <t>AAVSO X16236DCX</t>
  </si>
  <si>
    <t>2016 May. 23.00824</t>
  </si>
  <si>
    <t>133 (13.232)</t>
  </si>
  <si>
    <t>2016 May. 23.00752</t>
  </si>
  <si>
    <t>133 (13.243)</t>
  </si>
  <si>
    <t>2016 May. 23.00679</t>
  </si>
  <si>
    <t>133 (13.264)</t>
  </si>
  <si>
    <t>2016 May. 23.00608</t>
  </si>
  <si>
    <t>133 (13.239)</t>
  </si>
  <si>
    <t>2016 May. 23.00536</t>
  </si>
  <si>
    <t>133 (13.235)</t>
  </si>
  <si>
    <t>2016 May. 23.00463</t>
  </si>
  <si>
    <t>133 (13.266)</t>
  </si>
  <si>
    <t>2016 May. 23.00391</t>
  </si>
  <si>
    <t>2016 May. 23.00318</t>
  </si>
  <si>
    <t>133 (13.242)</t>
  </si>
  <si>
    <t>2016 May. 23.00247</t>
  </si>
  <si>
    <t>2016 May. 23.00174</t>
  </si>
  <si>
    <t>133 (13.261)</t>
  </si>
  <si>
    <t>2016 May. 23.00102</t>
  </si>
  <si>
    <t>133 (13.255)</t>
  </si>
  <si>
    <t>2016 May. 23.00029</t>
  </si>
  <si>
    <t>133 (13.244)</t>
  </si>
  <si>
    <t>2016 May. 22.99957</t>
  </si>
  <si>
    <t>133 (13.241)</t>
  </si>
  <si>
    <t>2016 May. 22.99885</t>
  </si>
  <si>
    <t>133 (13.252)</t>
  </si>
  <si>
    <t>2016 May. 22.99813</t>
  </si>
  <si>
    <t>2016 May. 22.99741</t>
  </si>
  <si>
    <t>133 (13.237)</t>
  </si>
  <si>
    <t>2016 May. 22.99668</t>
  </si>
  <si>
    <t>2016 May. 22.99596</t>
  </si>
  <si>
    <t>133 (13.253)</t>
  </si>
  <si>
    <t>2016 May. 22.99523</t>
  </si>
  <si>
    <t>2016 May. 22.99451</t>
  </si>
  <si>
    <t>133 (13.260)</t>
  </si>
  <si>
    <t>2016 May. 22.99380</t>
  </si>
  <si>
    <t>133 (13.273)</t>
  </si>
  <si>
    <t>1, 2, 3, 4, 5 ... 8 Next Last</t>
  </si>
  <si>
    <t>https://www.aavso.org/apps/webobs/results/?star=t+crb&amp;num_results=25&amp;obs_types=ccd</t>
  </si>
  <si>
    <t>T CRB</t>
  </si>
  <si>
    <t>PVA</t>
  </si>
  <si>
    <t>000-BBW-796 (9.887)</t>
  </si>
  <si>
    <t>X16156BSS</t>
  </si>
  <si>
    <t>https://www.aavso.org/apps/webobs/results/?star=v443+her&amp;num_results=25&amp;obs_types=ccd</t>
  </si>
  <si>
    <t>Showing 227 observations for V0443 Her from 8 observers</t>
  </si>
  <si>
    <t>V0443 HER</t>
  </si>
  <si>
    <t>2015 Nov. 02.81110</t>
  </si>
  <si>
    <t>BCP</t>
  </si>
  <si>
    <t>000-BCC-147 (11.55)</t>
  </si>
  <si>
    <t>X15552BFH</t>
  </si>
  <si>
    <t>ENSEMBLE 8</t>
  </si>
  <si>
    <t>2015 Nov. 01.81110</t>
  </si>
  <si>
    <t>000-BCC-147 (11.57)</t>
  </si>
  <si>
    <t>ENSEMBLE 7</t>
  </si>
  <si>
    <t>2015 Sep. 05.04679</t>
  </si>
  <si>
    <t>128 (12.761)</t>
  </si>
  <si>
    <t>12061WR</t>
  </si>
  <si>
    <t>2015 Aug. 01.14259</t>
  </si>
  <si>
    <t>128 (12.748)</t>
  </si>
  <si>
    <t>2015 Jun. 27.23132</t>
  </si>
  <si>
    <t>128 (12.763)</t>
  </si>
  <si>
    <t>2015 May. 23.33095</t>
  </si>
  <si>
    <t>128 (12.740)</t>
  </si>
  <si>
    <t>2015 May. 14.35992</t>
  </si>
  <si>
    <t>128 (12.743)</t>
  </si>
  <si>
    <t>V443 HER</t>
  </si>
  <si>
    <t>2014 Jul. 17.99154</t>
  </si>
  <si>
    <t>GCO</t>
  </si>
  <si>
    <t>ENSAMBLE</t>
  </si>
  <si>
    <t>000-BCC-147 (10.379)</t>
  </si>
  <si>
    <t>7455ANN</t>
  </si>
  <si>
    <t>EXP.TIME= 3X60SEC.-STACK METHOD: AVERAGE-'LX200 10IN. F3.9'-'SBIG ST-7 DUAL CCD CAMERA'</t>
  </si>
  <si>
    <t>2014 Jul. 17.98807</t>
  </si>
  <si>
    <t>000-BCC-147 (10.908)</t>
  </si>
  <si>
    <t>EXP.TIME= 3X40SEC.-STACK METHOD: AVERAGE-'LX200 10IN. F3.9'-'SBIG ST-7 DUAL CCD CAMERA'</t>
  </si>
  <si>
    <t>2014 Jul. 17.98028</t>
  </si>
  <si>
    <t>000-BCC-147 (12.721)</t>
  </si>
  <si>
    <t>EXP.TIME= 3X180SEC.-STACK METHOD: AVERAGE-'LX200 10IN. F3.9'-'SBIG ST-7 DUAL CCD CAMERA'</t>
  </si>
  <si>
    <t>2014 Jul. 17.97635</t>
  </si>
  <si>
    <t>000-BCC-147 (11.548)</t>
  </si>
  <si>
    <t>2014 May. 28.09472</t>
  </si>
  <si>
    <t>000-BCC-147 (10.381)</t>
  </si>
  <si>
    <t>2014 May. 28.09054</t>
  </si>
  <si>
    <t>000-BCC-147 (10.905)</t>
  </si>
  <si>
    <t>2014 May. 28.08329</t>
  </si>
  <si>
    <t>000-BCC-147 (12.712)</t>
  </si>
  <si>
    <t>2014 May. 28.07844</t>
  </si>
  <si>
    <t>000-BCC-147 (11.539)</t>
  </si>
  <si>
    <t>2014 May. 24.94904</t>
  </si>
  <si>
    <t>000-BCC-147 (12.714)</t>
  </si>
  <si>
    <t>2014 May. 24.94440</t>
  </si>
  <si>
    <t>000-BCC-147 (11.552)</t>
  </si>
  <si>
    <t>2013 Oct. 01.00664</t>
  </si>
  <si>
    <t>128 (12.746)</t>
  </si>
  <si>
    <t>2013 Sep. 04.82725</t>
  </si>
  <si>
    <t>000-BCC-147 (10.390)</t>
  </si>
  <si>
    <t>EXP.TIME= 300SEC. 'MEADE LX200 GPS 10"' 'SBIG ST-7 DUAL CCD CAMERA'</t>
  </si>
  <si>
    <t>2013 Sep. 04.82367</t>
  </si>
  <si>
    <t>000-BCC-147 (10.917)</t>
  </si>
  <si>
    <t>EXP.TIME= 200SEC. 'MEADE LX200 GPS 10"' 'SBIG ST-7 DUAL CCD CAMERA'</t>
  </si>
  <si>
    <t>2013 Sep. 04.81741</t>
  </si>
  <si>
    <t>000-BCC-147 (12.729)</t>
  </si>
  <si>
    <t>EXP.TIME= 540SEC. 'MEADE LX200 GPS 10"' 'SBIG ST-7 DUAL CCD CAMERA'</t>
  </si>
  <si>
    <t>2013 Sep. 04.81120</t>
  </si>
  <si>
    <t>000-BCC-147 (11.550)</t>
  </si>
  <si>
    <t>2013 Aug. 28.87002</t>
  </si>
  <si>
    <t>000-BCC-147 (11.557)</t>
  </si>
  <si>
    <t>2013 Jun. 28.01508</t>
  </si>
  <si>
    <t>000-BCC-147 (10.397)</t>
  </si>
  <si>
    <t>2013 Jun. 28.01111</t>
  </si>
  <si>
    <t>000-BCC-147 (10.937)</t>
  </si>
  <si>
    <t>1, 2, 3, 4, 5 ... 10 Next Last</t>
  </si>
  <si>
    <t>https://www.aavso.org/apps/webobs/results/?star=su+lyn&amp;num_results=25&amp;obs_types=ccd</t>
  </si>
  <si>
    <t>Showing 8 observations for SU Lyn from 2 observers</t>
  </si>
  <si>
    <t>SU LYN</t>
  </si>
  <si>
    <t>2016 May. 02.97260</t>
  </si>
  <si>
    <t>GSC 3770 1874 (12.320)</t>
  </si>
  <si>
    <t>AAVSO X16221XJ</t>
  </si>
  <si>
    <t>2016 May. 02.97252</t>
  </si>
  <si>
    <t>GSC 3770 1874 (13.455)</t>
  </si>
  <si>
    <t>2012 Mar. 11.85100</t>
  </si>
  <si>
    <t>SMRC</t>
  </si>
  <si>
    <t>2012 Mar. 11.84800</t>
  </si>
  <si>
    <t>2012 Feb. 29.89000</t>
  </si>
  <si>
    <t>2012 Feb. 29.88700</t>
  </si>
  <si>
    <t>2012 Feb. 21.89400</t>
  </si>
  <si>
    <t>2012 Feb. 21.89100</t>
  </si>
  <si>
    <t>https://www.aavso.org/apps/webobs/results/?star=v503+her&amp;num_results=25&amp;obs_types=ccd</t>
  </si>
  <si>
    <t>V0503 HER</t>
  </si>
  <si>
    <t>2016 May. 22.10890</t>
  </si>
  <si>
    <t>000-BJT-154 (12.306)</t>
  </si>
  <si>
    <t>000-BJT-158 (13.949)</t>
  </si>
  <si>
    <t>14650JB</t>
  </si>
  <si>
    <t>2016 May. 08.32040</t>
  </si>
  <si>
    <t>000-BJT-158 (13.975)</t>
  </si>
  <si>
    <t>2016 Apr. 27.28823</t>
  </si>
  <si>
    <t>000-BJT-158 (14.002)</t>
  </si>
  <si>
    <t>2016 Apr. 10.25736</t>
  </si>
  <si>
    <t>000-BJT-158 (13.862)</t>
  </si>
  <si>
    <t>2016 Apr. 06.26577</t>
  </si>
  <si>
    <t>000-BJT-158 (13.995)</t>
  </si>
  <si>
    <t>2016 Mar. 23.40950</t>
  </si>
  <si>
    <t>000-BJT-158 (13.982)</t>
  </si>
  <si>
    <t>V503 HER</t>
  </si>
  <si>
    <t>2016 Mar. 23.33817</t>
  </si>
  <si>
    <t>123 (12.226)</t>
  </si>
  <si>
    <t>127 (12.566)</t>
  </si>
  <si>
    <t>X16090WN</t>
  </si>
  <si>
    <t>2016 Mar. 21.36028</t>
  </si>
  <si>
    <t>123 (13.804)</t>
  </si>
  <si>
    <t>127 (14.159)</t>
  </si>
  <si>
    <t>x16073agu</t>
  </si>
  <si>
    <t>2016 Mar. 05.32346</t>
  </si>
  <si>
    <t>2016 Feb. 24.40302</t>
  </si>
  <si>
    <t>000-BJT-158 (13.991)</t>
  </si>
  <si>
    <t>2016 Jan. 24.43763</t>
  </si>
  <si>
    <t>000-BJT-158 (13.996)</t>
  </si>
  <si>
    <t>2016 Jan. 20.45430</t>
  </si>
  <si>
    <t>000-BJT-158 (13.965)</t>
  </si>
  <si>
    <t>2016 Jan. 12.46863</t>
  </si>
  <si>
    <t>000-BJT-158 (13.997)</t>
  </si>
  <si>
    <t>2015 Nov. 02.00679</t>
  </si>
  <si>
    <t>000-BJT-158 (13.974)</t>
  </si>
  <si>
    <t>2015 May. 28.39071</t>
  </si>
  <si>
    <t>2015 May. 15.17949</t>
  </si>
  <si>
    <t>000-BJT-158 (13.990)</t>
  </si>
  <si>
    <t>2015 May. 04.40815</t>
  </si>
  <si>
    <t>000-BJT-158 (13.972)</t>
  </si>
  <si>
    <t>2015 Apr. 01.41111</t>
  </si>
  <si>
    <t>000-BJT-158 (14.062)</t>
  </si>
  <si>
    <t>2015 Mar. 29.29511</t>
  </si>
  <si>
    <t>000-BJT-158 (13.970)</t>
  </si>
  <si>
    <t>2015 Mar. 09.33423</t>
  </si>
  <si>
    <t>000-BJT-158 (13.958)</t>
  </si>
  <si>
    <t>2073DJI</t>
  </si>
  <si>
    <t>2015 Feb. 14.40712</t>
  </si>
  <si>
    <t>2015 Feb. 07.39480</t>
  </si>
  <si>
    <t>000-BJT-158 (13.944)</t>
  </si>
  <si>
    <t>2015 Jan. 27.47392</t>
  </si>
  <si>
    <t>000-BJT-158 (13.978)</t>
  </si>
  <si>
    <t>1, 2, 3, 4, 5 ... 16 Next Last</t>
  </si>
  <si>
    <t>https://www.aavso.org/apps/webobs/results/?star=rs+oph&amp;num_results=25&amp;obs_types=ccd</t>
  </si>
  <si>
    <t>RS OPH</t>
  </si>
  <si>
    <t>2016 Jun. 01.38824</t>
  </si>
  <si>
    <t>000-BBZ-440 (15.024)</t>
  </si>
  <si>
    <t>000-BBZ-425 (14.655)</t>
  </si>
  <si>
    <t>X16243BPM</t>
  </si>
  <si>
    <t>BOXED X 3 ERR = STOM(MAG)|VMAGINS=13.079|VERR=0.016|K1=0.3680|K1ERR=0.0000|CREFMAG=14.273|CREFERR=0.012|KREFMAG=13.924|KREFERR=0.013|VX=1.6743|CX=1.6757|KX=1.6752|TB_BV=0.0490|TB_BVERR=0.0530|TAVER=2.47</t>
  </si>
  <si>
    <t>2016 Jun. 01.38735</t>
  </si>
  <si>
    <t>000-BBZ-440 (13.534)</t>
  </si>
  <si>
    <t>000-BBZ-425 (13.300)</t>
  </si>
  <si>
    <t>BOXED X 3 ERR = STOM(MAG)|VMAGINS=11.561|VERR=0.014|K1=0.2140|K1ERR=0.0000|CREFMAG=13.254|CREFERR=0.008|KREFMAG=13.011|KREFERR=0.011|VX=1.6653|CX=1.6667|KX=1.6662|TV_BV=0.0190|TV_BVERR=0.0500|TAVER=2.47</t>
  </si>
  <si>
    <t>2016 Apr. 27.77213</t>
  </si>
  <si>
    <t>SXN</t>
  </si>
  <si>
    <t>X16215CHK</t>
  </si>
  <si>
    <t>OC61</t>
  </si>
  <si>
    <t>2016 Apr. 11.27821</t>
  </si>
  <si>
    <t>ENSEMBLE (11.779)</t>
  </si>
  <si>
    <t>000-BBZ-425 (13.013)</t>
  </si>
  <si>
    <t>14657R</t>
  </si>
  <si>
    <t>ERROR: V-C STDDEV+C POISSON IN QUAD; ENSEMBLE: 000-BBZ-422;000-BBZ-470</t>
  </si>
  <si>
    <t>2016 Apr. 08.28453</t>
  </si>
  <si>
    <t>000-BBZ-425 (12.972)</t>
  </si>
  <si>
    <t>2016 Mar. 24.36952</t>
  </si>
  <si>
    <t>000-BBZ-425 (13.020)</t>
  </si>
  <si>
    <t>2016 Mar. 12.35766</t>
  </si>
  <si>
    <t>000-BBZ-425 (13.017)</t>
  </si>
  <si>
    <t>2016 Mar. 11.36300</t>
  </si>
  <si>
    <t>000-BBZ-425 (13.106)</t>
  </si>
  <si>
    <t>2016 Mar. 07.37640</t>
  </si>
  <si>
    <t>000-BBZ-425 (13.016)</t>
  </si>
  <si>
    <t>2016 Mar. 05.38106</t>
  </si>
  <si>
    <t>000-BBZ-425 (12.921)</t>
  </si>
  <si>
    <t>ERROR: V+C POISSON; ENSEMBLE: 000-BBZ-422;000-BBZ-470</t>
  </si>
  <si>
    <t>2016 Feb. 28.39626</t>
  </si>
  <si>
    <t>000-BBZ-425 (13.044)</t>
  </si>
  <si>
    <t>2016 Feb. 27.71999</t>
  </si>
  <si>
    <t>X16037LK</t>
  </si>
  <si>
    <t>2016 Feb. 08.45705</t>
  </si>
  <si>
    <t>000-BBZ-425 (13.032)</t>
  </si>
  <si>
    <t>2015 Jul. 10.59599</t>
  </si>
  <si>
    <t>CROA</t>
  </si>
  <si>
    <t>000-BBZ-422 (19.348)</t>
  </si>
  <si>
    <t>15013IP</t>
  </si>
  <si>
    <t>STANDARD MAG: K = 11.517</t>
  </si>
  <si>
    <t>2015 Jul. 10.59555</t>
  </si>
  <si>
    <t>000-BBZ-422 (19.338)</t>
  </si>
  <si>
    <t>2015 Jul. 10.59469</t>
  </si>
  <si>
    <t>000-BBZ-422 (19.374)</t>
  </si>
  <si>
    <t>2015 Jul. 10.59079</t>
  </si>
  <si>
    <t>2015 Jul. 10.58949</t>
  </si>
  <si>
    <t>000-BBZ-422 (19.391)</t>
  </si>
  <si>
    <t>2015 Jul. 10.58862</t>
  </si>
  <si>
    <t>000-BBZ-422 (19.351)</t>
  </si>
  <si>
    <t>2015 Jul. 10.58775</t>
  </si>
  <si>
    <t>000-BBZ-422 (19.319)</t>
  </si>
  <si>
    <t>2015 Jul. 10.58732</t>
  </si>
  <si>
    <t>000-BBZ-422 (19.323)</t>
  </si>
  <si>
    <t>1, 2, 3, 4, 5 ... 232 Next Last</t>
  </si>
  <si>
    <t>https://www.aavso.org/apps/webobs/results/?star=v934+her&amp;num_results=25&amp;obs_types=ccd</t>
  </si>
  <si>
    <t>Showing 2 observations for V0934 Her from 1 observer</t>
  </si>
  <si>
    <t>V934 HER</t>
  </si>
  <si>
    <t>2007 Jan. 01.91700</t>
  </si>
  <si>
    <t>GMZ</t>
  </si>
  <si>
    <t>K</t>
  </si>
  <si>
    <t>Err: 0.02 TRANSFORM: YES</t>
  </si>
  <si>
    <t>https://www.aavso.org/apps/webobs/results/?star=as+289&amp;num_results=25&amp;obs_types=ccd</t>
  </si>
  <si>
    <t>Showing 13 observations for V0343 Ser from 1 observer</t>
  </si>
  <si>
    <t>V0343 Ser</t>
  </si>
  <si>
    <t>2013 Mar. 03.51100</t>
  </si>
  <si>
    <t>133 (13.304)</t>
  </si>
  <si>
    <t>141 (14.143)</t>
  </si>
  <si>
    <t>10783CJT</t>
  </si>
  <si>
    <t>Brightening, BV shrinks to 1.41. Eclipse egress of the bluer component(s) ? &amp;nbsp;</t>
  </si>
  <si>
    <t>V343 SER</t>
  </si>
  <si>
    <t>2013 Mar. 03.50900</t>
  </si>
  <si>
    <t>133 (14.547)</t>
  </si>
  <si>
    <t>143 (15.175)</t>
  </si>
  <si>
    <t>2012 Sep. 21.10500</t>
  </si>
  <si>
    <t>139 (13.931)</t>
  </si>
  <si>
    <t>B-V index 2.05, star faint. Hot component(s) eclipsed by the cool giant ?</t>
  </si>
  <si>
    <t>2012 Sep. 21.10300</t>
  </si>
  <si>
    <t>133 (14.000)</t>
  </si>
  <si>
    <t>139 (14.706)</t>
  </si>
  <si>
    <t>2010 Apr. 13.48300</t>
  </si>
  <si>
    <t>128 (12.787)</t>
  </si>
  <si>
    <t>2196avpx</t>
  </si>
  <si>
    <t>Eclipsing Symbiotic</t>
  </si>
  <si>
    <t>2010 Mar. 17.50200</t>
  </si>
  <si>
    <t>128 (11.796)</t>
  </si>
  <si>
    <t>139 (13.458)</t>
  </si>
  <si>
    <t>V-R = +1.19</t>
  </si>
  <si>
    <t>2010 Mar. 17.50100</t>
  </si>
  <si>
    <t>2009 May. 01.36600</t>
  </si>
  <si>
    <t>V-R = +1.49</t>
  </si>
  <si>
    <t>2009 May. 01.36500</t>
  </si>
  <si>
    <t>2009 Mar. 15.43100</t>
  </si>
  <si>
    <t>128 (10.876)</t>
  </si>
  <si>
    <t>139 (12.925)</t>
  </si>
  <si>
    <t>V-I = +3.22</t>
  </si>
  <si>
    <t>2009 Mar. 15.43000</t>
  </si>
  <si>
    <t>V343 Ser = AS 289</t>
  </si>
  <si>
    <t>2005 Oct. 21.00210</t>
  </si>
  <si>
    <t>MUNARI</t>
  </si>
  <si>
    <t>2005 Oct. 20.99860</t>
  </si>
  <si>
    <t>= V343 Ser</t>
  </si>
  <si>
    <t>https://www.aavso.org/apps/webobs/results/?star=as+270&amp;num_results=25&amp;obs_types=ccd</t>
  </si>
  <si>
    <t>HKEB</t>
  </si>
  <si>
    <t>15186AU</t>
  </si>
  <si>
    <t>AAVSO ALERT</t>
  </si>
  <si>
    <t>https://www.aavso.org/apps/webobs/results/?star=fg+ser&amp;num_results=25&amp;obs_types=ccd</t>
  </si>
  <si>
    <t>Showing 503 observations for FG Ser from 9 observers</t>
  </si>
  <si>
    <t>FG SER</t>
  </si>
  <si>
    <t>2014 Jul. 18.06200</t>
  </si>
  <si>
    <t>CR</t>
  </si>
  <si>
    <t>2014 Jul. 16.99700</t>
  </si>
  <si>
    <t>2014 Jul. 16.03600</t>
  </si>
  <si>
    <t>2014 Jun. 28.07700</t>
  </si>
  <si>
    <t>2014 May. 05.93264</t>
  </si>
  <si>
    <t>000BCB738 (10.925)</t>
  </si>
  <si>
    <t>13422HAA</t>
  </si>
  <si>
    <t>000BCB738 (11.368)</t>
  </si>
  <si>
    <t>2014 May. 05.93194</t>
  </si>
  <si>
    <t>000BCB738 (11.806)</t>
  </si>
  <si>
    <t>000BCB738 (12.534)</t>
  </si>
  <si>
    <t>2014 Apr. 11.15451</t>
  </si>
  <si>
    <t>LCLA</t>
  </si>
  <si>
    <t>128 (12.853)</t>
  </si>
  <si>
    <t>USED COMPARSTARS = 6</t>
  </si>
  <si>
    <t>2013 Mar. 21.16700</t>
  </si>
  <si>
    <t>118 (11.806)</t>
  </si>
  <si>
    <t>138-1 (13.814)</t>
  </si>
  <si>
    <t>10912VE</t>
  </si>
  <si>
    <t>2012 Sep. 22.84400</t>
  </si>
  <si>
    <t>2012 Sep. 15.88200</t>
  </si>
  <si>
    <t>2012 Jul. 26.99600</t>
  </si>
  <si>
    <t>2012 Jul. 19.96900</t>
  </si>
  <si>
    <t>2012 Jul. 17.97000</t>
  </si>
  <si>
    <t>2012 Jul. 11.97800</t>
  </si>
  <si>
    <t>2012 Jul. 09.99900</t>
  </si>
  <si>
    <t>2012 Jul. 07.99200</t>
  </si>
  <si>
    <t>2012 Jun. 30.02700</t>
  </si>
  <si>
    <t>2012 Mar. 14.18500</t>
  </si>
  <si>
    <t>2011 Aug. 28.91800</t>
  </si>
  <si>
    <t>2011 Aug. 02.97100</t>
  </si>
  <si>
    <t>2011 Jul. 24.01200</t>
  </si>
  <si>
    <t>2011 Jul. 06.97400</t>
  </si>
  <si>
    <t>2011 Jun. 29.07500</t>
  </si>
  <si>
    <t>https://www.aavso.org/apps/webobs/results/?star=fn+sgr&amp;num_results=25&amp;obs_types=ccd</t>
  </si>
  <si>
    <t>FN SGR</t>
  </si>
  <si>
    <t>2016 Jun. 04.44380</t>
  </si>
  <si>
    <t>128 (12.840)</t>
  </si>
  <si>
    <t>135 (13.466)</t>
  </si>
  <si>
    <t>X16253EIT</t>
  </si>
  <si>
    <t>B minus V index is currently positive 1.00.</t>
  </si>
  <si>
    <t>2016 Jun. 04.44240</t>
  </si>
  <si>
    <t>128 (13.328)</t>
  </si>
  <si>
    <t>142 (14.990)</t>
  </si>
  <si>
    <t>2016 Jun. 04.44100</t>
  </si>
  <si>
    <t>&lt;13.4</t>
  </si>
  <si>
    <t>128 (13.420)</t>
  </si>
  <si>
    <t>2016 Apr. 15.47930</t>
  </si>
  <si>
    <t>124 (12.450)</t>
  </si>
  <si>
    <t>130 (12.960)</t>
  </si>
  <si>
    <t>X16156ADW</t>
  </si>
  <si>
    <t>iT21. B minus V color is positive 1.04</t>
  </si>
  <si>
    <t>2016 Apr. 15.47810</t>
  </si>
  <si>
    <t>135 (13.905)</t>
  </si>
  <si>
    <t>iT21. U minus B color is negative 0.03</t>
  </si>
  <si>
    <t>2016 Apr. 15.47680</t>
  </si>
  <si>
    <t>130 (14.083)</t>
  </si>
  <si>
    <t>2015 Oct. 17.43861</t>
  </si>
  <si>
    <t>BHQ</t>
  </si>
  <si>
    <t>128 (13.330)</t>
  </si>
  <si>
    <t>13509BEM</t>
  </si>
  <si>
    <t>2015 Oct. 17.43584</t>
  </si>
  <si>
    <t>128 (12.866)</t>
  </si>
  <si>
    <t>2015 Oct. 15.76892</t>
  </si>
  <si>
    <t>ATE</t>
  </si>
  <si>
    <t>112 (11.177)</t>
  </si>
  <si>
    <t>X15365BD</t>
  </si>
  <si>
    <t>2015 Oct. 15.76851</t>
  </si>
  <si>
    <t>2015 Oct. 15.76812</t>
  </si>
  <si>
    <t>112 (11.181)</t>
  </si>
  <si>
    <t>2015 Oct. 15.76772</t>
  </si>
  <si>
    <t>112 (11.178)</t>
  </si>
  <si>
    <t>2015 Oct. 15.76731</t>
  </si>
  <si>
    <t>2015 Oct. 15.76690</t>
  </si>
  <si>
    <t>112 (11.184)</t>
  </si>
  <si>
    <t>2015 Oct. 15.76649</t>
  </si>
  <si>
    <t>112 (11.174)</t>
  </si>
  <si>
    <t>2015 Oct. 15.76609</t>
  </si>
  <si>
    <t>112 (11.175)</t>
  </si>
  <si>
    <t>2015 Oct. 15.76566</t>
  </si>
  <si>
    <t>112 (11.176)</t>
  </si>
  <si>
    <t>2015 Oct. 15.76524</t>
  </si>
  <si>
    <t>112 (11.179)</t>
  </si>
  <si>
    <t>2015 Oct. 15.76481</t>
  </si>
  <si>
    <t>112 (11.182)</t>
  </si>
  <si>
    <t>2015 Oct. 15.76439</t>
  </si>
  <si>
    <t>2015 Oct. 15.76400</t>
  </si>
  <si>
    <t>112 (11.172)</t>
  </si>
  <si>
    <t>2015 Oct. 15.76360</t>
  </si>
  <si>
    <t>112 (11.169)</t>
  </si>
  <si>
    <t>2015 Oct. 15.76321</t>
  </si>
  <si>
    <t>1, 2, 3, 4, 5 ... 40 Next Last</t>
  </si>
  <si>
    <t>https://www.aavso.org/apps/webobs/results/?star=v919+sgr&amp;num_results=25&amp;obs_types=ccd</t>
  </si>
  <si>
    <t>V919 SGR</t>
  </si>
  <si>
    <t>2016 Jun. 04.44900</t>
  </si>
  <si>
    <t>129 (12.935)</t>
  </si>
  <si>
    <t>137 (13.722)</t>
  </si>
  <si>
    <t>X16253EGO</t>
  </si>
  <si>
    <t>iT21. B minus V index is currently positive 1.20.</t>
  </si>
  <si>
    <t>2016 Jun. 04.44790</t>
  </si>
  <si>
    <t>129 (13.515)</t>
  </si>
  <si>
    <t>143 (14.947)</t>
  </si>
  <si>
    <t>2016 Jun. 04.44670</t>
  </si>
  <si>
    <t>&lt;13.5</t>
  </si>
  <si>
    <t>128 (13.460)</t>
  </si>
  <si>
    <t>121 (12.784)</t>
  </si>
  <si>
    <t>iT21.</t>
  </si>
  <si>
    <t>V0919 SGR</t>
  </si>
  <si>
    <t>2016 May. 24.31067</t>
  </si>
  <si>
    <t>ENSEMBLE (11.873)</t>
  </si>
  <si>
    <t>000-BJT-078 (13.673)</t>
  </si>
  <si>
    <t>14657AR</t>
  </si>
  <si>
    <t>ERROR: V-C STDDEV+C POISSON IN QUAD; ENSEMBLE: 000-BJT-069;000-BJT-071;000-BJT-072;000-BJT-073</t>
  </si>
  <si>
    <t>2016 May. 06.36854</t>
  </si>
  <si>
    <t>000-BJT-078 (13.655)</t>
  </si>
  <si>
    <t>2016 Apr. 06.41799</t>
  </si>
  <si>
    <t>000-BJT-078 (13.662)</t>
  </si>
  <si>
    <t>2016 Mar. 24.43420</t>
  </si>
  <si>
    <t>000-BJT-078 (13.661)</t>
  </si>
  <si>
    <t>2016 Mar. 12.44518</t>
  </si>
  <si>
    <t>000-BJT-078 (13.686)</t>
  </si>
  <si>
    <t>2015 May. 22.38975</t>
  </si>
  <si>
    <t>000-BJT-078 (13.697)</t>
  </si>
  <si>
    <t>2015 May. 14.33451</t>
  </si>
  <si>
    <t>000-BJT-078 (13.676)</t>
  </si>
  <si>
    <t>2015 Apr. 13.78490</t>
  </si>
  <si>
    <t>121 (11.507)</t>
  </si>
  <si>
    <t>128 (12.242)</t>
  </si>
  <si>
    <t>14686AF</t>
  </si>
  <si>
    <t>iT31</t>
  </si>
  <si>
    <t>2015 Apr. 13.78430</t>
  </si>
  <si>
    <t>121 (11.815)</t>
  </si>
  <si>
    <t>143 (13.951)</t>
  </si>
  <si>
    <t>2015 Apr. 13.78370</t>
  </si>
  <si>
    <t>121 (12.111)</t>
  </si>
  <si>
    <t>143 (14.321)</t>
  </si>
  <si>
    <t>2015 Apr. 13.72060</t>
  </si>
  <si>
    <t>128 (12.545)</t>
  </si>
  <si>
    <t>iT9</t>
  </si>
  <si>
    <t>2015 Apr. 13.72020</t>
  </si>
  <si>
    <t>128 (12.845)</t>
  </si>
  <si>
    <t>2015 Apr. 13.71970</t>
  </si>
  <si>
    <t>121 (12.608)</t>
  </si>
  <si>
    <t>128 (13.301)</t>
  </si>
  <si>
    <t>V0919 Sgr</t>
  </si>
  <si>
    <t>2015 Apr. 12.80950</t>
  </si>
  <si>
    <t>2015 Apr. 12.80900</t>
  </si>
  <si>
    <t>2015 Apr. 12.80840</t>
  </si>
  <si>
    <t>2015 Mar. 31.40383</t>
  </si>
  <si>
    <t>000-BJT-078 (13.694)</t>
  </si>
  <si>
    <t>ERROR: V+C POISSON; ENSEMBLE: 000-BJT-069;000-BJT-071;000-BJT-072;000-BJT-073</t>
  </si>
  <si>
    <t>2014 Oct. 11.00603</t>
  </si>
  <si>
    <t>000-BJT-072 (12.111)</t>
  </si>
  <si>
    <t>000-BJT-078 (13.756)</t>
  </si>
  <si>
    <t>7873CC</t>
  </si>
  <si>
    <t>2014 May. 19.31903</t>
  </si>
  <si>
    <t>000-BJT-078 (13.762)</t>
  </si>
  <si>
    <t>ERROR: V-C STATISTICAL+V POISSON IN QUAD;</t>
  </si>
  <si>
    <t>1, 2, 3, 4, 5 ... 7 Next Last</t>
  </si>
  <si>
    <t>https://www.aavso.org/apps/webobs/results/?star=hm+sge&amp;num_results=25&amp;obs_types=ccd</t>
  </si>
  <si>
    <t>HM SGE</t>
  </si>
  <si>
    <t>2016 Apr. 06.09722</t>
  </si>
  <si>
    <t>000BCH658 (11.951)</t>
  </si>
  <si>
    <t>000BCH673 (12.494)</t>
  </si>
  <si>
    <t>X16135JC</t>
  </si>
  <si>
    <t>2014 Oct. 03.95200</t>
  </si>
  <si>
    <t>2014 Oct. 02.96300</t>
  </si>
  <si>
    <t>2014 Sep. 14.00600</t>
  </si>
  <si>
    <t>2014 Sep. 13.00500</t>
  </si>
  <si>
    <t>2014 Aug. 10.19718</t>
  </si>
  <si>
    <t>125 (12.533)</t>
  </si>
  <si>
    <t>8606AKC</t>
  </si>
  <si>
    <t>2014 Aug. 04.00521</t>
  </si>
  <si>
    <t>000-BCH-644 (10.724)</t>
  </si>
  <si>
    <t>12108HP</t>
  </si>
  <si>
    <t>EXP.TIME= 3X120SEC.-STACK METHOD: AVERAGE-'LX200 10IN. F3.9'-'SBIG ST-7 DUAL CCD CAMERA'</t>
  </si>
  <si>
    <t>2014 Aug. 04.00022</t>
  </si>
  <si>
    <t>000-BCH-644 (11.059)</t>
  </si>
  <si>
    <t>EXP.TIME= 2X120SEC.-STACK METHOD: AVERAGE-'LX200 10IN. F3.9'-'SBIG ST-7 DUAL CCD CAMERA'</t>
  </si>
  <si>
    <t>2014 Aug. 03.99372</t>
  </si>
  <si>
    <t>000-BCH-644 (11.406)</t>
  </si>
  <si>
    <t>2014 Aug. 03.98214</t>
  </si>
  <si>
    <t>000-BCH-644 (11.885)</t>
  </si>
  <si>
    <t>EXP.TIME= 3X300SEC.-STACK METHOD: AVERAGE-'LX200 10IN. F3.9'-'SBIG ST-7 DUAL CCD CAMERA'</t>
  </si>
  <si>
    <t>2014 Jul. 28.02367</t>
  </si>
  <si>
    <t>000-BCH-644 (10.706)</t>
  </si>
  <si>
    <t>2014 Jul. 28.01889</t>
  </si>
  <si>
    <t>000-BCH-644 (11.054)</t>
  </si>
  <si>
    <t>2014 Jul. 28.01231</t>
  </si>
  <si>
    <t>000-BCH-644 (11.395)</t>
  </si>
  <si>
    <t>2014 Jul. 28.00090</t>
  </si>
  <si>
    <t>EXP.TIME= 2X300SEC.-STACK METHOD: AVERAGE-'LX200 10IN. F3.9'-'SBIG ST-7 DUAL CCD CAMERA'</t>
  </si>
  <si>
    <t>2014 Jul. 16.13100</t>
  </si>
  <si>
    <t>2014 May. 10.03196</t>
  </si>
  <si>
    <t>000-BCH-644 (10.715)</t>
  </si>
  <si>
    <t>EXP.TIME= 3X360SEC.-STACK METHOD: AVERAGE-'LX200 10IN. F3.9'-'SBIG ST-7 DUAL CCD CAMERA'</t>
  </si>
  <si>
    <t>2014 May. 10.02492</t>
  </si>
  <si>
    <t>000-BCH-644 (11.048)</t>
  </si>
  <si>
    <t>2014 May. 10.01635</t>
  </si>
  <si>
    <t>000-BCH-644 (11.350)</t>
  </si>
  <si>
    <t>EXP.TIME= 3X540SEC.-STACK METHOD: AVERAGE-'LX200 10IN. F3.9'-'SBIG ST-7 DUAL CCD CAMERA'</t>
  </si>
  <si>
    <t>2014 May. 10.00435</t>
  </si>
  <si>
    <t>000-BCH-644 (11.874)</t>
  </si>
  <si>
    <t>EXP.TIME= 2X900SEC.-STACK METHOD: AVERAGE-'LX200 10IN. F3.9'-'SBIG ST-7 DUAL CCD CAMERA'</t>
  </si>
  <si>
    <t>2013 Oct. 01.06656</t>
  </si>
  <si>
    <t>125 (12.536)</t>
  </si>
  <si>
    <t>2013 Sep. 23.81012</t>
  </si>
  <si>
    <t>000-BCH-644 (10.711)</t>
  </si>
  <si>
    <t>EXP.TIME= 3X120SEC. 'MEADE LX200 GPS 10" F3.9' 'SBIG ST-7 DUAL CCD CAMERA'</t>
  </si>
  <si>
    <t>2013 Sep. 23.80530</t>
  </si>
  <si>
    <t>EXP.TIME= 3X300SEC. 'MEADE LX200 GPS 10" F3.9' 'SBIG ST-7 DUAL CCD CAMERA'</t>
  </si>
  <si>
    <t>QW SGE</t>
  </si>
  <si>
    <t>https://www.aavso.org/apps/webobs/results/?star=v1016+cyg&amp;num_results=25&amp;obs_types=ccd</t>
  </si>
  <si>
    <t>V1016 CYG</t>
  </si>
  <si>
    <t>2015 Aug. 11.96858</t>
  </si>
  <si>
    <t>2015 Aug. 01.21618</t>
  </si>
  <si>
    <t>123 (12.352)</t>
  </si>
  <si>
    <t>8606AHP</t>
  </si>
  <si>
    <t>2014 Oct. 03.02800</t>
  </si>
  <si>
    <t>2014 Sep. 14.08200</t>
  </si>
  <si>
    <t>2014 Sep. 13.07900</t>
  </si>
  <si>
    <t>2014 Aug. 10.22259</t>
  </si>
  <si>
    <t>123 (12.368)</t>
  </si>
  <si>
    <t>2014 Aug. 05.98672</t>
  </si>
  <si>
    <t>000-BCJ-830 (11.668)</t>
  </si>
  <si>
    <t>12108IB</t>
  </si>
  <si>
    <t>2014 Aug. 05.98175</t>
  </si>
  <si>
    <t>000-BCJ-830 (11.982)</t>
  </si>
  <si>
    <t>2014 Aug. 05.97344</t>
  </si>
  <si>
    <t>000-BCJ-830 (12.297)</t>
  </si>
  <si>
    <t>EXP.TIME= 3X240SEC.-STACK METHOD: AVERAGE-'LX200 10IN. F3.9'-'SBIG ST-7 DUAL CCD CAMERA'</t>
  </si>
  <si>
    <t>2014 Aug. 05.96172</t>
  </si>
  <si>
    <t>000-BCJ-830 (12.861)</t>
  </si>
  <si>
    <t>2014 Jul. 12.19154</t>
  </si>
  <si>
    <t>123 (12.359)</t>
  </si>
  <si>
    <t>2014 Jul. 06.07206</t>
  </si>
  <si>
    <t>000-BCJ-830 (11.667)</t>
  </si>
  <si>
    <t>2014 Jul. 06.06539</t>
  </si>
  <si>
    <t>000-BCJ-830 (11.983)</t>
  </si>
  <si>
    <t>2014 Jul. 06.05527</t>
  </si>
  <si>
    <t>000-BCJ-830 (12.305)</t>
  </si>
  <si>
    <t>2014 Jul. 06.04289</t>
  </si>
  <si>
    <t>000-BCJ-830 (12.870)</t>
  </si>
  <si>
    <t>2013 Oct. 01.09179</t>
  </si>
  <si>
    <t>123 (12.365)</t>
  </si>
  <si>
    <t>2013 Sep. 23.84799</t>
  </si>
  <si>
    <t>2013 Sep. 23.84152</t>
  </si>
  <si>
    <t>2013 Sep. 23.83362</t>
  </si>
  <si>
    <t>000-BCJ-830 (12.316)</t>
  </si>
  <si>
    <t>EXP.TIME= 3X240SEC. 'MEADE LX200 GPS 10" F3.9' 'SBIG ST-7 DUAL CCD CAMERA'</t>
  </si>
  <si>
    <t>2013 Sep. 23.82122</t>
  </si>
  <si>
    <t>000-BCJ-830 (12.873)</t>
  </si>
  <si>
    <t>2013 Sep. 09.87363</t>
  </si>
  <si>
    <t>000-BCJ-830 (11.663)</t>
  </si>
  <si>
    <t>EXP.TIME= 360SEC. 'MEADE LX200 GPS 10"' 'SBIG ST-7 DUAL CCD CAMERA'</t>
  </si>
  <si>
    <t>2013 Sep. 09.86941</t>
  </si>
  <si>
    <t>000-BCJ-830 (12.018)</t>
  </si>
  <si>
    <t>EXP.TIME= 270SEC. 'MEADE LX200 GPS 10"' 'SBIG ST-7 DUAL CCD CAMERA'</t>
  </si>
  <si>
    <t>2013 Sep. 09.86391</t>
  </si>
  <si>
    <t>000-BCJ-830 (12.311)</t>
  </si>
  <si>
    <t>2013 Sep. 09.85454</t>
  </si>
  <si>
    <t>000-BCJ-830 (12.872)</t>
  </si>
  <si>
    <t>EXP.TIME= 900SEC. 'MEADE LX200 GPS 10"' 'SBIG ST-7 DUAL CCD CAMERA'</t>
  </si>
  <si>
    <t>1, 2, 3, 4, 5 ... 15 Next Last</t>
  </si>
  <si>
    <t>https://www.aavso.org/apps/webobs/results/?star=lt+del&amp;num_results=25&amp;obs_types=ccd</t>
  </si>
  <si>
    <t>LT DEL</t>
  </si>
  <si>
    <t>PEJ</t>
  </si>
  <si>
    <t>https://www.aavso.org/apps/webobs/results/?star=er+del&amp;num_results=25&amp;obs_types=ccd</t>
  </si>
  <si>
    <t>Showing 122 observations for ER Del from 2 observers</t>
  </si>
  <si>
    <t>ER DEL</t>
  </si>
  <si>
    <t>2015 Jul. 07.00854</t>
  </si>
  <si>
    <t>126 (12.578)</t>
  </si>
  <si>
    <t>USED COMPARSTARS = 11</t>
  </si>
  <si>
    <t>2014 Aug. 06.04539</t>
  </si>
  <si>
    <t>000-BJT-202 (11.575)</t>
  </si>
  <si>
    <t>7599AXR</t>
  </si>
  <si>
    <t>EXP.TIME= 5X30SEC.-STACK METHOD: AVERAGE-'LX200 10IN. F3.9'-'SBIG ST-7 DUAL CCD CAMERA'</t>
  </si>
  <si>
    <t>2014 Aug. 06.03531</t>
  </si>
  <si>
    <t>000-BJT-202 (12.520)</t>
  </si>
  <si>
    <t>EXP.TIME= 5X120SEC.-STACK METHOD: AVERAGE-'LX200 10IN. F3.9'-'SBIG ST-7 DUAL CCD CAMERA'</t>
  </si>
  <si>
    <t>2014 Jul. 18.10874</t>
  </si>
  <si>
    <t>000-BJT-202 (10.418)</t>
  </si>
  <si>
    <t>EXP.TIME= 1X30SEC.-STACK METHOD: NA-'LX200 10IN. F3.9'-'SBIG ST-7 DUAL CCD CAMERA'</t>
  </si>
  <si>
    <t>2014 Jul. 18.10258</t>
  </si>
  <si>
    <t>000-BJT-202 (10.925)</t>
  </si>
  <si>
    <t>EXP.TIME= 5X20SEC.-STACK METHOD: AVERAGE-'LX200 10IN. F3.9'-'SBIG ST-7 DUAL CCD CAMERA'</t>
  </si>
  <si>
    <t>2014 Jul. 18.09657</t>
  </si>
  <si>
    <t>000-BJT-202 (11.564)</t>
  </si>
  <si>
    <t>2014 Jul. 18.08704</t>
  </si>
  <si>
    <t>000-BJT-202 (12.512)</t>
  </si>
  <si>
    <t>2013 Nov. 06.76176</t>
  </si>
  <si>
    <t>000-BJT-202 (10.429)</t>
  </si>
  <si>
    <t>EXP.TIME= 5X30SEC. 'MEADE LX200 GPS 10" F3.9' 'SBIG ST-7 DUAL CCD CAMERA'</t>
  </si>
  <si>
    <t>2013 Nov. 06.75961</t>
  </si>
  <si>
    <t>000-BJT-202 (10.945)</t>
  </si>
  <si>
    <t>EXP.TIME= 5X20SEC. 'MEADE LX200 GPS 10" F3.9' 'SBIG ST-7 DUAL CCD CAMERA'</t>
  </si>
  <si>
    <t>2013 Nov. 06.75744</t>
  </si>
  <si>
    <t>000-BJT-202 (11.493)</t>
  </si>
  <si>
    <t>2013 Nov. 06.74993</t>
  </si>
  <si>
    <t>000-BJT-202 (12.528)</t>
  </si>
  <si>
    <t>EXP.TIME= 5X120SEC. 'MEADE LX200 GPS 10" F3.9' 'SBIG ST-7 DUAL CCD CAMERA'</t>
  </si>
  <si>
    <t>2013 Oct. 31.81182</t>
  </si>
  <si>
    <t>000-BJT-202 (10.406)</t>
  </si>
  <si>
    <t>2013 Oct. 31.80978</t>
  </si>
  <si>
    <t>000-BJT-202 (10.943)</t>
  </si>
  <si>
    <t>2013 Oct. 31.80771</t>
  </si>
  <si>
    <t>000-BJT-202 (11.489)</t>
  </si>
  <si>
    <t>2013 Oct. 31.80051</t>
  </si>
  <si>
    <t>000-BJT-202 (12.526)</t>
  </si>
  <si>
    <t>2013 Sep. 09.94877</t>
  </si>
  <si>
    <t>000-BJT-202 (10.402)</t>
  </si>
  <si>
    <t>EXP.TIME= 150SEC. 'MEADE LX200 GPS 10"' 'SBIG ST-7 DUAL CCD CAMERA'</t>
  </si>
  <si>
    <t>2013 Sep. 09.94653</t>
  </si>
  <si>
    <t>000-BJT-202 (10.946)</t>
  </si>
  <si>
    <t>EXP.TIME= 100SEC. 'MEADE LX200 GPS 10"' 'SBIG ST-7 DUAL CCD CAMERA'</t>
  </si>
  <si>
    <t>2013 Sep. 09.94435</t>
  </si>
  <si>
    <t>000-BJT-202 (11.526)</t>
  </si>
  <si>
    <t>2013 Sep. 09.93872</t>
  </si>
  <si>
    <t>EXP.TIME= 600SEC. 'MEADE LX200 GPS 10"' 'SBIG ST-7 DUAL CCD CAMERA'</t>
  </si>
  <si>
    <t>2013 Aug. 29.96848</t>
  </si>
  <si>
    <t>000-BJT-202 (11.048)</t>
  </si>
  <si>
    <t>2013 Aug. 29.96628</t>
  </si>
  <si>
    <t>000-BJT-202 (11.532)</t>
  </si>
  <si>
    <t>2013 Aug. 29.96124</t>
  </si>
  <si>
    <t>000-BJT-202 (12.560)</t>
  </si>
  <si>
    <t>2013 Aug. 21.00185</t>
  </si>
  <si>
    <t>000-BJT-202 (10.374)</t>
  </si>
  <si>
    <t>2013 Aug. 20.99855</t>
  </si>
  <si>
    <t>000-BJT-202 (10.936)</t>
  </si>
  <si>
    <t>EXP.TIME= 20SEC. 'MEADE LX200 GPS 10"' 'SBIG ST-7 DUAL CCD CAMERA'</t>
  </si>
  <si>
    <t>2013 Aug. 20.99617</t>
  </si>
  <si>
    <t>000-BJT-202 (11.525)</t>
  </si>
  <si>
    <t>1, 2, 3, 4, 5 Next Last</t>
  </si>
  <si>
    <t>https://www.aavso.org/apps/webobs/results/?star=v1329+cyg&amp;num_results=25&amp;obs_types=ccd</t>
  </si>
  <si>
    <t>V1329 CYG</t>
  </si>
  <si>
    <t>2016 Jun. 10.44140</t>
  </si>
  <si>
    <t>128 (12.825)</t>
  </si>
  <si>
    <t>139 (13.941)</t>
  </si>
  <si>
    <t>X16253ERB</t>
  </si>
  <si>
    <t>iT21. Current B minus V index is positive 0.73.</t>
  </si>
  <si>
    <t>2016 Jun. 10.44000</t>
  </si>
  <si>
    <t>128 (13.422)</t>
  </si>
  <si>
    <t>143 (14.839)</t>
  </si>
  <si>
    <t>U minus B index is negative 0.13.</t>
  </si>
  <si>
    <t>2016 Jun. 10.43890</t>
  </si>
  <si>
    <t>139 (14.715)</t>
  </si>
  <si>
    <t>128 (13.667)</t>
  </si>
  <si>
    <t>2015 Nov. 04.75263</t>
  </si>
  <si>
    <t>SJAR</t>
  </si>
  <si>
    <t>000-BCM-627 (12.294)</t>
  </si>
  <si>
    <t>4171CFK</t>
  </si>
  <si>
    <t>2015 Nov. 04.75118</t>
  </si>
  <si>
    <t>000-BCM-627 (14.128)</t>
  </si>
  <si>
    <t>2015 Nov. 04.74972</t>
  </si>
  <si>
    <t>000-BCM-627 (12.730)</t>
  </si>
  <si>
    <t>2015 Nov. 04.74826</t>
  </si>
  <si>
    <t>000-BCM-627 (13.251)</t>
  </si>
  <si>
    <t>2015 Nov. 03.15072</t>
  </si>
  <si>
    <t>ACO</t>
  </si>
  <si>
    <t>124 (12.392)</t>
  </si>
  <si>
    <t>X15552LKN</t>
  </si>
  <si>
    <t>2015 Oct. 05.99369</t>
  </si>
  <si>
    <t>136 (13.555)</t>
  </si>
  <si>
    <t>X15413GC</t>
  </si>
  <si>
    <t>2015 Sep. 26.94753</t>
  </si>
  <si>
    <t>136 (13.592)</t>
  </si>
  <si>
    <t>AAVSO X15249U</t>
  </si>
  <si>
    <t>MEAN OF 5 OBS</t>
  </si>
  <si>
    <t>2015 Sep. 26.94678</t>
  </si>
  <si>
    <t>136 (14.097)</t>
  </si>
  <si>
    <t>2015 Sep. 17.00530</t>
  </si>
  <si>
    <t>139 (13.920)</t>
  </si>
  <si>
    <t>X15373VG</t>
  </si>
  <si>
    <t>2015 Aug. 09.05894</t>
  </si>
  <si>
    <t>136 (13.574)</t>
  </si>
  <si>
    <t>2015 Aug. 09.05820</t>
  </si>
  <si>
    <t>136 (14.100)</t>
  </si>
  <si>
    <t>2015 Aug. 05.33867</t>
  </si>
  <si>
    <t>124 (12.456)</t>
  </si>
  <si>
    <t>15228XC</t>
  </si>
  <si>
    <t>2015 Jun. 12.19863</t>
  </si>
  <si>
    <t>136 (13.545)</t>
  </si>
  <si>
    <t>15095CFG</t>
  </si>
  <si>
    <t>2014 Oct. 09.96892</t>
  </si>
  <si>
    <t>NLZ</t>
  </si>
  <si>
    <t>136 (13.568)</t>
  </si>
  <si>
    <t>13643AFH</t>
  </si>
  <si>
    <t>BRT</t>
  </si>
  <si>
    <t>2014 Sep. 26.81728</t>
  </si>
  <si>
    <t>BPO</t>
  </si>
  <si>
    <t>000-BCM-641 (17.627)</t>
  </si>
  <si>
    <t>000-BCM-634 (16.943)</t>
  </si>
  <si>
    <t>13476LSY</t>
  </si>
  <si>
    <t>2014 Sep. 26.81620</t>
  </si>
  <si>
    <t>000-BCM-641 (17.968)</t>
  </si>
  <si>
    <t>000-BCM-634 (16.792)</t>
  </si>
  <si>
    <t>1, 2, 3, 4, 5 ... 20 Next Last</t>
  </si>
  <si>
    <t>https://www.aavso.org/apps/webobs/results/?star=v407+cyg&amp;num_results=25&amp;obs_types=ccd</t>
  </si>
  <si>
    <t>V407 CYG</t>
  </si>
  <si>
    <t>2015 Nov. 01.05290</t>
  </si>
  <si>
    <t>154 (15.359)</t>
  </si>
  <si>
    <t>165 (16.461)</t>
  </si>
  <si>
    <t>X15552FKW</t>
  </si>
  <si>
    <t>iT21. Close vis companion N at 13.78V</t>
  </si>
  <si>
    <t>2015 Nov. 01.05190</t>
  </si>
  <si>
    <t>116 (11.403)</t>
  </si>
  <si>
    <t>137 (13.332)</t>
  </si>
  <si>
    <t>2015 Nov. 01.05090</t>
  </si>
  <si>
    <t>108 (10.504)</t>
  </si>
  <si>
    <t>116 (11.039)</t>
  </si>
  <si>
    <t>2015 Aug. 21.12940</t>
  </si>
  <si>
    <t>13229JNE</t>
  </si>
  <si>
    <t>The visual companion is excluded from the measurement. Large IR excess for V407.</t>
  </si>
  <si>
    <t>2015 Aug. 21.12830</t>
  </si>
  <si>
    <t>132 (12.774)</t>
  </si>
  <si>
    <t>150 (14.451)</t>
  </si>
  <si>
    <t>The visual companion is excluded from the measurement.</t>
  </si>
  <si>
    <t>V0407 CYG</t>
  </si>
  <si>
    <t>2015 Apr. 02.42181</t>
  </si>
  <si>
    <t>000-BJT-798 CYG (10.839)</t>
  </si>
  <si>
    <t>000-BJT-327 (12.690)</t>
  </si>
  <si>
    <t>14659CQ</t>
  </si>
  <si>
    <t>2015 Apr. 01.38924</t>
  </si>
  <si>
    <t>000-BJT-327 (12.638)</t>
  </si>
  <si>
    <t>2014 Oct. 25.22113</t>
  </si>
  <si>
    <t>130 000-BJT-328 (13.371)</t>
  </si>
  <si>
    <t>132 000-BJT-329 (13.614)</t>
  </si>
  <si>
    <t>13655ISG</t>
  </si>
  <si>
    <t>2014 Oct. 03.00304</t>
  </si>
  <si>
    <t>CQP</t>
  </si>
  <si>
    <t>13649DFD</t>
  </si>
  <si>
    <t>2014 Oct. 03.00051</t>
  </si>
  <si>
    <t>13649DBS</t>
  </si>
  <si>
    <t>2014 Oct. 01.98506</t>
  </si>
  <si>
    <t>LMJ</t>
  </si>
  <si>
    <t>142 (14.236)</t>
  </si>
  <si>
    <t>8393GF</t>
  </si>
  <si>
    <t>MEASURED WITH VPHOT</t>
  </si>
  <si>
    <t>2014 Sep. 18.04759</t>
  </si>
  <si>
    <t>13621CE</t>
  </si>
  <si>
    <t>2014 Sep. 18.04448</t>
  </si>
  <si>
    <t>13621BC</t>
  </si>
  <si>
    <t>2014 Jun. 26.18197</t>
  </si>
  <si>
    <t>132 (13.275)</t>
  </si>
  <si>
    <t>13509JL</t>
  </si>
  <si>
    <t>2014 May. 22.39537</t>
  </si>
  <si>
    <t>000-BJT-798 (10.839)</t>
  </si>
  <si>
    <t>000-BCN-327 (12.590)</t>
  </si>
  <si>
    <t>2132BCX</t>
  </si>
  <si>
    <t>2014 May. 06.39561</t>
  </si>
  <si>
    <t>000-BCN-327 (12.568)</t>
  </si>
  <si>
    <t>132 (13.237)</t>
  </si>
  <si>
    <t>150 (14.964)</t>
  </si>
  <si>
    <t>https://www.aavso.org/apps/webobs/results/?star=stha+190&amp;num_results=25&amp;obs_types=ccd</t>
  </si>
  <si>
    <t>Showing 4 observations for NSV 25735 from 1 observer</t>
  </si>
  <si>
    <t>NSV 25735</t>
  </si>
  <si>
    <t>2011 Oct. 21.05296</t>
  </si>
  <si>
    <t>000-BJV-159 (10.740)</t>
  </si>
  <si>
    <t>000-BJV-160 (11.310)</t>
  </si>
  <si>
    <t>3283BHS</t>
  </si>
  <si>
    <t>Error: V-C Statistical+V Poisson in Quad;</t>
  </si>
  <si>
    <t>2010 Oct. 18.03072</t>
  </si>
  <si>
    <t>000-BJV-160 (11.300)</t>
  </si>
  <si>
    <t>ERROR: V-C STATISTICAL+VAR POISSON IN QUAD;</t>
  </si>
  <si>
    <t>2004 Nov. 21.01140</t>
  </si>
  <si>
    <t>TYCHO</t>
  </si>
  <si>
    <t>2004 Nov. 20.12130</t>
  </si>
  <si>
    <t>https://www.aavso.org/apps/webobs/results/?star=v627+cas&amp;num_results=25&amp;obs_types=ccd</t>
  </si>
  <si>
    <t>V627 CAS</t>
  </si>
  <si>
    <t>2016 Feb. 18.84121</t>
  </si>
  <si>
    <t>134 (13.330)</t>
  </si>
  <si>
    <t>AAVSO X15362BLV</t>
  </si>
  <si>
    <t>2016 Feb. 18.84064</t>
  </si>
  <si>
    <t>134 (13.983)</t>
  </si>
  <si>
    <t>2016 Feb. 14.79711</t>
  </si>
  <si>
    <t>134 (13.305)</t>
  </si>
  <si>
    <t>2016 Feb. 14.79655</t>
  </si>
  <si>
    <t>134 (13.978)</t>
  </si>
  <si>
    <t>2016 Jan. 19.82263</t>
  </si>
  <si>
    <t>134 (13.301)</t>
  </si>
  <si>
    <t>MEAN OF 6 OBS</t>
  </si>
  <si>
    <t>2016 Jan. 19.82207</t>
  </si>
  <si>
    <t>134 (13.972)</t>
  </si>
  <si>
    <t>2016 Jan. 15.81138</t>
  </si>
  <si>
    <t>134 (13.322)</t>
  </si>
  <si>
    <t>2016 Jan. 15.81081</t>
  </si>
  <si>
    <t>134 (13.984)</t>
  </si>
  <si>
    <t>2015 Dec. 24.85334</t>
  </si>
  <si>
    <t>134 (13.295)</t>
  </si>
  <si>
    <t>2015 Dec. 24.85277</t>
  </si>
  <si>
    <t>134 (13.965)</t>
  </si>
  <si>
    <t>2015 Sep. 27.85242</t>
  </si>
  <si>
    <t>134 (13.300)</t>
  </si>
  <si>
    <t>2015 Sep. 27.85185</t>
  </si>
  <si>
    <t>134 (13.971)</t>
  </si>
  <si>
    <t>V0627 CAS</t>
  </si>
  <si>
    <t>2013 Aug. 25.32366</t>
  </si>
  <si>
    <t>110 (11.746)</t>
  </si>
  <si>
    <t>12585CE</t>
  </si>
  <si>
    <t>2013 Aug. 25.32228</t>
  </si>
  <si>
    <t>110 (11.040)</t>
  </si>
  <si>
    <t>2012 Oct. 28.77660</t>
  </si>
  <si>
    <t>HPIA</t>
  </si>
  <si>
    <t>9958F</t>
  </si>
  <si>
    <t>https://www.aavso.org/apps/webobs/results/?star=r+aqr&amp;num_results=25&amp;obs_types=ccd</t>
  </si>
  <si>
    <t>R AQR</t>
  </si>
  <si>
    <t>https://www.aavso.org/apps/webobs/results/?star=z+and&amp;num_results=25&amp;obs_types=ccd</t>
  </si>
  <si>
    <t>Z AND</t>
  </si>
  <si>
    <t>000-BCR-684 (9.051)</t>
  </si>
  <si>
    <t>15057JX</t>
  </si>
  <si>
    <t>000-BCR-684 (9.430)</t>
  </si>
  <si>
    <t>15057JU</t>
  </si>
  <si>
    <t>AAVSO X15386OEA</t>
  </si>
  <si>
    <t>MEAN OF 10 OBS, COMP V=9.051</t>
  </si>
  <si>
    <t>Days Last</t>
  </si>
  <si>
    <t>https://www.aavso.org/apps/webobs/results/?star=eg+and&amp;num_results=25&amp;obs_types=ccd</t>
  </si>
  <si>
    <t>EG AND</t>
  </si>
  <si>
    <t>000-BLF-411 (9.193)</t>
  </si>
  <si>
    <t>14872ENG</t>
  </si>
  <si>
    <t>000-BLF-411 (10.162)</t>
  </si>
  <si>
    <t>14872EOH</t>
  </si>
  <si>
    <t>https://www.aavso.org/apps/webobs/results/?star=ax+per&amp;num_results=25&amp;obs_types=ccd</t>
  </si>
  <si>
    <t>AX PER</t>
  </si>
  <si>
    <t>AAVSO 13574BN</t>
  </si>
  <si>
    <t>000-BBD-074 (11.156)</t>
  </si>
  <si>
    <t>15057BNK</t>
  </si>
  <si>
    <t>https://www.aavso.org/apps/webobs/results/?star=bd+cam&amp;num_results=25&amp;obs_types=ccd</t>
  </si>
  <si>
    <t>Showing 1 observations for BD Cam from 1 observer</t>
  </si>
  <si>
    <t>BD CAM</t>
  </si>
  <si>
    <t>2011 Jan. 05.11354</t>
  </si>
  <si>
    <t>PSEB</t>
  </si>
  <si>
    <t>000-BBG-206 (4.817)</t>
  </si>
  <si>
    <t>3325ULG</t>
  </si>
  <si>
    <t>B-V=1.630 (MER/HD22649) / MEAN 36 MEASURES</t>
  </si>
  <si>
    <t>https://www.aavso.org/apps/webobs/results/?star=v471+per&amp;num_results=25&amp;obs_types=ccd</t>
  </si>
  <si>
    <t>V0471 PER</t>
  </si>
  <si>
    <t>2016 Mar. 22.01662</t>
  </si>
  <si>
    <t>000-BJT-875 (13.174)</t>
  </si>
  <si>
    <t>000-BJT-877 (13.482)</t>
  </si>
  <si>
    <t>X15437CBQ</t>
  </si>
  <si>
    <t>2016 Mar. 05.02341</t>
  </si>
  <si>
    <t>000-BJT-877 (13.429)</t>
  </si>
  <si>
    <t>2016 Feb. 21.00589</t>
  </si>
  <si>
    <t>000-BJT-877 (13.398)</t>
  </si>
  <si>
    <t>2016 Feb. 07.99916</t>
  </si>
  <si>
    <t>000-BJT-877 (13.439)</t>
  </si>
  <si>
    <t>2016 Jan. 26.10685</t>
  </si>
  <si>
    <t>000-BJT-877 (13.408)</t>
  </si>
  <si>
    <t>2016 Jan. 23.08431</t>
  </si>
  <si>
    <t>000-BJT-877 (13.413)</t>
  </si>
  <si>
    <t>2016 Jan. 01.16908</t>
  </si>
  <si>
    <t>000-BJT-877 (13.438)</t>
  </si>
  <si>
    <t>2015 Dec. 15.03832</t>
  </si>
  <si>
    <t>000-BJT-877 (13.442)</t>
  </si>
  <si>
    <t>2015 Nov. 17.01501</t>
  </si>
  <si>
    <t>000-BJT-877 (13.422)</t>
  </si>
  <si>
    <t>2015 Nov. 03.98734</t>
  </si>
  <si>
    <t>2015 Oct. 15.39489</t>
  </si>
  <si>
    <t>000-BJT-877 (13.430)</t>
  </si>
  <si>
    <t>2015 Mar. 03.03057</t>
  </si>
  <si>
    <t>GSC3684-0586 (10.820)</t>
  </si>
  <si>
    <t>GSC3684-0938 (11.078)</t>
  </si>
  <si>
    <t>2015 Feb. 12.01148</t>
  </si>
  <si>
    <t>GSC3684-0938 (11.075)</t>
  </si>
  <si>
    <t>2015 Jan. 29.99480</t>
  </si>
  <si>
    <t>GSC3684-0938 (11.076)</t>
  </si>
  <si>
    <t>2015 Jan. 06.05396</t>
  </si>
  <si>
    <t>GSC3684-0938 (11.079)</t>
  </si>
  <si>
    <t>2014 Dec. 15.97812</t>
  </si>
  <si>
    <t>GSC3684-0938 (11.090)</t>
  </si>
  <si>
    <t>2014 Dec. 03.03657</t>
  </si>
  <si>
    <t>GSC3684-0938 (11.091)</t>
  </si>
  <si>
    <t>2014 Nov. 19.05575</t>
  </si>
  <si>
    <t>GSC3684-0938 (11.101)</t>
  </si>
  <si>
    <t>2014 Nov. 06.13335</t>
  </si>
  <si>
    <t>https://www.aavso.org/apps/webobs/results/?star=omi+cet&amp;num_results=25&amp;obs_types=ccd</t>
  </si>
  <si>
    <t>OMI CET</t>
  </si>
  <si>
    <t>SAH</t>
  </si>
  <si>
    <t>3279CKC</t>
  </si>
  <si>
    <t>6076COI</t>
  </si>
  <si>
    <t>https://www.aavso.org/apps/webobs/results/?star=cq+dra&amp;num_results=25&amp;obs_types=ccd</t>
  </si>
  <si>
    <t>There were no results for this search.</t>
  </si>
  <si>
    <t>https://www.aavso.org/apps/webobs/results/?star=tx+cvn&amp;num_results=25&amp;obs_types=ccd</t>
  </si>
  <si>
    <t>TX CVN</t>
  </si>
  <si>
    <t>000-BBT-170 (11.335)</t>
  </si>
  <si>
    <t>000-BBT-170 (10.321)</t>
  </si>
  <si>
    <t>4694IF</t>
  </si>
  <si>
    <t>000-BBT-170 (10.780)</t>
  </si>
  <si>
    <t>000-BBT-170 (12.353)</t>
  </si>
  <si>
    <t>https://www.aavso.org/apps/webobs/results/?star=iv+vir&amp;num_results=25&amp;obs_types=ccd</t>
  </si>
  <si>
    <t>https://www.aavso.org/apps/webobs/results/?star=uv+aur&amp;num_results=25&amp;obs_types=ccd</t>
  </si>
  <si>
    <t>UV AUR</t>
  </si>
  <si>
    <t>2016 Apr. 10.85200</t>
  </si>
  <si>
    <t>2016 Mar. 18.92300</t>
  </si>
  <si>
    <t>2016 Mar. 12.87600</t>
  </si>
  <si>
    <t>2016 Mar. 10.91700</t>
  </si>
  <si>
    <t>2016 Feb. 14.94700</t>
  </si>
  <si>
    <t>2015 Nov. 11.10700</t>
  </si>
  <si>
    <t>2015 Nov. 10.04700</t>
  </si>
  <si>
    <t>2015 Nov. 09.10000</t>
  </si>
  <si>
    <t>2015 Nov. 08.05500</t>
  </si>
  <si>
    <t>2015 Apr. 14.85000</t>
  </si>
  <si>
    <t>2015 Apr. 13.83900</t>
  </si>
  <si>
    <t>2015 Apr. 12.83800</t>
  </si>
  <si>
    <t>2015 Apr. 11.84700</t>
  </si>
  <si>
    <t>2015 Jan. 02.04500</t>
  </si>
  <si>
    <t>2014 Dec. 29.99400</t>
  </si>
  <si>
    <t>2014 Dec. 25.99200</t>
  </si>
  <si>
    <t>2014 Dec. 25.01000</t>
  </si>
  <si>
    <t>1, 2, 3, 4, 5 ... 23 Next Last</t>
  </si>
  <si>
    <t>https://www.aavso.org/apps/webobs/results/?star=v1261+ori&amp;num_results=25&amp;obs_types=ccd</t>
  </si>
  <si>
    <t>V1261 ORI</t>
  </si>
  <si>
    <t>2015 Dec. 21.16590</t>
  </si>
  <si>
    <t>000-BJV-118 (-5.663)</t>
  </si>
  <si>
    <t>000BJV-122 (-4.576)</t>
  </si>
  <si>
    <t>2015 Dec. 20.13088</t>
  </si>
  <si>
    <t>000-BJV-118 (9.573)</t>
  </si>
  <si>
    <t>2015 Dec. 20.12990</t>
  </si>
  <si>
    <t>000-BJV-118 (-5.635)</t>
  </si>
  <si>
    <t>000BJV-122 (-4.515)</t>
  </si>
  <si>
    <t>2015 Dec. 16.14381</t>
  </si>
  <si>
    <t>000-BJV-118 (9.530)</t>
  </si>
  <si>
    <t>2015 Dec. 16.14271</t>
  </si>
  <si>
    <t>000-BJV-118 (-5.754)</t>
  </si>
  <si>
    <t>000BJV-122 (-4.642)</t>
  </si>
  <si>
    <t>2015 Dec. 12.15662</t>
  </si>
  <si>
    <t>000-BJV-118 (9.552)</t>
  </si>
  <si>
    <t>2015 Dec. 12.15554</t>
  </si>
  <si>
    <t>000-BJV-118 (-5.431)</t>
  </si>
  <si>
    <t>000BJV-122 (-4.281)</t>
  </si>
  <si>
    <t>2015 Dec. 07.16103</t>
  </si>
  <si>
    <t>000-BJV-118 (9.571)</t>
  </si>
  <si>
    <t>2015 Dec. 07.16001</t>
  </si>
  <si>
    <t>000-BJV-118 (-3.860)</t>
  </si>
  <si>
    <t>000BJV-122 (-3.170)</t>
  </si>
  <si>
    <t>2015 Dec. 06.17162</t>
  </si>
  <si>
    <t>000-BJV-118 (9.555)</t>
  </si>
  <si>
    <t>2015 Dec. 06.17057</t>
  </si>
  <si>
    <t>000-BJV-118 (-5.412)</t>
  </si>
  <si>
    <t>000BJV-122 (-4.346)</t>
  </si>
  <si>
    <t>2015 Dec. 05.17623</t>
  </si>
  <si>
    <t>000-BJV-118 (9.565)</t>
  </si>
  <si>
    <t>000-BJV-118 (9.547)</t>
  </si>
  <si>
    <t>000-BJV-118 (9.562)</t>
  </si>
  <si>
    <t>StHa 55</t>
  </si>
  <si>
    <t>https://www.aavso.org/apps/webobs/results/?star=stha+55&amp;num_results=25&amp;obs_types=ccd</t>
  </si>
  <si>
    <t>There were errors fetching your search results:</t>
  </si>
  <si>
    <t>The star stha 55 does not have an AUID. An object must be assigned an AUID before observations of it can be submitted.</t>
  </si>
  <si>
    <t>https://www.aavso.org/apps/webobs/results/?star=zz+cmi&amp;num_results=25&amp;obs_types=ccd</t>
  </si>
  <si>
    <t>Showing 19 observations for ZZ CMi from 4 observers</t>
  </si>
  <si>
    <t>ZZ CMI</t>
  </si>
  <si>
    <t>2014 Feb. 24.78604</t>
  </si>
  <si>
    <t>106 (10.488)</t>
  </si>
  <si>
    <t>13229WR</t>
  </si>
  <si>
    <t>2013 Apr. 18.87100</t>
  </si>
  <si>
    <t>101 (10.136)</t>
  </si>
  <si>
    <t>106 (10.572)</t>
  </si>
  <si>
    <t>11406QQQ</t>
  </si>
  <si>
    <t>2007 Nov. 03.16640</t>
  </si>
  <si>
    <t>MMN</t>
  </si>
  <si>
    <t>UCAC3 198-092349 (13.282)</t>
  </si>
  <si>
    <t>UCAC3 198-092357 (13.949)</t>
  </si>
  <si>
    <t>TELESCOPE SCHMIDT-CASSEGRAIN 0.20M-F/10.0 + CCD KAF0400E</t>
  </si>
  <si>
    <t>2006 Feb. 28.81930</t>
  </si>
  <si>
    <t>-</t>
  </si>
  <si>
    <t>ERR: 0.05 TRANSFORM: YES</t>
  </si>
  <si>
    <t>2006 Feb. 28.81640</t>
  </si>
  <si>
    <t>ERR: 0.07 TRANSFORM: YES</t>
  </si>
  <si>
    <t>2006 Feb. 28.81630</t>
  </si>
  <si>
    <t>2006 Feb. 28.81530</t>
  </si>
  <si>
    <t>ERR: 0.04 TRANSFORM: YES</t>
  </si>
  <si>
    <t>2006 Feb. 09.87570</t>
  </si>
  <si>
    <t>ERR: 0.02 TRANSFORM: YES</t>
  </si>
  <si>
    <t>2006 Feb. 09.87430</t>
  </si>
  <si>
    <t>2006 Feb. 09.87280</t>
  </si>
  <si>
    <t>ERR: 0.03 TRANSFORM: YES</t>
  </si>
  <si>
    <t>2006 Feb. 09.87140</t>
  </si>
  <si>
    <t>ERR: 0.06 TRANSFORM: YES</t>
  </si>
  <si>
    <t>2006 Feb. 01.95920</t>
  </si>
  <si>
    <t>2006 Feb. 01.95720</t>
  </si>
  <si>
    <t>2006 Feb. 01.95640</t>
  </si>
  <si>
    <t>2006 Feb. 01.95500</t>
  </si>
  <si>
    <t>2006 Jan. 20.97470</t>
  </si>
  <si>
    <t>2006 Jan. 20.97290</t>
  </si>
  <si>
    <t>2006 Jan. 20.97080</t>
  </si>
  <si>
    <t>2006 Jan. 20.97050</t>
  </si>
  <si>
    <t>ERR: 0.09 TRANSFORM: YES</t>
  </si>
  <si>
    <t>https://www.aavso.org/apps/webobs/results/?star=bx+mon&amp;num_results=25&amp;obs_types=ccd</t>
  </si>
  <si>
    <t>Showing 652 observations for BX Mon from 13 observers</t>
  </si>
  <si>
    <t>BX MON</t>
  </si>
  <si>
    <t>2016 Apr. 05.76528</t>
  </si>
  <si>
    <t>000BBN048 (12.809)</t>
  </si>
  <si>
    <t>000BBN044 (14.322)</t>
  </si>
  <si>
    <t>X15800AE</t>
  </si>
  <si>
    <t>000BBN048 (12.418)</t>
  </si>
  <si>
    <t>000BBN044 (13.885)</t>
  </si>
  <si>
    <t>2016 Feb. 10.99567</t>
  </si>
  <si>
    <t>112 (11.193)</t>
  </si>
  <si>
    <t>AAVSO X159905OT</t>
  </si>
  <si>
    <t>2016 Feb. 10.99546</t>
  </si>
  <si>
    <t>112 (11.720)</t>
  </si>
  <si>
    <t>2016 Feb. 05.75139</t>
  </si>
  <si>
    <t>2015 Dec. 30.87222</t>
  </si>
  <si>
    <t>X15800AE (12.418)</t>
  </si>
  <si>
    <t>2015 Jul. 22.82778</t>
  </si>
  <si>
    <t>000BBY422 (10.259)</t>
  </si>
  <si>
    <t>14552AAY</t>
  </si>
  <si>
    <t>2015 Mar. 23.76528</t>
  </si>
  <si>
    <t>000BBN039 (12.765)</t>
  </si>
  <si>
    <t>13688HRS</t>
  </si>
  <si>
    <t>000BBN039 (12.562)</t>
  </si>
  <si>
    <t>2015 Mar. 17.81389</t>
  </si>
  <si>
    <t>2015 Mar. 09.76597</t>
  </si>
  <si>
    <t>2015 Feb. 12.79375</t>
  </si>
  <si>
    <t>000BBN053 (13.367)</t>
  </si>
  <si>
    <t>000BBN053 (12.985)</t>
  </si>
  <si>
    <t>2015 Jan. 13.86389</t>
  </si>
  <si>
    <t>000BBN053 (12.642)</t>
  </si>
  <si>
    <t>2014 Mar. 30.80544</t>
  </si>
  <si>
    <t>000-BBN-066 (10.365)</t>
  </si>
  <si>
    <t>9951N</t>
  </si>
  <si>
    <t>EXP.TIME= 5X150SEC.-STACK METHOD: AVERAGE-'LX200 10IN. F3.9'-'SBIG ST-7 DUAL CCD CAMERA'</t>
  </si>
  <si>
    <t>2014 Mar. 30.80287</t>
  </si>
  <si>
    <t>000-BBN-066 (10.624)</t>
  </si>
  <si>
    <t>2014 Mar. 30.79520</t>
  </si>
  <si>
    <t>000-BBN-066 (10.891)</t>
  </si>
  <si>
    <t>EXP.TIME= 5X450SEC.-STACK METHOD: AVERAGE-'LX200 10IN. F3.9'-'SBIG ST-7 DUAL CCD CAMERA'</t>
  </si>
  <si>
    <t>2014 Mar. 30.78606</t>
  </si>
  <si>
    <t>000-BBN-066 (11.304)</t>
  </si>
  <si>
    <t>EXP.TIME= 3X720SEC.-STACK METHOD: AVERAGE-'LX200 10IN. F3.9'-'SBIG ST-7 DUAL CCD CAMERA'</t>
  </si>
  <si>
    <t>2014 Mar. 07.85689</t>
  </si>
  <si>
    <t>000-BBN-066 (10.388)</t>
  </si>
  <si>
    <t>2014 Mar. 07.85443</t>
  </si>
  <si>
    <t>000-BBN-066 (10.631)</t>
  </si>
  <si>
    <t>1, 2, 3, 4, 5 ... 27 Next Last</t>
  </si>
  <si>
    <t>https://www.aavso.org/apps/webobs/results/?star=v6694+mon&amp;num_results=25&amp;obs_types=ccd</t>
  </si>
  <si>
    <t>V0694 MON</t>
  </si>
  <si>
    <t>https://www.aavso.org/apps/webobs/results/?star=nq+gem&amp;num_results=25&amp;obs_types=ccd</t>
  </si>
  <si>
    <t>NQ GEM</t>
  </si>
  <si>
    <t>2016 Mar. 31.93113</t>
  </si>
  <si>
    <t>108 (-11.000)</t>
  </si>
  <si>
    <t>86 (-13.250)</t>
  </si>
  <si>
    <t>AAVSO X16063AMY</t>
  </si>
  <si>
    <t>MEAN OF 10 OBS, COMP V=10.829</t>
  </si>
  <si>
    <t>2016 Mar. 31.93107</t>
  </si>
  <si>
    <t>108 (-9.567)</t>
  </si>
  <si>
    <t>86 (-11.675)</t>
  </si>
  <si>
    <t>MEAN OF 10 OBS, COMP B=12.009</t>
  </si>
  <si>
    <t>2015 Dec. 17.53627</t>
  </si>
  <si>
    <t>GSC 1914 305 (8.600)</t>
  </si>
  <si>
    <t>2015 Dec. 17.53329</t>
  </si>
  <si>
    <t>UCAC4 573-040689 (9.768)</t>
  </si>
  <si>
    <t>2015 Dec. 14.54756</t>
  </si>
  <si>
    <t>GSC 1914 305 (8.605)</t>
  </si>
  <si>
    <t>2015 Dec. 14.54567</t>
  </si>
  <si>
    <t>UCAC4 573-040689 (9.813)</t>
  </si>
  <si>
    <t>https://www.aavso.org/apps/webobs/results/?star=gh+gem&amp;num_results=25&amp;obs_types=ccd</t>
  </si>
  <si>
    <t>GH GEM</t>
  </si>
  <si>
    <t>2016 May. 14.04129</t>
  </si>
  <si>
    <t>000-BBM-388 (11.091)</t>
  </si>
  <si>
    <t>000-BBM-380 (12.880)</t>
  </si>
  <si>
    <t>14583AZT</t>
  </si>
  <si>
    <t>2016 May. 06.03791</t>
  </si>
  <si>
    <t>000-BBM-380 (12.899)</t>
  </si>
  <si>
    <t>2016 Apr. 28.85300</t>
  </si>
  <si>
    <t>2016 Apr. 24.07330</t>
  </si>
  <si>
    <t>000-BBM-380 (12.914)</t>
  </si>
  <si>
    <t>2016 Apr. 10.86500</t>
  </si>
  <si>
    <t>2016 Apr. 08.03879</t>
  </si>
  <si>
    <t>000-BBM-380 (12.918)</t>
  </si>
  <si>
    <t>2016 Apr. 05.77083</t>
  </si>
  <si>
    <t>000BBM380 (12.926)</t>
  </si>
  <si>
    <t>000BBM381 (12.851)</t>
  </si>
  <si>
    <t>X15642BNA</t>
  </si>
  <si>
    <t>2016 Mar. 24.77639</t>
  </si>
  <si>
    <t>000BBM380 (14.202)</t>
  </si>
  <si>
    <t>000BBM381 (13.235)</t>
  </si>
  <si>
    <t>000BBM380 (12.245)</t>
  </si>
  <si>
    <t>000BBM381 (12.618)</t>
  </si>
  <si>
    <t>2016 Mar. 23.94800</t>
  </si>
  <si>
    <t>2016 Mar. 18.93600</t>
  </si>
  <si>
    <t>1, 2, 3, 4, 5 ... 48 Next Last</t>
  </si>
  <si>
    <t>AAVSO V magnitude of Symbiotic (or suspected) stars</t>
  </si>
  <si>
    <t>Updated</t>
  </si>
  <si>
    <t>o Cet</t>
  </si>
  <si>
    <t>https://www.aavso.org/apps/webobs/results/?star=stha+149&amp;num_results=25&amp;obs_types=ccd</t>
  </si>
  <si>
    <t>Showing 159 observations for StHA 149 from 1 observer</t>
  </si>
  <si>
    <t>STHA 149</t>
  </si>
  <si>
    <t>2014 Jul. 06.00324</t>
  </si>
  <si>
    <t>000-BJT-964 (12.046)</t>
  </si>
  <si>
    <t>10539MAG</t>
  </si>
  <si>
    <t>2014 Jul. 05.99603</t>
  </si>
  <si>
    <t>000-BJT-964 (12.446)</t>
  </si>
  <si>
    <t>EXP.TIME= 1X180SEC.-STACK METHOD: NA-'LX200 10IN. F3.9'-'SBIG ST-7 DUAL CCD CAMERA'</t>
  </si>
  <si>
    <t>2014 Jul. 05.98441</t>
  </si>
  <si>
    <t>000-BJT-964 (13.107)</t>
  </si>
  <si>
    <t>2014 May. 28.06541</t>
  </si>
  <si>
    <t>000-BJT-964 (11.679)</t>
  </si>
  <si>
    <t>2014 May. 28.05869</t>
  </si>
  <si>
    <t>000-BJT-964 (12.051)</t>
  </si>
  <si>
    <t>2014 May. 28.04998</t>
  </si>
  <si>
    <t>000-BJT-964 (12.451)</t>
  </si>
  <si>
    <t>2014 May. 28.03726</t>
  </si>
  <si>
    <t>000-BJT-964 (13.106)</t>
  </si>
  <si>
    <t>2014 May. 24.09412</t>
  </si>
  <si>
    <t>000-BJT-964 (11.659)</t>
  </si>
  <si>
    <t>2014 May. 24.08729</t>
  </si>
  <si>
    <t>000-BJT-964 (12.063)</t>
  </si>
  <si>
    <t>2014 May. 24.07909</t>
  </si>
  <si>
    <t>000-BJT-964 (12.457)</t>
  </si>
  <si>
    <t>2014 May. 24.06733</t>
  </si>
  <si>
    <t>000-BJT-964 (13.096)</t>
  </si>
  <si>
    <t>2014 May. 05.99286</t>
  </si>
  <si>
    <t>000-BJT-964 (11.657)</t>
  </si>
  <si>
    <t>2014 May. 05.98574</t>
  </si>
  <si>
    <t>000-BJT-964 (12.038)</t>
  </si>
  <si>
    <t>2014 May. 05.97777</t>
  </si>
  <si>
    <t>000-BJT-964 (12.439)</t>
  </si>
  <si>
    <t>2014 May. 05.96609</t>
  </si>
  <si>
    <t>EXP.TIME= 3X900SEC.-STACK METHOD: AVERAGE-'LX200 10IN. F3.9'-'SBIG ST-7 DUAL CCD CAMERA'</t>
  </si>
  <si>
    <t>2014 Mar. 08.15058</t>
  </si>
  <si>
    <t>000-BJT-964 (11.654)</t>
  </si>
  <si>
    <t>2014 Mar. 08.14215</t>
  </si>
  <si>
    <t>000-BJT-964 (12.040)</t>
  </si>
  <si>
    <t>2014 Mar. 08.13367</t>
  </si>
  <si>
    <t>000-BJT-964 (12.417)</t>
  </si>
  <si>
    <t>2014 Mar. 08.12274</t>
  </si>
  <si>
    <t>000-BJT-964 (13.060)</t>
  </si>
  <si>
    <t>2013 Aug. 05.89333</t>
  </si>
  <si>
    <t>000-BJT-964 (11.688)</t>
  </si>
  <si>
    <t>2013 Aug. 05.88713</t>
  </si>
  <si>
    <t>000-BJT-964 (12.020)</t>
  </si>
  <si>
    <t>2013 Aug. 05.88044</t>
  </si>
  <si>
    <t>000-BJT-964 (12.442)</t>
  </si>
  <si>
    <t>2013 Aug. 05.87083</t>
  </si>
  <si>
    <t>000-BJT-964 (13.124)</t>
  </si>
  <si>
    <t>2013 Jul. 15.95458</t>
  </si>
  <si>
    <t>000-BJT-964 (11.661)</t>
  </si>
  <si>
    <t>2013 Jul. 15.94811</t>
  </si>
  <si>
    <t>000-BJT-964 (12.026)</t>
  </si>
  <si>
    <t>2016 Jun. 28.95500</t>
  </si>
  <si>
    <t>2016 Jun. 27.99100</t>
  </si>
  <si>
    <t>2016 May. 12.24441</t>
  </si>
  <si>
    <t>000-BJS-730 (11.791)</t>
  </si>
  <si>
    <t>2016 May. 12.24439</t>
  </si>
  <si>
    <t>000-BJS-730 (11.110)</t>
  </si>
  <si>
    <t>2016 May. 11.28279</t>
  </si>
  <si>
    <t>000-BJS-730 (11.790)</t>
  </si>
  <si>
    <t>2016 May. 11.28277</t>
  </si>
  <si>
    <t>000-BJS-730 (11.109)</t>
  </si>
  <si>
    <t>2016 May. 09.22006</t>
  </si>
  <si>
    <t>000-BJS-730 (11.798)</t>
  </si>
  <si>
    <t>2016 May. 09.22003</t>
  </si>
  <si>
    <t>000-BJS-730 (11.112)</t>
  </si>
  <si>
    <t>2016 May. 08.38306</t>
  </si>
  <si>
    <t>000-BJS-730 (11.780)</t>
  </si>
  <si>
    <t>2016 May. 07.29240</t>
  </si>
  <si>
    <t>000-BJS-730 (11.801)</t>
  </si>
  <si>
    <t>2016 May. 07.29238</t>
  </si>
  <si>
    <t>000-BJS-730 (11.102)</t>
  </si>
  <si>
    <t>2016 May. 06.25926</t>
  </si>
  <si>
    <t>000-BJS-730 (11.822)</t>
  </si>
  <si>
    <t>2016 May. 06.25924</t>
  </si>
  <si>
    <t>000-BJS-730 (11.116)</t>
  </si>
  <si>
    <t>2016 May. 04.90478</t>
  </si>
  <si>
    <t>129 (12.809)</t>
  </si>
  <si>
    <t>2016 May. 04.90467</t>
  </si>
  <si>
    <t>129 (13.287)</t>
  </si>
  <si>
    <t>2016 May. 03.27150</t>
  </si>
  <si>
    <t>000-BJS-730 (11.795)</t>
  </si>
  <si>
    <t>2016 May. 03.27148</t>
  </si>
  <si>
    <t>000-BJS-730 (11.104)</t>
  </si>
  <si>
    <t>2016 May. 02.92466</t>
  </si>
  <si>
    <t>129 (12.858)</t>
  </si>
  <si>
    <t>2016 May. 02.92456</t>
  </si>
  <si>
    <t>129 (13.308)</t>
  </si>
  <si>
    <t>2016 May. 02.26644</t>
  </si>
  <si>
    <t>2016 May. 02.26641</t>
  </si>
  <si>
    <t>2016 Apr. 30.91030</t>
  </si>
  <si>
    <t>MEAN OF 4 OBS</t>
  </si>
  <si>
    <t>2016 Apr. 30.91018</t>
  </si>
  <si>
    <t>129 (13.296)</t>
  </si>
  <si>
    <t>2016 Apr. 29.89959</t>
  </si>
  <si>
    <t>129 (12.831)</t>
  </si>
  <si>
    <t>2016 Apr. 29.89947</t>
  </si>
  <si>
    <t>2016 Apr. 29.41422</t>
  </si>
  <si>
    <t>FJQ</t>
  </si>
  <si>
    <t>000-BJS-730 (14.613)</t>
  </si>
  <si>
    <t>000-BCY-345 (15.398)</t>
  </si>
  <si>
    <t>X16208AKA</t>
  </si>
  <si>
    <t>|VMAGINS=12.830|VERR=0.014|CREFMAG=11.124|CREFERR=0.006|KREFMAG=11.953|KREFERR=0.005|VX=0.0000|CX=0.0000|KX=0.0000|TV_BV=-0.0030|TV_BVERR=0.0050|BVCOLOR=1.0097|BVCOLORERR=0.0134|TAVER=2.47</t>
  </si>
  <si>
    <t>2016 Apr. 29.41362</t>
  </si>
  <si>
    <t>000-BJS-730 (13.503)</t>
  </si>
  <si>
    <t>000-BCY-345 (14.342)</t>
  </si>
  <si>
    <t>|VMAGINS=11.746|VERR=0.004|CREFMAG=11.124|CREFERR=0.006|KREFMAG=11.953|KREFERR=0.005|VX=0.0000|CX=0.0000|KX=0.0000|TV_BV=-0.0030|TV_BVERR=0.0050|BVCOLOR=1.0097|BVCOLORERR=0.0134|TAVER=2.47</t>
  </si>
  <si>
    <t>2016 Apr. 29.41302</t>
  </si>
  <si>
    <t>000-BJS-730 (13.463)</t>
  </si>
  <si>
    <t>000-BCY-345 (14.319)</t>
  </si>
  <si>
    <t>|VMAGINS=11.702|VERR=0.004|CREFMAG=11.124|CREFERR=0.006|KREFMAG=11.953|KREFERR=0.005|VX=0.0000|CX=0.0000|KX=0.0000|TV_BV=-0.0030|TV_BVERR=0.0050|BVCOLOR=1.0097|BVCOLORERR=0.0134|TAVER=2.47</t>
  </si>
  <si>
    <t>2016 Apr. 29.41204</t>
  </si>
  <si>
    <t>000-BJS-730 (13.898)</t>
  </si>
  <si>
    <t>000-BCY-345 (14.896)</t>
  </si>
  <si>
    <t>|VMAGINS=11.530|VERR=0.003|CREFMAG=10.378|CREFERR=0.023|KREFMAG=0.000|KREFERR=0.000|VX=0.0000|CX=0.0000|KX=0.0000|TI_VI=-0.0180|TI_VIERR=0.0070|TAVER=2.47</t>
  </si>
  <si>
    <t>2016 Apr. 29.41144</t>
  </si>
  <si>
    <t>000-BJS-730 (13.963)</t>
  </si>
  <si>
    <t>000-BCY-345 (14.955)</t>
  </si>
  <si>
    <t>|VMAGINS=11.597|VERR=0.003|CREFMAG=10.378|CREFERR=0.023|KREFMAG=0.000|KREFERR=0.000|VX=0.0000|CX=0.0000|KX=0.0000|TI_VI=-0.0180|TI_VIERR=0.0070|TAVER=2.47</t>
  </si>
  <si>
    <t>2016 Apr. 29.41083</t>
  </si>
  <si>
    <t>000-BJS-730 (13.811)</t>
  </si>
  <si>
    <t>000-BCY-345 (14.794)</t>
  </si>
  <si>
    <t>|VMAGINS=11.430|VERR=0.003|CREFMAG=10.378|CREFERR=0.023|KREFMAG=0.000|KREFERR=0.000|VX=0.0000|CX=0.0000|KX=0.0000|TI_VI=-0.0180|TI_VIERR=0.0070|TAVER=2.47</t>
  </si>
  <si>
    <t>2016 Apr. 29.40774</t>
  </si>
  <si>
    <t>000-BJS-730 (15.065)</t>
  </si>
  <si>
    <t>000-BCY-345 (15.782)</t>
  </si>
  <si>
    <t>|VMAGINS=13.501|VERR=0.012|CREFMAG=11.858|CREFERR=0.008|KREFMAG=12.459|KREFERR=0.011|VX=0.0000|CX=0.0000|KX=0.0000|TB_BV=0.3440|TB_BVERR=0.0070|TAVER=2.47</t>
  </si>
  <si>
    <t>2016 Apr. 29.40716</t>
  </si>
  <si>
    <t>000-BJS-730 (14.114)</t>
  </si>
  <si>
    <t>000-BCY-345 (14.821)</t>
  </si>
  <si>
    <t>|VMAGINS=12.562|VERR=0.005|CREFMAG=11.858|CREFERR=0.008|KREFMAG=12.459|KREFERR=0.011|VX=0.0000|CX=0.0000|KX=0.0000|TB_BV=0.3440|TB_BVERR=0.0070|TAVER=2.47</t>
  </si>
  <si>
    <t>2016 Apr. 29.40656</t>
  </si>
  <si>
    <t>000-BJS-730 (14.215)</t>
  </si>
  <si>
    <t>000-BCY-345 (14.934)</t>
  </si>
  <si>
    <t>|VMAGINS=12.671|VERR=0.005|CREFMAG=11.858|CREFERR=0.008|KREFMAG=12.459|KREFERR=0.011|VX=0.0000|CX=0.0000|KX=0.0000|TB_BV=0.3440|TB_BVERR=0.0070|TAVER=2.47</t>
  </si>
  <si>
    <t>2016 Apr. 29.40569</t>
  </si>
  <si>
    <t>000-BJS-730 (13.299)</t>
  </si>
  <si>
    <t>000-BCY-345 (14.123)</t>
  </si>
  <si>
    <t>|VMAGINS=11.536|VERR=0.003|CREFMAG=11.124|CREFERR=0.006|KREFMAG=11.953|KREFERR=0.005|VX=0.0000|CX=0.0000|KX=0.0000|TV_BV=-0.0030|TV_BVERR=0.0050|BVCOLOR=1.0097|BVCOLORERR=0.0134|TAVER=2.47</t>
  </si>
  <si>
    <t>2016 Apr. 29.40509</t>
  </si>
  <si>
    <t>000-BJS-730 (13.333)</t>
  </si>
  <si>
    <t>000-BCY-345 (14.161)</t>
  </si>
  <si>
    <t>|VMAGINS=11.585|VERR=0.003|CREFMAG=11.124|CREFERR=0.006|KREFMAG=11.953|KREFERR=0.005|VX=0.0000|CX=0.0000|KX=0.0000|TV_BV=-0.0030|TV_BVERR=0.0050|BVCOLOR=1.0097|BVCOLORERR=0.0134|TAVER=2.47</t>
  </si>
  <si>
    <t>2016 Apr. 29.40448</t>
  </si>
  <si>
    <t>000-BJS-730 (13.348)</t>
  </si>
  <si>
    <t>000-BCY-345 (14.197)</t>
  </si>
  <si>
    <t>|VMAGINS=11.604|VERR=0.003|CREFMAG=11.124|CREFERR=0.006|KREFMAG=11.953|KREFERR=0.005|VX=0.0000|CX=0.0000|KX=0.0000|TV_BV=-0.0030|TV_BVERR=0.0050|TAVER=2.47</t>
  </si>
  <si>
    <t>2016 Apr. 29.01100</t>
  </si>
  <si>
    <t>2016 Apr. 28.45916</t>
  </si>
  <si>
    <t>000-BJS-730 (13.786)</t>
  </si>
  <si>
    <t>000-BCY-345 (14.766)</t>
  </si>
  <si>
    <t>|VMAGINS=11.412|VERR=0.003|CREFMAG=10.378|CREFERR=0.023|KREFMAG=0.000|KREFERR=0.000|VX=0.0000|CX=0.0000|KX=0.0000|TI_VI=-0.0180|TI_VIERR=0.0070|TAVER=2.47</t>
  </si>
  <si>
    <t>2016 Apr. 28.45858</t>
  </si>
  <si>
    <t>000-BJS-730 (13.783)</t>
  </si>
  <si>
    <t>000-BCY-345 (14.790)</t>
  </si>
  <si>
    <t>|VMAGINS=11.410|VERR=0.003|CREFMAG=10.378|CREFERR=0.023|KREFMAG=0.000|KREFERR=0.000|VX=0.0000|CX=0.0000|KX=0.0000|TI_VI=-0.0180|TI_VIERR=0.0070|TAVER=2.47</t>
  </si>
  <si>
    <t>2016 Apr. 28.45800</t>
  </si>
  <si>
    <t>000-BJS-730 (13.800)</t>
  </si>
  <si>
    <t>000-BCY-345 (14.789)</t>
  </si>
  <si>
    <t>|VMAGINS=11.409|VERR=0.003|CREFMAG=10.378|CREFERR=0.023|KREFMAG=0.000|KREFERR=0.000|VX=0.0000|CX=0.0000|KX=0.0000|TI_VI=-0.0180|TI_VIERR=0.0070|TAVER=2.47</t>
  </si>
  <si>
    <t>2016 Apr. 28.45696</t>
  </si>
  <si>
    <t>000-BJS-730 (13.445)</t>
  </si>
  <si>
    <t>000-BCY-345 (14.370)</t>
  </si>
  <si>
    <t>|VMAGINS=11.205|VERR=0.003|CREFMAG=10.708|CREFERR=0.017|KREFMAG=11.644|KREFERR=0.018|VX=0.0000|CX=0.0000|KX=0.0000|TR_VI=-0.0040|TR_VIERR=0.0060|TAVER=2.47</t>
  </si>
  <si>
    <t>2016 Apr. 28.45638</t>
  </si>
  <si>
    <t>000-BJS-730 (13.434)</t>
  </si>
  <si>
    <t>000-BCY-345 (14.378)</t>
  </si>
  <si>
    <t>|VMAGINS=11.203|VERR=0.003|CREFMAG=10.708|CREFERR=0.017|KREFMAG=11.644|KREFERR=0.018|VX=0.0000|CX=0.0000|KX=0.0000|TR_VI=-0.0040|TR_VIERR=0.0060|TAVER=2.47</t>
  </si>
  <si>
    <t>2016 Apr. 28.45580</t>
  </si>
  <si>
    <t>000-BJS-730 (13.439)</t>
  </si>
  <si>
    <t>000-BCY-345 (14.394)</t>
  </si>
  <si>
    <t>|VMAGINS=11.194|VERR=0.003|CREFMAG=10.708|CREFERR=0.017|KREFMAG=11.644|KREFERR=0.018|VX=0.0000|CX=0.0000|KX=0.0000|TR_VI=-0.0040|TR_VIERR=0.0060|TAVER=2.47</t>
  </si>
  <si>
    <t>2016 Apr. 28.45476</t>
  </si>
  <si>
    <t>000-BJS-730 (14.019)</t>
  </si>
  <si>
    <t>000-BCY-345 (14.728)</t>
  </si>
  <si>
    <t>|VMAGINS=12.441|VERR=0.004|CREFMAG=11.858|CREFERR=0.008|KREFMAG=12.459|KREFERR=0.011|VX=0.0000|CX=0.0000|KX=0.0000|TB_BV=0.3440|TB_BVERR=0.0070|TAVER=2.47</t>
  </si>
  <si>
    <t>2016 Apr. 28.45416</t>
  </si>
  <si>
    <t>000-BJS-730 (14.020)</t>
  </si>
  <si>
    <t>000-BCY-345 (14.742)</t>
  </si>
  <si>
    <t>|VMAGINS=12.446|VERR=0.004|CREFMAG=11.858|CREFERR=0.008|KREFMAG=12.459|KREFERR=0.011|VX=0.0000|CX=0.0000|KX=0.0000|TB_BV=0.3440|TB_BVERR=0.0070|TAVER=2.47</t>
  </si>
  <si>
    <t>2016 Apr. 28.45355</t>
  </si>
  <si>
    <t>000-BJS-730 (14.023)</t>
  </si>
  <si>
    <t>000-BCY-345 (14.724)</t>
  </si>
  <si>
    <t>|VMAGINS=12.443|VERR=0.004|CREFMAG=11.858|CREFERR=0.008|KREFMAG=12.459|KREFERR=0.011|VX=0.0000|CX=0.0000|KX=0.0000|TB_BV=0.3440|TB_BVERR=0.0070|TAVER=2.47</t>
  </si>
  <si>
    <t>2016 Apr. 28.45247</t>
  </si>
  <si>
    <t>000-BJS-730 (13.321)</t>
  </si>
  <si>
    <t>|VMAGINS=11.551|VERR=0.003|CREFMAG=11.124|CREFERR=0.006|KREFMAG=11.953|KREFERR=0.005|VX=0.0000|CX=0.0000|KX=0.0000|TV_BV=-0.0030|TV_BVERR=0.0050|TAVER=2.47</t>
  </si>
  <si>
    <t>2016 Apr. 28.45189</t>
  </si>
  <si>
    <t>000-BJS-730 (13.320)</t>
  </si>
  <si>
    <t>000-BCY-345 (14.173)</t>
  </si>
  <si>
    <t>|VMAGINS=11.561|VERR=0.003|CREFMAG=11.124|CREFERR=0.006|KREFMAG=11.953|KREFERR=0.005|VX=0.0000|CX=0.0000|KX=0.0000|TV_BV=-0.0030|TV_BVERR=0.0050|TAVER=2.47</t>
  </si>
  <si>
    <t>2016 Apr. 28.45131</t>
  </si>
  <si>
    <t>000-BJS-730 (13.326)</t>
  </si>
  <si>
    <t>000-BCY-345 (14.178)</t>
  </si>
  <si>
    <t>|VMAGINS=11.549|VERR=0.003|CREFMAG=11.124|CREFERR=0.006|KREFMAG=11.953|KREFERR=0.005|VX=0.0000|CX=0.0000|KX=0.0000|TV_BV=-0.0030|TV_BVERR=0.0050|TAVER=2.47</t>
  </si>
  <si>
    <t>2016 Apr. 28.45027</t>
  </si>
  <si>
    <t>000-BJS-730 (13.799)</t>
  </si>
  <si>
    <t>000-BCY-345 (14.799)</t>
  </si>
  <si>
    <t>2016 Apr. 28.44969</t>
  </si>
  <si>
    <t>000-BJS-730 (13.774)</t>
  </si>
  <si>
    <t>|VMAGINS=11.392|VERR=0.003|CREFMAG=10.378|CREFERR=0.023|KREFMAG=0.000|KREFERR=0.000|VX=0.0000|CX=0.0000|KX=0.0000|TI_VI=-0.0180|TI_VIERR=0.0070|TAVER=2.47</t>
  </si>
  <si>
    <t>2016 Apr. 28.44911</t>
  </si>
  <si>
    <t>000-BJS-730 (13.763)</t>
  </si>
  <si>
    <t>000-BCY-345 (14.758)</t>
  </si>
  <si>
    <t>|VMAGINS=11.388|VERR=0.003|CREFMAG=10.378|CREFERR=0.023|KREFMAG=0.000|KREFERR=0.000|VX=0.0000|CX=0.0000|KX=0.0000|TI_VI=-0.0180|TI_VIERR=0.0070|TAVER=2.47</t>
  </si>
  <si>
    <t>2016 Apr. 28.44808</t>
  </si>
  <si>
    <t>000-BJS-730 (13.427)</t>
  </si>
  <si>
    <t>000-BCY-345 (14.366)</t>
  </si>
  <si>
    <t>|VMAGINS=11.192|VERR=0.003|CREFMAG=10.708|CREFERR=0.017|KREFMAG=11.644|KREFERR=0.018|VX=0.0000|CX=0.0000|KX=0.0000|TR_VI=-0.0040|TR_VIERR=0.0060|TAVER=2.47</t>
  </si>
  <si>
    <t>2016 Apr. 28.44750</t>
  </si>
  <si>
    <t>000-BJS-730 (13.429)</t>
  </si>
  <si>
    <t>2016 Apr. 28.44692</t>
  </si>
  <si>
    <t>000-BJS-730 (13.418)</t>
  </si>
  <si>
    <t>000-BCY-345 (14.368)</t>
  </si>
  <si>
    <t>|VMAGINS=11.187|VERR=0.003|CREFMAG=10.708|CREFERR=0.017|KREFMAG=11.644|KREFERR=0.018|VX=0.0000|CX=0.0000|KX=0.0000|TR_VI=-0.0040|TR_VIERR=0.0060|TAVER=2.47</t>
  </si>
  <si>
    <t>2016 Apr. 28.44588</t>
  </si>
  <si>
    <t>000-BJS-730 (14.026)</t>
  </si>
  <si>
    <t>000-BCY-345 (14.713)</t>
  </si>
  <si>
    <t>|VMAGINS=12.447|VERR=0.004|CREFMAG=11.858|CREFERR=0.008|KREFMAG=12.459|KREFERR=0.011|VX=0.0000|CX=0.0000|KX=0.0000|TB_BV=0.3440|TB_BVERR=0.0070|TAVER=2.47</t>
  </si>
  <si>
    <t>2016 Apr. 28.44528</t>
  </si>
  <si>
    <t>000-BJS-730 (14.034)</t>
  </si>
  <si>
    <t>000-BCY-345 (14.723)</t>
  </si>
  <si>
    <t>|VMAGINS=12.445|VERR=0.004|CREFMAG=11.858|CREFERR=0.008|KREFMAG=12.459|KREFERR=0.011|VX=0.0000|CX=0.0000|KX=0.0000|TB_BV=0.3440|TB_BVERR=0.0070|TAVER=2.47</t>
  </si>
  <si>
    <t>https://www.aavso.org/apps/webobs/results/?star=ag+dra&amp;num_results=10000&amp;obs_types=ccd</t>
  </si>
  <si>
    <t>*</t>
  </si>
  <si>
    <t>https://www.aavso.org/apps/webobs/results/?star=yy+her&amp;num_results=25&amp;obs_types=ccd</t>
  </si>
  <si>
    <t>YY HER</t>
  </si>
  <si>
    <t>Days</t>
  </si>
  <si>
    <t>2016 Jul. 24.40054</t>
  </si>
  <si>
    <t>000-BCJ-202 (13.926)</t>
  </si>
  <si>
    <t>000-BCJ-186 (14.280)</t>
  </si>
  <si>
    <t>X16339BZD</t>
  </si>
  <si>
    <t>|VMAGINS=10.619|VERR=0.004|CREFMAG=11.054|CREFERR=0.023|KREFMAG=11.390|KREFERR=0.010|VX=0.0000|CX=0.0000|KX=0.0000|TI_VI=-0.0250|TI_VIERR=0.0230|TAVER=2.48</t>
  </si>
  <si>
    <t>2016 Jul. 24.40016</t>
  </si>
  <si>
    <t>000-BCJ-202 (13.872)</t>
  </si>
  <si>
    <t>000-BCJ-186 (14.216)</t>
  </si>
  <si>
    <t>|VMAGINS=10.567|VERR=0.003|CREFMAG=11.054|CREFERR=0.023|KREFMAG=11.390|KREFERR=0.010|VX=0.0000|CX=0.0000|KX=0.0000|TI_VI=-0.0250|TI_VIERR=0.0230|TAVER=2.48</t>
  </si>
  <si>
    <t>2016 Jul. 24.39979</t>
  </si>
  <si>
    <t>000-BCJ-202 (13.863)</t>
  </si>
  <si>
    <t>000-BCJ-186 (14.211)</t>
  </si>
  <si>
    <t>|VMAGINS=10.568|VERR=0.004|CREFMAG=11.054|CREFERR=0.023|KREFMAG=11.390|KREFERR=0.010|VX=0.0000|CX=0.0000|KX=0.0000|TI_VI=-0.0250|TI_VIERR=0.0230|TAVER=2.48</t>
  </si>
  <si>
    <t>2016 Jul. 24.39858</t>
  </si>
  <si>
    <t>000-BCJ-202 (12.967)</t>
  </si>
  <si>
    <t>000-BCJ-186 (13.060)</t>
  </si>
  <si>
    <t>|VMAGINS=12.727|VERR=0.004|CREFMAG=11.938|CREFERR=0.009|KREFMAG=11.996|KREFERR=0.007|VX=0.0000|CX=0.0000|KX=0.0000|TB_BV=0.3270|TB_BVERR=0.0410|TAVER=2.48</t>
  </si>
  <si>
    <t>2016 Jul. 29.86944</t>
  </si>
  <si>
    <t>000BCJ177 (12.535)</t>
  </si>
  <si>
    <t>X16077BE</t>
  </si>
  <si>
    <t>000BCJ177 (13.170)</t>
  </si>
  <si>
    <t>2016 Aug. 11.91300</t>
  </si>
  <si>
    <t>2016 Aug. 07.90200</t>
  </si>
  <si>
    <t>2016 Aug. 04.02200</t>
  </si>
  <si>
    <t>2016 Jul. 29.96600</t>
  </si>
  <si>
    <t>2016 Jul. 28.95100</t>
  </si>
  <si>
    <t>2016 Jul. 28.01700</t>
  </si>
  <si>
    <t>2016 Jul. 25.93800</t>
  </si>
  <si>
    <t>2016 Jul. 19.93000</t>
  </si>
  <si>
    <t>2016 Jul. 18.93200</t>
  </si>
  <si>
    <t>2016 Jul. 17.94000</t>
  </si>
  <si>
    <t>2016 Jul. 16.93800</t>
  </si>
  <si>
    <t>2016 Jul. 16.02600</t>
  </si>
  <si>
    <t>2016 Jul. 15.06500</t>
  </si>
  <si>
    <t>2016 Jul. 05.97400</t>
  </si>
  <si>
    <t>2016 Jul. 04.97300</t>
  </si>
  <si>
    <t>2016 Jul. 03.97400</t>
  </si>
  <si>
    <t>2016 Jul. 03.91399</t>
  </si>
  <si>
    <t>129 (12.863)</t>
  </si>
  <si>
    <t>2016 Jul. 03.91386</t>
  </si>
  <si>
    <t>129 (13.336)</t>
  </si>
  <si>
    <t>2016 Jul. 02.98400</t>
  </si>
  <si>
    <t>2016 Jun. 20.27507</t>
  </si>
  <si>
    <t>000-BJS-730 (11.069)</t>
  </si>
  <si>
    <t>2016 Jun. 20.27412</t>
  </si>
  <si>
    <t>000-BJS-730 (11.770)</t>
  </si>
  <si>
    <t>2016 Jun. 20.27311</t>
  </si>
  <si>
    <t>000-BJS-730 (11.793)</t>
  </si>
  <si>
    <t>2016 Jun. 20.27203</t>
  </si>
  <si>
    <t>000-BJS-730 (11.086)</t>
  </si>
  <si>
    <t>2016 Jun. 19.30683</t>
  </si>
  <si>
    <t>000-BJS-730 (11.062)</t>
  </si>
  <si>
    <t>2016 Jun. 19.30587</t>
  </si>
  <si>
    <t>000-BJS-730 (11.788)</t>
  </si>
  <si>
    <t>2016 Jun. 19.30485</t>
  </si>
  <si>
    <t>2016 Jun. 19.30383</t>
  </si>
  <si>
    <t>2016 Jun. 18.30590</t>
  </si>
  <si>
    <t>000-BJS-730 (11.088)</t>
  </si>
  <si>
    <t>2016 Jun. 18.30494</t>
  </si>
  <si>
    <t>000-BJS-730 (11.809)</t>
  </si>
  <si>
    <t>2016 Jun. 18.30392</t>
  </si>
  <si>
    <t>000-BJS-730 (11.777)</t>
  </si>
  <si>
    <t>2016 Jun. 18.30291</t>
  </si>
  <si>
    <t>2016 Jun. 17.28944</t>
  </si>
  <si>
    <t>000-BJS-730 (11.103)</t>
  </si>
  <si>
    <t>2016 Jun. 17.28850</t>
  </si>
  <si>
    <t>000-BJS-730 (11.786)</t>
  </si>
  <si>
    <t>2016 Jun. 17.28748</t>
  </si>
  <si>
    <t>000-BJS-730 (11.807)</t>
  </si>
  <si>
    <t>2016 Jun. 17.28647</t>
  </si>
  <si>
    <t>000-BJS-730 (11.072)</t>
  </si>
  <si>
    <t>2016 Jun. 16.28059</t>
  </si>
  <si>
    <t>000-BJS-730 (11.101)</t>
  </si>
  <si>
    <t>2016 Jun. 16.27963</t>
  </si>
  <si>
    <t>000-BJS-730 (11.794)</t>
  </si>
  <si>
    <t>2016 Jun. 16.27862</t>
  </si>
  <si>
    <t>2016 Jun. 16.27762</t>
  </si>
  <si>
    <t>000-BJS-730 (11.093)</t>
  </si>
  <si>
    <t>2016 Jun. 15.28081</t>
  </si>
  <si>
    <t>000-BJS-730 (11.068)</t>
  </si>
  <si>
    <t>2016 Jun. 15.27985</t>
  </si>
  <si>
    <t>000-BJS-730 (11.781)</t>
  </si>
  <si>
    <t>2016 Jun. 15.27884</t>
  </si>
  <si>
    <t>2016 Jun. 15.27784</t>
  </si>
  <si>
    <t>000-BJS-730 (11.075)</t>
  </si>
  <si>
    <t>2016 Jun. 14.31132</t>
  </si>
  <si>
    <t>2016 Jun. 14.31037</t>
  </si>
  <si>
    <t>2016 Jun. 14.30936</t>
  </si>
  <si>
    <t>000-BJS-730 (11.787)</t>
  </si>
  <si>
    <t>2016 Jun. 14.30834</t>
  </si>
  <si>
    <t>000-BJS-730 (11.095)</t>
  </si>
  <si>
    <t>2016 Jun. 12.32377</t>
  </si>
  <si>
    <t>2016 Jun. 12.32281</t>
  </si>
  <si>
    <t>000-BJS-730 (11.758)</t>
  </si>
  <si>
    <t>2016 Jun. 12.32179</t>
  </si>
  <si>
    <t>2016 Jun. 12.32078</t>
  </si>
  <si>
    <t>000-BJS-730 (11.094)</t>
  </si>
  <si>
    <t>2016 Jun. 06.34378</t>
  </si>
  <si>
    <t>000-BJS-730 (11.076)</t>
  </si>
  <si>
    <t>2016 Jun. 06.34284</t>
  </si>
  <si>
    <t>000-BJS-730 (11.761)</t>
  </si>
  <si>
    <t>2016 Jun. 06.34183</t>
  </si>
  <si>
    <t>000-BJS-730 (11.775)</t>
  </si>
  <si>
    <t>2016 Jun. 06.34082</t>
  </si>
  <si>
    <t>000-BJS-730 (11.083)</t>
  </si>
  <si>
    <t>2016 Jun. 04.27811</t>
  </si>
  <si>
    <t>2016 Jun. 04.27714</t>
  </si>
  <si>
    <t>000-BJS-730 (11.760)</t>
  </si>
  <si>
    <t>2016 Jun. 04.27612</t>
  </si>
  <si>
    <t>000-BJS-730 (11.785)</t>
  </si>
  <si>
    <t>2016 Jun. 04.27510</t>
  </si>
  <si>
    <t>000-BJS-730 (11.077)</t>
  </si>
  <si>
    <t>2016 Jun. 03.35171</t>
  </si>
  <si>
    <t>000-BJS-730 (11.090)</t>
  </si>
  <si>
    <t>2016 Jun. 03.35074</t>
  </si>
  <si>
    <t>000-BJS-730 (11.764)</t>
  </si>
  <si>
    <t>2016 Jun. 03.34973</t>
  </si>
  <si>
    <t>000-BJS-730 (11.773)</t>
  </si>
  <si>
    <t>2016 Jun. 03.34873</t>
  </si>
  <si>
    <t>000-BJS-730 (11.098)</t>
  </si>
  <si>
    <t>2016 Jun. 02.28211</t>
  </si>
  <si>
    <t>2016 Jun. 02.28115</t>
  </si>
  <si>
    <t>2016 Jun. 02.28013</t>
  </si>
  <si>
    <t>000-BJS-730 (11.763)</t>
  </si>
  <si>
    <t>2016 Jun. 02.27911</t>
  </si>
  <si>
    <t>2016 May. 31.25071</t>
  </si>
  <si>
    <t>2016 May. 31.24975</t>
  </si>
  <si>
    <t>2016 May. 31.24874</t>
  </si>
  <si>
    <t>2016 May. 31.24772</t>
  </si>
  <si>
    <t>000-BJS-730 (11.092)</t>
  </si>
  <si>
    <t>2016 May. 30.21786</t>
  </si>
  <si>
    <t>2016 May. 30.21690</t>
  </si>
  <si>
    <t>2016 May. 30.21588</t>
  </si>
  <si>
    <t>000-BJS-730 (11.796)</t>
  </si>
  <si>
    <t>2016 May. 30.21487</t>
  </si>
  <si>
    <t>2016 May. 29.23928</t>
  </si>
  <si>
    <t>000-BJS-730 (11.121)</t>
  </si>
  <si>
    <t>2016 May. 29.23832</t>
  </si>
  <si>
    <t>2016 May. 29.23730</t>
  </si>
  <si>
    <t>000-BJS-730 (11.778)</t>
  </si>
  <si>
    <t>2016 May. 29.23630</t>
  </si>
  <si>
    <t>2016 May. 27.23813</t>
  </si>
  <si>
    <t>000-BJS-730 (11.120)</t>
  </si>
  <si>
    <t>2016 May. 27.23716</t>
  </si>
  <si>
    <t>000-BJS-730 (11.783)</t>
  </si>
  <si>
    <t>2016 May. 27.23615</t>
  </si>
  <si>
    <t>2016 May. 27.23514</t>
  </si>
  <si>
    <t>2016 May. 25.23722</t>
  </si>
  <si>
    <t>000-BJS-730 (11.119)</t>
  </si>
  <si>
    <t>2016 May. 25.23626</t>
  </si>
  <si>
    <t>2016 May. 25.23525</t>
  </si>
  <si>
    <t>2016 May. 25.23424</t>
  </si>
  <si>
    <t>000-BJS-730 (11.089)</t>
  </si>
  <si>
    <t>2016 May. 21.22824</t>
  </si>
  <si>
    <t>000-BJS-730 (11.106)</t>
  </si>
  <si>
    <t>2016 May. 21.22728</t>
  </si>
  <si>
    <t>2016 May. 21.22626</t>
  </si>
  <si>
    <t>000-BJS-730 (11.819)</t>
  </si>
  <si>
    <t>2016 May. 21.22524</t>
  </si>
  <si>
    <t>000-BJS-730 (11.133)</t>
  </si>
  <si>
    <t>2016 May. 20.22825</t>
  </si>
  <si>
    <t>2016 May. 20.22729</t>
  </si>
  <si>
    <t>000-BJS-730 (11.829)</t>
  </si>
  <si>
    <t>2016 May. 20.22627</t>
  </si>
  <si>
    <t>000-BJS-730 (11.802)</t>
  </si>
  <si>
    <t>2016 May. 20.22527</t>
  </si>
  <si>
    <t>000-BJS-730 (11.123)</t>
  </si>
  <si>
    <t>2016 May. 09.10070</t>
  </si>
  <si>
    <t>1, 2, 3, 4, 5 ... 31 Next Last</t>
  </si>
  <si>
    <t>2016 Jul. 18.40700</t>
  </si>
  <si>
    <t>000-BLF-412 (10.728)</t>
  </si>
  <si>
    <t>2016 Jul. 18.40604</t>
  </si>
  <si>
    <t>000-BLF-412 (11.138)</t>
  </si>
  <si>
    <t>000-BLF-412 (10.739)</t>
  </si>
  <si>
    <t>000-BLF-412 (10.753)</t>
  </si>
  <si>
    <t>2016 Jul. 12.89774</t>
  </si>
  <si>
    <t>RZD</t>
  </si>
  <si>
    <t>X16317AEG</t>
  </si>
  <si>
    <t>2016 Jun. 23.16555</t>
  </si>
  <si>
    <t>000-BBZ-425 (13.022)</t>
  </si>
  <si>
    <t>2016 Aug. 14.02200</t>
  </si>
  <si>
    <t>2016 Aug. 12.88100</t>
  </si>
  <si>
    <t>2016 Jul. 29.85972</t>
  </si>
  <si>
    <t>2016 Jul. 24.03800</t>
  </si>
  <si>
    <t>2016 Jul. 19.05200</t>
  </si>
  <si>
    <t>2016 Aug. 22.90300</t>
  </si>
  <si>
    <t>16156BJE</t>
  </si>
  <si>
    <t>000-BBW-805 (11.235)</t>
  </si>
  <si>
    <t>2016 Aug. 14.00800</t>
  </si>
  <si>
    <t>2016 Aug. 12.87700</t>
  </si>
  <si>
    <t>2016 Aug. 07.89700</t>
  </si>
  <si>
    <t>2016 Aug. 04.00800</t>
  </si>
  <si>
    <t>2016 Jul. 28.93800</t>
  </si>
  <si>
    <t>2016 Jul. 28.00300</t>
  </si>
  <si>
    <t>2016 Jul. 25.93300</t>
  </si>
  <si>
    <t>2016 Jul. 19.91600</t>
  </si>
  <si>
    <t>2016 Jul. 18.91800</t>
  </si>
  <si>
    <t>2016 Jul. 17.92600</t>
  </si>
  <si>
    <t>2016 Jul. 16.92500</t>
  </si>
  <si>
    <t>2016 Jul. 16.01200</t>
  </si>
  <si>
    <t>2016 Jul. 15.05200</t>
  </si>
  <si>
    <t>2016 Jul. 05.96000</t>
  </si>
  <si>
    <t>2016 Jul. 04.95900</t>
  </si>
  <si>
    <t>2016 Jul. 03.96100</t>
  </si>
  <si>
    <t>2016 Jul. 02.97000</t>
  </si>
  <si>
    <t>2016 Aug. 20.90645</t>
  </si>
  <si>
    <t>000-BLC-472 (13.274)</t>
  </si>
  <si>
    <t>2016 Aug. 23.05500</t>
  </si>
  <si>
    <t>2016 Jun. 22.32047</t>
  </si>
  <si>
    <t>125 (12.520)</t>
  </si>
  <si>
    <t>2016 Aug. 14.05100</t>
  </si>
  <si>
    <t>2016 Aug. 12.88700</t>
  </si>
  <si>
    <t>2016 Aug. 11.92900</t>
  </si>
  <si>
    <t>2016 Aug. 08.93600</t>
  </si>
  <si>
    <t>2016 Aug. 07.92300</t>
  </si>
  <si>
    <t>2016 Aug. 04.05100</t>
  </si>
  <si>
    <t>2016 Jul. 28.98100</t>
  </si>
  <si>
    <t>2016 Jul. 28.04600</t>
  </si>
  <si>
    <t>2016 Jul. 25.95700</t>
  </si>
  <si>
    <t>2016 Jul. 19.95600</t>
  </si>
  <si>
    <t>2016 Jul. 18.95800</t>
  </si>
  <si>
    <t>2016 Jul. 17.97800</t>
  </si>
  <si>
    <t>2016 Jul. 16.96400</t>
  </si>
  <si>
    <t>2016 Jul. 16.05500</t>
  </si>
  <si>
    <t>2016 Jul. 05.99800</t>
  </si>
  <si>
    <t>Showing 674 observations for NQ Gem from 8 observers</t>
  </si>
  <si>
    <t>2016 Mar. 29.38328</t>
  </si>
  <si>
    <t>000-BJT-607 (10.828)</t>
  </si>
  <si>
    <t>2016 Mar. 29.38263</t>
  </si>
  <si>
    <t>000-BJT-607 (10.841)</t>
  </si>
  <si>
    <t>2016 Mar. 29.38168</t>
  </si>
  <si>
    <t>UCAC4 573-040689 (9.889)</t>
  </si>
  <si>
    <t>2016 Mar. 29.38057</t>
  </si>
  <si>
    <t>UCAC4 573-040689 (9.899)</t>
  </si>
  <si>
    <t>2016 Mar. 28.38529</t>
  </si>
  <si>
    <t>000-BJT-607 (10.778)</t>
  </si>
  <si>
    <t>000-BJT-607 (10.836)</t>
  </si>
  <si>
    <t>2016 Mar. 28.38464</t>
  </si>
  <si>
    <t>000-BJT-607 (10.771)</t>
  </si>
  <si>
    <t>000-BJT-607 (10.794)</t>
  </si>
  <si>
    <t>2016 Mar. 28.38369</t>
  </si>
  <si>
    <t>UCAC4 573-040689 (9.840)</t>
  </si>
  <si>
    <t>UCAC4 573-040689 (9.849)</t>
  </si>
  <si>
    <t>2016 Mar. 28.38238</t>
  </si>
  <si>
    <t>UCAC4 573-040689 (9.887)</t>
  </si>
  <si>
    <t>UCAC4 573-040689 (9.897)</t>
  </si>
  <si>
    <t>2016 Mar. 26.39152</t>
  </si>
  <si>
    <t>000-BJT-607 (10.832)</t>
  </si>
  <si>
    <t>2016 Mar. 26.39087</t>
  </si>
  <si>
    <t>2016 Mar. 26.38881</t>
  </si>
  <si>
    <t>UCAC4 573-040689 (9.902)</t>
  </si>
  <si>
    <t>2016 Mar. 09.05422</t>
  </si>
  <si>
    <t>000-BJT-607 (10.821)</t>
  </si>
  <si>
    <t>2016 Mar. 09.05351</t>
  </si>
  <si>
    <t>000-BJT-607 (10.941)</t>
  </si>
  <si>
    <t>2016 Mar. 09.05253</t>
  </si>
  <si>
    <t>UCAC4 573-040689 (9.812)</t>
  </si>
  <si>
    <t>2016 Mar. 09.05135</t>
  </si>
  <si>
    <t>UCAC4 573-040689 (9.815)</t>
  </si>
  <si>
    <t>116 (11.185)</t>
  </si>
  <si>
    <t>2016 Aug. 23.09300</t>
  </si>
  <si>
    <t>2016 Aug. 12.09600</t>
  </si>
  <si>
    <t>2016 Aug. 08.44420</t>
  </si>
  <si>
    <t>CV</t>
  </si>
  <si>
    <t>142 (14.198)</t>
  </si>
  <si>
    <t>X16370AZH</t>
  </si>
  <si>
    <t>iT21. NOT unfiltered BUT LUMINANCE filter with neutral colored comps.</t>
  </si>
  <si>
    <t>2016 Aug. 08.43770</t>
  </si>
  <si>
    <t>iT21. mediocre conditions.</t>
  </si>
  <si>
    <t>2016 Jun. 23.24477</t>
  </si>
  <si>
    <t>000-BJT-327 (12.661)</t>
  </si>
  <si>
    <t>2016 Jun. 22.25931</t>
  </si>
  <si>
    <t>000-BJT-327 (12.648)</t>
  </si>
  <si>
    <t>2016 Jun. 21.26613</t>
  </si>
  <si>
    <t>000-BJT-327 (12.641)</t>
  </si>
  <si>
    <t>1, 2, 3, 4, 5 ... 82 Next Last</t>
  </si>
  <si>
    <t>2016 Jul. 18.40368</t>
  </si>
  <si>
    <t>000-BJT-877 (13.395)</t>
  </si>
  <si>
    <t>Showing 378 observations for V0503 Her from 9 observers</t>
  </si>
  <si>
    <t>2016 Jun. 22.20556</t>
  </si>
  <si>
    <t>000-BJT-158 (13.980)</t>
  </si>
  <si>
    <t>2016 Jun. 21.09389</t>
  </si>
  <si>
    <t>2016 Aug. 16.99381</t>
  </si>
  <si>
    <t>2016 Aug. 12.03538</t>
  </si>
  <si>
    <t>134 (13.308)</t>
  </si>
  <si>
    <t>2016 Aug. 12.03481</t>
  </si>
  <si>
    <t>134 (13.966)</t>
  </si>
  <si>
    <t>2016 Jul. 24.94922</t>
  </si>
  <si>
    <t>134 (13.298)</t>
  </si>
  <si>
    <t>2016 Jul. 24.94865</t>
  </si>
  <si>
    <t>2016 Jul. 06.33163</t>
  </si>
  <si>
    <t>Showing 361 observations for V1016 Cyg from 12 observers</t>
  </si>
  <si>
    <t>2016 Jun. 22.34182</t>
  </si>
  <si>
    <t>123 (12.364)</t>
  </si>
  <si>
    <t>102 (10.206)</t>
  </si>
  <si>
    <t>USED COMPARSTARS = 37</t>
  </si>
  <si>
    <t>Showing 482 observations for V1329 Cyg from 24 observers</t>
  </si>
  <si>
    <t>2016 Aug. 14.95858</t>
  </si>
  <si>
    <t>136 (13.583)</t>
  </si>
  <si>
    <t>2016 Aug. 14.95801</t>
  </si>
  <si>
    <t>136 (14.091)</t>
  </si>
  <si>
    <t>2016 Aug. 12.02373</t>
  </si>
  <si>
    <t>136 (13.566)</t>
  </si>
  <si>
    <t>2016 Aug. 12.02316</t>
  </si>
  <si>
    <t>2016 Aug. 04.90686</t>
  </si>
  <si>
    <t>136 (13.594)</t>
  </si>
  <si>
    <t>MEAN OF 7 OBS</t>
  </si>
  <si>
    <t>2016 Aug. 04.90629</t>
  </si>
  <si>
    <t>136 (14.105)</t>
  </si>
  <si>
    <t>2016 Aug. 22.87500</t>
  </si>
  <si>
    <t>2016 Aug. 23.00200</t>
  </si>
  <si>
    <t>2016 Aug. 12.98200</t>
  </si>
  <si>
    <t>2016 Aug. 12.04021</t>
  </si>
  <si>
    <t>91 (-12.950)</t>
  </si>
  <si>
    <t>112 (-10.789)</t>
  </si>
  <si>
    <t>65 (6.547)</t>
  </si>
  <si>
    <t>6834FW</t>
  </si>
  <si>
    <t>65 (6.506)</t>
  </si>
  <si>
    <t>65 (6.422)</t>
  </si>
  <si>
    <t>2016 Sep. 09.88200</t>
  </si>
  <si>
    <t>2016 Sep. 08.88700</t>
  </si>
  <si>
    <t>2016 Sep. 07.91800</t>
  </si>
  <si>
    <t>2016 Sep. 02.89500</t>
  </si>
  <si>
    <t>2016 Aug. 28.93200</t>
  </si>
  <si>
    <t>2016 Aug. 24.90100</t>
  </si>
  <si>
    <t>2016 Aug. 23.92995</t>
  </si>
  <si>
    <t>129 (12.882)</t>
  </si>
  <si>
    <t>2016 Aug. 23.92985</t>
  </si>
  <si>
    <t>129 (13.332)</t>
  </si>
  <si>
    <t>2016 Aug. 23.87300</t>
  </si>
  <si>
    <t>2016 Aug. 22.99643</t>
  </si>
  <si>
    <t>129 (12.865)</t>
  </si>
  <si>
    <t>2016 Aug. 22.99630</t>
  </si>
  <si>
    <t>129 (13.331)</t>
  </si>
  <si>
    <t>2016 Sep. 07.85116</t>
  </si>
  <si>
    <t>000-BLC-472 (13.330)</t>
  </si>
  <si>
    <t>2016 Sep. 07.85040</t>
  </si>
  <si>
    <t>000-BLC-472 (13.885)</t>
  </si>
  <si>
    <t>2016 Sep. 07.84932</t>
  </si>
  <si>
    <t>000-BLC-472 (14.696)</t>
  </si>
  <si>
    <t>2016 Aug. 31.88550</t>
  </si>
  <si>
    <t>000-BLC-472 (13.352)</t>
  </si>
  <si>
    <t>2016 Aug. 31.88472</t>
  </si>
  <si>
    <t>000-BLC-472 (13.928)</t>
  </si>
  <si>
    <t>2016 Aug. 31.88365</t>
  </si>
  <si>
    <t>000-BLC-472 (14.676)</t>
  </si>
  <si>
    <t>2016 Aug. 26.87951</t>
  </si>
  <si>
    <t>000-BLC-472 (13.306)</t>
  </si>
  <si>
    <t>2016 Aug. 26.87873</t>
  </si>
  <si>
    <t>000-BLC-472 (13.893)</t>
  </si>
  <si>
    <t>2016 Aug. 26.87766</t>
  </si>
  <si>
    <t>000-BLC-472 (14.688)</t>
  </si>
  <si>
    <t>2016 Aug. 23.89978</t>
  </si>
  <si>
    <t>000-BLC-472 (13.312)</t>
  </si>
  <si>
    <t>2016 Aug. 23.89900</t>
  </si>
  <si>
    <t>000-BLC-472 (13.879)</t>
  </si>
  <si>
    <t>2016 Aug. 23.89792</t>
  </si>
  <si>
    <t>000-BLC-472 (14.654)</t>
  </si>
  <si>
    <t>1, 2, 3, 4, 5 ... 74 Next Last</t>
  </si>
  <si>
    <t>2016 Sep. 09.05100</t>
  </si>
  <si>
    <t>2016 Sep. 07.42512</t>
  </si>
  <si>
    <t>000-BBD-108 (12.219)</t>
  </si>
  <si>
    <t>2016 Sep. 03.06000</t>
  </si>
  <si>
    <t>2016 Aug. 27.01944</t>
  </si>
  <si>
    <t>000BBD086 (13.779)</t>
  </si>
  <si>
    <t>000BBD074 (11.156)</t>
  </si>
  <si>
    <t>X16480AS</t>
  </si>
  <si>
    <t>2016 Aug. 25.05900</t>
  </si>
  <si>
    <t>2016 Aug. 22.92441</t>
  </si>
  <si>
    <t>138 (13.795)</t>
  </si>
  <si>
    <t>2016 Aug. 22.92410</t>
  </si>
  <si>
    <t>138 (14.472)</t>
  </si>
  <si>
    <t>1, 2, 3, 4, 5 ... 42 Next Last</t>
  </si>
  <si>
    <t>2016 Sep. 09.88100</t>
  </si>
  <si>
    <t>2016 Sep. 09.01481</t>
  </si>
  <si>
    <t>000-BCG-615 (11.362)</t>
  </si>
  <si>
    <t>2016 Sep. 08.88500</t>
  </si>
  <si>
    <t>2016 Sep. 07.91600</t>
  </si>
  <si>
    <t>2016 Sep. 02.89400</t>
  </si>
  <si>
    <t>2016 Aug. 28.93000</t>
  </si>
  <si>
    <t>2016 Aug. 26.03250</t>
  </si>
  <si>
    <t>000-BCG-615 (11.338)</t>
  </si>
  <si>
    <t>2016 Aug. 25.21406</t>
  </si>
  <si>
    <t>113 (11.340)</t>
  </si>
  <si>
    <t>X16431GR</t>
  </si>
  <si>
    <t>2016 Aug. 24.89900</t>
  </si>
  <si>
    <t>2016 Aug. 24.00849</t>
  </si>
  <si>
    <t>JSJA</t>
  </si>
  <si>
    <t>000-BCG-649 11.1 (11.056)</t>
  </si>
  <si>
    <t>000-BCG-604 12.2 (12.290)</t>
  </si>
  <si>
    <t>BF CYG AAVSO X15343D</t>
  </si>
  <si>
    <t>2016 Aug. 24.00820</t>
  </si>
  <si>
    <t>000-BCG-604 12.2 (12.280)</t>
  </si>
  <si>
    <t>2016 Aug. 24.00791</t>
  </si>
  <si>
    <t>000-BCG-604 12.2 (12.274)</t>
  </si>
  <si>
    <t>1, 2, 3, 4, 5 ... 100 Next Last</t>
  </si>
  <si>
    <t>2016 Sep. 08.01278</t>
  </si>
  <si>
    <t>000-BCJ-202 (11.548)</t>
  </si>
  <si>
    <t>000-BCJ-186 (11.703)</t>
  </si>
  <si>
    <t>14583AHK</t>
  </si>
  <si>
    <t>2016 Aug. 29.24669</t>
  </si>
  <si>
    <t>EEY</t>
  </si>
  <si>
    <t>117 (11.722)</t>
  </si>
  <si>
    <t>125 (12.557)</t>
  </si>
  <si>
    <t>3280cjb</t>
  </si>
  <si>
    <t>30.5cm SCT, ST-7E, Schuler-V, 60 sec X 5</t>
  </si>
  <si>
    <t>2016 Aug. 28.07161</t>
  </si>
  <si>
    <t>000-BCJ-186 (11.704)</t>
  </si>
  <si>
    <t>2016 Aug. 27.81319</t>
  </si>
  <si>
    <t>2016 Sep. 07.42812</t>
  </si>
  <si>
    <t>000-BLF-412 (10.710)</t>
  </si>
  <si>
    <t>2016 Sep. 07.42725</t>
  </si>
  <si>
    <t>000-BLF-412 (11.136)</t>
  </si>
  <si>
    <t>2016 Aug. 26.42686</t>
  </si>
  <si>
    <t>000-BLF-412 (10.952)</t>
  </si>
  <si>
    <t>2016 Aug. 26.42580</t>
  </si>
  <si>
    <t>000-BLF-412 (11.337)</t>
  </si>
  <si>
    <t>2016 Sep. 08.13800</t>
  </si>
  <si>
    <t>2016 Sep. 07.39944</t>
  </si>
  <si>
    <t>000-BBM-380 (12.932)</t>
  </si>
  <si>
    <t>Showing 477 observations for HM Sge from 11 observers</t>
  </si>
  <si>
    <t>2016 Aug. 27.79236</t>
  </si>
  <si>
    <t>000BCH658 (12.487)</t>
  </si>
  <si>
    <t>000BCH673 (12.907)</t>
  </si>
  <si>
    <t>2016 Sep. 09.91100</t>
  </si>
  <si>
    <t>2016 Sep. 08.91600</t>
  </si>
  <si>
    <t>2016 Sep. 07.94800</t>
  </si>
  <si>
    <t>2016 Sep. 02.92500</t>
  </si>
  <si>
    <t>2016 Aug. 28.96100</t>
  </si>
  <si>
    <t>2016 Aug. 23.88400</t>
  </si>
  <si>
    <t>2016 Sep. 02.38009</t>
  </si>
  <si>
    <t>2016 Sep. 02.37709</t>
  </si>
  <si>
    <t>2016 Sep. 02.37389</t>
  </si>
  <si>
    <t>2016 Sep. 02.35876</t>
  </si>
  <si>
    <t>2016 Sep. 09.87100</t>
  </si>
  <si>
    <t>2016 Sep. 08.87500</t>
  </si>
  <si>
    <t>2016 Sep. 07.90500</t>
  </si>
  <si>
    <t>2016 Aug. 28.91800</t>
  </si>
  <si>
    <t>2016 Aug. 26.79028</t>
  </si>
  <si>
    <t>2016 Aug. 24.78750</t>
  </si>
  <si>
    <t>2016 Aug. 03.94306</t>
  </si>
  <si>
    <t>15187C</t>
  </si>
  <si>
    <t>AAVSO LPV</t>
  </si>
  <si>
    <t>113 (11.302)</t>
  </si>
  <si>
    <t>000-BBW-805 (11.249)</t>
  </si>
  <si>
    <t>2016 Sep. 09.08700</t>
  </si>
  <si>
    <t>2016 Sep. 08.12500</t>
  </si>
  <si>
    <t>2016 Sep. 03.09900</t>
  </si>
  <si>
    <t>2016 Sep. 01.50660</t>
  </si>
  <si>
    <t>iT24</t>
  </si>
  <si>
    <t>2016 Sep. 01.50510</t>
  </si>
  <si>
    <t>iT24.</t>
  </si>
  <si>
    <t>2016 Sep. 07.42294</t>
  </si>
  <si>
    <t>2016 Aug. 30.96741</t>
  </si>
  <si>
    <t>134 (13.283)</t>
  </si>
  <si>
    <t>2016 Aug. 30.96684</t>
  </si>
  <si>
    <t>134 (13.961)</t>
  </si>
  <si>
    <t>2016 Sep. 09.85000</t>
  </si>
  <si>
    <t>2016 Sep. 08.85400</t>
  </si>
  <si>
    <t>2016 Sep. 08.78329</t>
  </si>
  <si>
    <t>000-BCB-718 (12.359)</t>
  </si>
  <si>
    <t>5644APS</t>
  </si>
  <si>
    <t>2016 Sep. 08.78287</t>
  </si>
  <si>
    <t>000-BCB-718 (13.674)</t>
  </si>
  <si>
    <t>2016 Sep. 08.78245</t>
  </si>
  <si>
    <t>000-BCB-718 (12.615)</t>
  </si>
  <si>
    <t>2016 Sep. 08.78204</t>
  </si>
  <si>
    <t>000-BCB-718 (13.004)</t>
  </si>
  <si>
    <t>2016 Sep. 07.88200</t>
  </si>
  <si>
    <t>2016 Sep. 02.86500</t>
  </si>
  <si>
    <t>2016 Aug. 28.89600</t>
  </si>
  <si>
    <t>2016 Aug. 24.86600</t>
  </si>
  <si>
    <t>2016 Aug. 23.85900</t>
  </si>
  <si>
    <t>2016 Aug. 20.84662</t>
  </si>
  <si>
    <t>000-BCB-718 (12.227)</t>
  </si>
  <si>
    <t>2016 Aug. 20.84586</t>
  </si>
  <si>
    <t>000-BCB-718 (13.576)</t>
  </si>
  <si>
    <t>2016 Aug. 20.84509</t>
  </si>
  <si>
    <t>000-BCB-718 (12.535)</t>
  </si>
  <si>
    <t>2016 Aug. 20.84433</t>
  </si>
  <si>
    <t>000-BCB-718 (12.918)</t>
  </si>
  <si>
    <t>1, 2, 3, 4, 5 ... 72 Next Last</t>
  </si>
  <si>
    <t>2016 Sep. 08.42273</t>
  </si>
  <si>
    <t>000-BCR-679 (11.247)</t>
  </si>
  <si>
    <t>2016 Sep. 08.42079</t>
  </si>
  <si>
    <t>000-BCR-679 (11.710)</t>
  </si>
  <si>
    <t>2016 Sep. 08.06500</t>
  </si>
  <si>
    <t>2016 Aug. 25.00800</t>
  </si>
  <si>
    <t>2016 Sep. 12.01632</t>
  </si>
  <si>
    <t>000-BCJ-186 (11.697)</t>
  </si>
  <si>
    <t>2016 Sep. 07.84097</t>
  </si>
  <si>
    <t>1, 2, 3, 4, 5 ... 507 Next Last</t>
  </si>
  <si>
    <t>2016 Sep. 13.94294</t>
  </si>
  <si>
    <t>129 (12.875)</t>
  </si>
  <si>
    <t>2016 Sep. 13.94283</t>
  </si>
  <si>
    <t>129 (13.358)</t>
  </si>
  <si>
    <t>2016 Sep. 22.87846</t>
  </si>
  <si>
    <t>000-BLC-472 (13.358)</t>
  </si>
  <si>
    <t>2016 Sep. 22.87770</t>
  </si>
  <si>
    <t>000-BLC-472 (13.937)</t>
  </si>
  <si>
    <t>2016 Sep. 22.87663</t>
  </si>
  <si>
    <t>2016 Sep. 14.84650</t>
  </si>
  <si>
    <t>000-BLC-472 (13.431)</t>
  </si>
  <si>
    <t>2016 Sep. 14.84573</t>
  </si>
  <si>
    <t>000-BLC-472 (13.949)</t>
  </si>
  <si>
    <t>2016 Sep. 14.84466</t>
  </si>
  <si>
    <t>000-BLC-472 (14.656)</t>
  </si>
  <si>
    <t>2016 Sep. 17.42678</t>
  </si>
  <si>
    <t>000-BBD-108 (12.214)</t>
  </si>
  <si>
    <t>2016 Sep. 13.91393</t>
  </si>
  <si>
    <t>138 (13.788)</t>
  </si>
  <si>
    <t>2016 Sep. 13.91362</t>
  </si>
  <si>
    <t>138 (14.479)</t>
  </si>
  <si>
    <t>2016 Sep. 08.01806</t>
  </si>
  <si>
    <t>000BBD086 (14.456)</t>
  </si>
  <si>
    <t>000BBD074 (12.323)</t>
  </si>
  <si>
    <t>2016 Sep. 24.13212</t>
  </si>
  <si>
    <t>122 (12.294)</t>
  </si>
  <si>
    <t>X16652GM</t>
  </si>
  <si>
    <t>2016 Sep. 09.17309</t>
  </si>
  <si>
    <t>113 (11.386)</t>
  </si>
  <si>
    <t>X16512BU</t>
  </si>
  <si>
    <t>2016 Sep. 28.43788</t>
  </si>
  <si>
    <t>000-BLF-412 (10.734)</t>
  </si>
  <si>
    <t>2016 Sep. 28.43703</t>
  </si>
  <si>
    <t>000-BLF-412 (11.164)</t>
  </si>
  <si>
    <t>2016 Sep. 17.43435</t>
  </si>
  <si>
    <t>000-BLF-412 (10.769)</t>
  </si>
  <si>
    <t>2016 Sep. 17.43349</t>
  </si>
  <si>
    <t>000-BLF-412 (11.170)</t>
  </si>
  <si>
    <t>2016 Sep. 12.43429</t>
  </si>
  <si>
    <t>000-BLF-412 (10.740)</t>
  </si>
  <si>
    <t>2016 Sep. 12.43343</t>
  </si>
  <si>
    <t>000-BLF-412 (11.169)</t>
  </si>
  <si>
    <t>1, 2, 3, 4, 5 ... 25 Next Last</t>
  </si>
  <si>
    <t>2016 Sep. 24.41780</t>
  </si>
  <si>
    <t>000-BBM-380 (12.920)</t>
  </si>
  <si>
    <t>2016 Sep. 17.36099</t>
  </si>
  <si>
    <t>2016 Sep. 07.77292</t>
  </si>
  <si>
    <t>2016 Aug. 30.93300</t>
  </si>
  <si>
    <t>2016 Aug. 29.93600</t>
  </si>
  <si>
    <t>2016 Aug. 23.95300</t>
  </si>
  <si>
    <t>2016 Aug. 16.97200</t>
  </si>
  <si>
    <t>2016 Aug. 06.99900</t>
  </si>
  <si>
    <t>110 (10.389)</t>
  </si>
  <si>
    <t>X16003AE</t>
  </si>
  <si>
    <t>110 (10.675)</t>
  </si>
  <si>
    <t>110 (11.023)</t>
  </si>
  <si>
    <t>110 (11.530)</t>
  </si>
  <si>
    <t>000-BBW-805 (11.239)</t>
  </si>
  <si>
    <t>000-BBW-805 (11.242)</t>
  </si>
  <si>
    <t>000-BBW-805 (11.248)</t>
  </si>
  <si>
    <t>000-BBW-805 (11.237)</t>
  </si>
  <si>
    <t>2016 Sep. 19.82825</t>
  </si>
  <si>
    <t>X16592KO</t>
  </si>
  <si>
    <t>2016 Sep. 17.42459</t>
  </si>
  <si>
    <t>000-BJT-877 (13.424)</t>
  </si>
  <si>
    <t>X15952BA</t>
  </si>
  <si>
    <t>000-BBN-110 (9.654)</t>
  </si>
  <si>
    <t>X16046DM</t>
  </si>
  <si>
    <t>2016 Aug. 30.82700</t>
  </si>
  <si>
    <t>2016 Aug. 29.83100</t>
  </si>
  <si>
    <t>2016 Aug. 23.84700</t>
  </si>
  <si>
    <t>2016 Sep. 24.28227</t>
  </si>
  <si>
    <t>000-BCR-679 (11.202)</t>
  </si>
  <si>
    <t>2016 Sep. 24.28037</t>
  </si>
  <si>
    <t>000-BCR-679 (11.693)</t>
  </si>
  <si>
    <t>Showing 12,665 observations for CI Cyg from 60 observers</t>
  </si>
  <si>
    <t>2016 Nov. 20.96555</t>
  </si>
  <si>
    <t>000-BCJ-186 (11.701)</t>
  </si>
  <si>
    <t>2016 Nov. 19.96907</t>
  </si>
  <si>
    <t>2016 Nov. 15.96829</t>
  </si>
  <si>
    <t>000-BCJ-186 (11.699)</t>
  </si>
  <si>
    <t>2016 Nov. 06.04287</t>
  </si>
  <si>
    <t>000-BCJ-186 (11.717)</t>
  </si>
  <si>
    <t>2016 Nov. 03.06294</t>
  </si>
  <si>
    <t>000-BCJ-186 (11.712)</t>
  </si>
  <si>
    <t>2016 Oct. 23.98383</t>
  </si>
  <si>
    <t>2016 Oct. 19.97813</t>
  </si>
  <si>
    <t>000-BCJ-186 (11.710)</t>
  </si>
  <si>
    <t>2016 Oct. 19.11423</t>
  </si>
  <si>
    <t>000-BCJ-186 (11.742)</t>
  </si>
  <si>
    <t>2016 Oct. 09.98923</t>
  </si>
  <si>
    <t>000-BCJ-186 (11.702)</t>
  </si>
  <si>
    <t>2016 Sep. 27.76389</t>
  </si>
  <si>
    <t>Showing 26,240 observations for CH Cyg from 93 observers</t>
  </si>
  <si>
    <t>2016 Nov. 25.09886</t>
  </si>
  <si>
    <t>94 (9.167)</t>
  </si>
  <si>
    <t>2016 Nov. 25.09854</t>
  </si>
  <si>
    <t>94 (9.441)</t>
  </si>
  <si>
    <t>2016 Nov. 25.09819</t>
  </si>
  <si>
    <t>94 (9.619)</t>
  </si>
  <si>
    <t>2016 Nov. 23.10938</t>
  </si>
  <si>
    <t>94 (9.210)</t>
  </si>
  <si>
    <t>2016 Nov. 23.10905</t>
  </si>
  <si>
    <t>94 (9.373)</t>
  </si>
  <si>
    <t>2016 Nov. 23.10872</t>
  </si>
  <si>
    <t>94 (9.605)</t>
  </si>
  <si>
    <t>2016 Nov. 21.09347</t>
  </si>
  <si>
    <t>94 (9.301)</t>
  </si>
  <si>
    <t>2016 Nov. 21.09307</t>
  </si>
  <si>
    <t>94 (9.393)</t>
  </si>
  <si>
    <t>2016 Nov. 21.09263</t>
  </si>
  <si>
    <t>94 (9.549)</t>
  </si>
  <si>
    <t>2016 Nov. 20.09906</t>
  </si>
  <si>
    <t>94 (9.190)</t>
  </si>
  <si>
    <t>2016 Nov. 20.09873</t>
  </si>
  <si>
    <t>94 (9.374)</t>
  </si>
  <si>
    <t>2016 Nov. 20.09839</t>
  </si>
  <si>
    <t>94 (9.538)</t>
  </si>
  <si>
    <t>2016 Nov. 19.10816</t>
  </si>
  <si>
    <t>94 (9.291)</t>
  </si>
  <si>
    <t>2016 Nov. 19.10797</t>
  </si>
  <si>
    <t>94 (9.426)</t>
  </si>
  <si>
    <t>2016 Nov. 19.10778</t>
  </si>
  <si>
    <t>94 (9.570)</t>
  </si>
  <si>
    <t>2016 Nov. 18.10129</t>
  </si>
  <si>
    <t>94 (9.509)</t>
  </si>
  <si>
    <t>2016 Nov. 18.10083</t>
  </si>
  <si>
    <t>94 (9.685)</t>
  </si>
  <si>
    <t>2016 Nov. 15.11811</t>
  </si>
  <si>
    <t>94 (9.260)</t>
  </si>
  <si>
    <t>2016 Nov. 15.11778</t>
  </si>
  <si>
    <t>94 (9.336)</t>
  </si>
  <si>
    <t>2016 Nov. 15.11745</t>
  </si>
  <si>
    <t>94 (9.557)</t>
  </si>
  <si>
    <t>2016 Nov. 14.09929</t>
  </si>
  <si>
    <t>94 (9.414)</t>
  </si>
  <si>
    <t>2016 Nov. 14.09893</t>
  </si>
  <si>
    <t>94 (9.388)</t>
  </si>
  <si>
    <t>2016 Nov. 14.09855</t>
  </si>
  <si>
    <t>94 (9.581)</t>
  </si>
  <si>
    <t>2016 Nov. 14.08563</t>
  </si>
  <si>
    <t>SRIC</t>
  </si>
  <si>
    <t>000-BCG-647 (22.088)</t>
  </si>
  <si>
    <t>000-BCG-594 (18.254)</t>
  </si>
  <si>
    <t>X16943CS</t>
  </si>
  <si>
    <t>STANDARD MAG: C = 10.062 K = 6.547</t>
  </si>
  <si>
    <t>2016 Nov. 14.08339</t>
  </si>
  <si>
    <t>000-BCG-647 (21.518)</t>
  </si>
  <si>
    <t>000-BCG-594 (18.013)</t>
  </si>
  <si>
    <t>1, 2, 3, 4, 5 ... 1050 Next Last</t>
  </si>
  <si>
    <t>Showing 355 observations for QW Sge from 8 observers</t>
  </si>
  <si>
    <t>2016 Oct. 31.85500</t>
  </si>
  <si>
    <t>2016 Oct. 29.79300</t>
  </si>
  <si>
    <t>2016 Oct. 28.79500</t>
  </si>
  <si>
    <t>2016 Oct. 21.81800</t>
  </si>
  <si>
    <t>Showing 2,276 observations for AG Peg from 44 observers</t>
  </si>
  <si>
    <t>2016 Nov. 16.17939</t>
  </si>
  <si>
    <t>000-BJT-278 (19.930)</t>
  </si>
  <si>
    <t>X16940AM</t>
  </si>
  <si>
    <t>STANDARD MAG: K = 10.428 BSM_NM</t>
  </si>
  <si>
    <t>2016 Nov. 16.17865</t>
  </si>
  <si>
    <t>000-BJT-278 (20.238)</t>
  </si>
  <si>
    <t>STANDARD MAG: K = 11.059 BSM_NM</t>
  </si>
  <si>
    <t>2016 Nov. 14.06771</t>
  </si>
  <si>
    <t>000-BJT-278 (20.843)</t>
  </si>
  <si>
    <t>STANDARD MAG: K = 9.746 BSM_NM</t>
  </si>
  <si>
    <t>2016 Nov. 14.06667</t>
  </si>
  <si>
    <t>000-BJT-278 (19.914)</t>
  </si>
  <si>
    <t>2016 Nov. 14.06591</t>
  </si>
  <si>
    <t>000-BJT-278 (20.144)</t>
  </si>
  <si>
    <t>2016 Nov. 09.07469</t>
  </si>
  <si>
    <t>000-BJT-278 (19.869)</t>
  </si>
  <si>
    <t>000-BJT-279 (20.109)</t>
  </si>
  <si>
    <t>X16923AVC</t>
  </si>
  <si>
    <t>STANDARD MAG: C = 10.428 K = 10.672</t>
  </si>
  <si>
    <t>2016 Nov. 05.09035</t>
  </si>
  <si>
    <t>107 (10.677)</t>
  </si>
  <si>
    <t>2016 Nov. 05.08991</t>
  </si>
  <si>
    <t>107 (10.671)</t>
  </si>
  <si>
    <t>2016 Nov. 01.00345</t>
  </si>
  <si>
    <t>000-BCP-487 (-8.236)</t>
  </si>
  <si>
    <t>000-BCP-454 (-7.702)</t>
  </si>
  <si>
    <t>2016 Nov. 01.00279</t>
  </si>
  <si>
    <t>000-BCP-454 (-6.548)</t>
  </si>
  <si>
    <t>000-BCP-487 (-6.589)</t>
  </si>
  <si>
    <t>2016 Oct. 26.03807</t>
  </si>
  <si>
    <t>000-BCP-487 (-8.218)</t>
  </si>
  <si>
    <t>000-BCP-454 (-7.692)</t>
  </si>
  <si>
    <t>2016 Oct. 26.03743</t>
  </si>
  <si>
    <t>000-BCP-454 (-6.571)</t>
  </si>
  <si>
    <t>000-BCP-487 (-6.611)</t>
  </si>
  <si>
    <t>2016 Oct. 25.16963</t>
  </si>
  <si>
    <t>000-BCP-487 (-7.670)</t>
  </si>
  <si>
    <t>000-BCP-454 (-7.128)</t>
  </si>
  <si>
    <t>2016 Oct. 25.16897</t>
  </si>
  <si>
    <t>000-BCP-454 (-6.281)</t>
  </si>
  <si>
    <t>000-BCP-487 (-6.333)</t>
  </si>
  <si>
    <t>2016 Oct. 24.01141</t>
  </si>
  <si>
    <t>000-BCP-487 (-8.227)</t>
  </si>
  <si>
    <t>000-BCP-454 (-7.669)</t>
  </si>
  <si>
    <t>2016 Oct. 24.01078</t>
  </si>
  <si>
    <t>000-BCP-454 (-6.534)</t>
  </si>
  <si>
    <t>000-BCP-487 (-6.584)</t>
  </si>
  <si>
    <t>2016 Oct. 20.05134</t>
  </si>
  <si>
    <t>000-BCP-487 (-8.209)</t>
  </si>
  <si>
    <t>2016 Oct. 20.05073</t>
  </si>
  <si>
    <t>000-BCP-454 (-6.541)</t>
  </si>
  <si>
    <t>000-BCP-487 (-6.586)</t>
  </si>
  <si>
    <t>2016 Oct. 19.05881</t>
  </si>
  <si>
    <t>000-BCP-487 (-7.999)</t>
  </si>
  <si>
    <t>000-BCP-454 (-7.469)</t>
  </si>
  <si>
    <t>2016 Oct. 19.05712</t>
  </si>
  <si>
    <t>000-BCP-454 (-6.277)</t>
  </si>
  <si>
    <t>000-BCP-487 (-6.323)</t>
  </si>
  <si>
    <t>2016 Oct. 16.03394</t>
  </si>
  <si>
    <t>000-BCP-487 (-8.123)</t>
  </si>
  <si>
    <t>000-BCP-454 (-7.643)</t>
  </si>
  <si>
    <t>2016 Oct. 16.03328</t>
  </si>
  <si>
    <t>000-BCP-454 (-6.491)</t>
  </si>
  <si>
    <t>000-BCP-487 (-6.514)</t>
  </si>
  <si>
    <t>2016 Oct. 15.03604</t>
  </si>
  <si>
    <t>000-BCP-487 (-8.261)</t>
  </si>
  <si>
    <t>000-BCP-454 (-6.023)</t>
  </si>
  <si>
    <t>2016 Oct. 15.03534</t>
  </si>
  <si>
    <t>000-BCP-454 (-6.540)</t>
  </si>
  <si>
    <t>000-BCP-487 (-6.612)</t>
  </si>
  <si>
    <t>2016 Oct. 14.15322</t>
  </si>
  <si>
    <t>000-BCP-487 (-7.754)</t>
  </si>
  <si>
    <t>000-BCP-454 (-7.247)</t>
  </si>
  <si>
    <t>1, 2, 3, 4, 5 ... 92 Next Last</t>
  </si>
  <si>
    <t>Showing 1,845 observations for V5759 Sgr from 7 observers</t>
  </si>
  <si>
    <t>2016 Nov. 01.84921</t>
  </si>
  <si>
    <t>000-BLC-472 (13.449)</t>
  </si>
  <si>
    <t>2016 Nov. 01.84843</t>
  </si>
  <si>
    <t>000-BLC-472 (14.046)</t>
  </si>
  <si>
    <t>2016 Nov. 01.84736</t>
  </si>
  <si>
    <t>000-BLC-472 (14.747)</t>
  </si>
  <si>
    <t>2016 Oct. 03.85425</t>
  </si>
  <si>
    <t>000-BLC-472 (13.332)</t>
  </si>
  <si>
    <t>2016 Oct. 03.85347</t>
  </si>
  <si>
    <t>000-BLC-472 (13.887)</t>
  </si>
  <si>
    <t>2016 Oct. 03.85240</t>
  </si>
  <si>
    <t>000-BLC-472 (14.690)</t>
  </si>
  <si>
    <t>Showing 1,047 observations for AX Per from 31 observers</t>
  </si>
  <si>
    <t>2016 Nov. 21.81111</t>
  </si>
  <si>
    <t>2016 Nov. 08.17238</t>
  </si>
  <si>
    <t>122 (12.220)</t>
  </si>
  <si>
    <t>8849ES</t>
  </si>
  <si>
    <t>2016 Nov. 03.10516</t>
  </si>
  <si>
    <t>000-BBD-108 (12.226)</t>
  </si>
  <si>
    <t>2016 Nov. 02.22720</t>
  </si>
  <si>
    <t>2016 Nov. 01.07200</t>
  </si>
  <si>
    <t>2016 Oct. 31.89011</t>
  </si>
  <si>
    <t>138 (13.787)</t>
  </si>
  <si>
    <t>2016 Oct. 31.88980</t>
  </si>
  <si>
    <t>138 (14.470)</t>
  </si>
  <si>
    <t>2016 Oct. 30.02900</t>
  </si>
  <si>
    <t>2016 Oct. 29.01800</t>
  </si>
  <si>
    <t>2016 Oct. 20.19071</t>
  </si>
  <si>
    <t>000-BBD-108 (12.225)</t>
  </si>
  <si>
    <t>2016 Oct. 19.13820</t>
  </si>
  <si>
    <t>000-BBD-108 (12.208)</t>
  </si>
  <si>
    <t>2016 Oct. 09.40700</t>
  </si>
  <si>
    <t>000-BBD-108 (12.213)</t>
  </si>
  <si>
    <t>Showing 2,499 observations for BF Cyg from 41 observers</t>
  </si>
  <si>
    <t>2016 Nov. 22.97054</t>
  </si>
  <si>
    <t>000-BCG-615 (11.355)</t>
  </si>
  <si>
    <t>2016 Nov. 20.96931</t>
  </si>
  <si>
    <t>000-BCG-615 (11.352)</t>
  </si>
  <si>
    <t>2016 Nov. 15.97373</t>
  </si>
  <si>
    <t>000-BCG-615 (11.164)</t>
  </si>
  <si>
    <t>2016 Nov. 10.97089</t>
  </si>
  <si>
    <t>000-BCG-615 (11.312)</t>
  </si>
  <si>
    <t>2016 Oct. 31.86700</t>
  </si>
  <si>
    <t>2016 Oct. 29.80500</t>
  </si>
  <si>
    <t>2016 Oct. 28.80600</t>
  </si>
  <si>
    <t>2016 Oct. 21.83000</t>
  </si>
  <si>
    <t>2016 Oct. 20.97973</t>
  </si>
  <si>
    <t>000-BCG-615 (11.360)</t>
  </si>
  <si>
    <t>2016 Oct. 09.98595</t>
  </si>
  <si>
    <t>000-BCG-615 (11.361)</t>
  </si>
  <si>
    <t>2016 Oct. 06.11663</t>
  </si>
  <si>
    <t>113 (11.361)</t>
  </si>
  <si>
    <t>X16701AF</t>
  </si>
  <si>
    <t>Showing 6,157 observations for AG Dra from 54 observers</t>
  </si>
  <si>
    <t>2016 Oct. 31.86900</t>
  </si>
  <si>
    <t>2016 Oct. 29.80700</t>
  </si>
  <si>
    <t>2016 Oct. 28.80800</t>
  </si>
  <si>
    <t>2016 Oct. 21.83200</t>
  </si>
  <si>
    <t>Showing 978 observations for FN Sgr from 12 observers</t>
  </si>
  <si>
    <t>2016 Oct. 25.42293</t>
  </si>
  <si>
    <t>128 (12.870)</t>
  </si>
  <si>
    <t>2016 Oct. 25.41944</t>
  </si>
  <si>
    <t>128 (13.331)</t>
  </si>
  <si>
    <t>Showing 615 observations for EG And from 19 observers</t>
  </si>
  <si>
    <t>2016 Nov. 20.97412</t>
  </si>
  <si>
    <t>000-BLF-412 (11.196)</t>
  </si>
  <si>
    <t>2016 Nov. 10.96823</t>
  </si>
  <si>
    <t>2016 Nov. 10.96726</t>
  </si>
  <si>
    <t>000-BLF-412 (11.184)</t>
  </si>
  <si>
    <t>2016 Nov. 04.24218</t>
  </si>
  <si>
    <t>2016 Nov. 04.24129</t>
  </si>
  <si>
    <t>000-BLF-412 (11.172)</t>
  </si>
  <si>
    <t>2016 Nov. 02.24601</t>
  </si>
  <si>
    <t>000-BLF-412 (10.776)</t>
  </si>
  <si>
    <t>2016 Nov. 02.24514</t>
  </si>
  <si>
    <t>000-BLF-412 (11.201)</t>
  </si>
  <si>
    <t>2016 Oct. 21.29411</t>
  </si>
  <si>
    <t>000-BLF-412 (10.712)</t>
  </si>
  <si>
    <t>2016 Oct. 21.29322</t>
  </si>
  <si>
    <t>000-BLF-412 (11.146)</t>
  </si>
  <si>
    <t>2016 Oct. 19.15223</t>
  </si>
  <si>
    <t>2016 Oct. 19.15135</t>
  </si>
  <si>
    <t>2016 Oct. 11.14923</t>
  </si>
  <si>
    <t>000-BLF-412 (10.771)</t>
  </si>
  <si>
    <t>2016 Oct. 11.14837</t>
  </si>
  <si>
    <t>000-BLF-412 (11.179)</t>
  </si>
  <si>
    <t>Showing 1,190 observations for GH Gem from 15 observers</t>
  </si>
  <si>
    <t>2016 Nov. 16.44993</t>
  </si>
  <si>
    <t>000-BBM-380 (12.912)</t>
  </si>
  <si>
    <t>2016 Nov. 04.43678</t>
  </si>
  <si>
    <t>2016 Nov. 02.26849</t>
  </si>
  <si>
    <t>000-BBM-380 (12.917)</t>
  </si>
  <si>
    <t>2016 Oct. 30.07200</t>
  </si>
  <si>
    <t>2016 Oct. 29.06000</t>
  </si>
  <si>
    <t>2016 Oct. 24.44095</t>
  </si>
  <si>
    <t>2016 Oct. 18.36163</t>
  </si>
  <si>
    <t>000-BBM-380 (12.904)</t>
  </si>
  <si>
    <t>2016 Oct. 10.34314</t>
  </si>
  <si>
    <t>000-BBM-380 (12.967)</t>
  </si>
  <si>
    <t>2016 Oct. 09.43142</t>
  </si>
  <si>
    <t>Showing 569 observations for LT Del from 7 observers</t>
  </si>
  <si>
    <t>2016 Oct. 31.89800</t>
  </si>
  <si>
    <t>2016 Oct. 29.83600</t>
  </si>
  <si>
    <t>2016 Oct. 28.83700</t>
  </si>
  <si>
    <t>2016 Oct. 21.86100</t>
  </si>
  <si>
    <t>Showing 5,048 observations for omi Cet from 37 observers</t>
  </si>
  <si>
    <t>2016 Nov. 24.17411</t>
  </si>
  <si>
    <t>APAA</t>
  </si>
  <si>
    <t>000-BBD-708 (-9.850)</t>
  </si>
  <si>
    <t>000-BCY-368 (-6.478)</t>
  </si>
  <si>
    <t>X16982YV</t>
  </si>
  <si>
    <t>|VMAGINS=-10.337|VERR=0.002|CREFMAG=9.330|CREFERR=0.001|KREFMAG=12.746|KREFERR=0.016|VX=0.0000|CX=0.0000|KX=0.0000|TV_BV=-0.0520|TV_BVERR=0.0080|TAVER=2.47</t>
  </si>
  <si>
    <t>2016 Nov. 24.17108</t>
  </si>
  <si>
    <t>000-BBD-708 (-7.388)</t>
  </si>
  <si>
    <t>000-BCY-368 (-4.671)</t>
  </si>
  <si>
    <t>|VMAGINS=-7.933|VERR=0.005|CREFMAG=10.794|CREFERR=0.008|KREFMAG=13.417|KREFERR=0.038|VX=0.0000|CX=0.0000|KX=0.0000|TB_BV=0.1250|TB_BVERR=0.0130|TAVER=2.47</t>
  </si>
  <si>
    <t>2016 Oct. 23.36126</t>
  </si>
  <si>
    <t>2016 Oct. 23.35841</t>
  </si>
  <si>
    <t>2016 Oct. 23.35402</t>
  </si>
  <si>
    <t>2016 Oct. 23.21291</t>
  </si>
  <si>
    <t>2016 Oct. 10.31096</t>
  </si>
  <si>
    <t>2016 Oct. 10.31022</t>
  </si>
  <si>
    <t>2016 Oct. 10.30814</t>
  </si>
  <si>
    <t>2016 Oct. 10.30523</t>
  </si>
  <si>
    <t>2016 Oct. 02.32291</t>
  </si>
  <si>
    <t>2016 Oct. 02.31650</t>
  </si>
  <si>
    <t>2016 Oct. 02.30835</t>
  </si>
  <si>
    <t>2016 Sep. 30.31088</t>
  </si>
  <si>
    <t>2016 Sep. 24.08200</t>
  </si>
  <si>
    <t>2016 Sep. 11.34626</t>
  </si>
  <si>
    <t>2016 Sep. 11.34344</t>
  </si>
  <si>
    <t>2016 Sep. 11.33991</t>
  </si>
  <si>
    <t>2016 Sep. 11.33352</t>
  </si>
  <si>
    <t>2016 Sep. 09.12100</t>
  </si>
  <si>
    <t>2016 Sep. 07.12900</t>
  </si>
  <si>
    <t>1, 2, 3, 4, 5 ... 202 Next Last</t>
  </si>
  <si>
    <t>Showing 5,794 observations for RS Oph from 58 observers</t>
  </si>
  <si>
    <t>2016 Oct. 10.78713</t>
  </si>
  <si>
    <t>X16735ON</t>
  </si>
  <si>
    <t>Showing 662 observations for PU Vul from 17 observers</t>
  </si>
  <si>
    <t>2016 Nov. 21.69306</t>
  </si>
  <si>
    <t>2016 Oct. 30.74236</t>
  </si>
  <si>
    <t>2016 Sep. 27.74375</t>
  </si>
  <si>
    <t>2016 Sep. 23.86700</t>
  </si>
  <si>
    <t>2016 Sep. 08.90900</t>
  </si>
  <si>
    <t>2016 Sep. 06.91400</t>
  </si>
  <si>
    <t>Showing 524 observations for R Aqr from 21 observers</t>
  </si>
  <si>
    <t>2016 Nov. 22.94214</t>
  </si>
  <si>
    <t>000-BCR-914 (11.892)</t>
  </si>
  <si>
    <t>2016 Nov. 22.94169</t>
  </si>
  <si>
    <t>000-BCR-914 (12.367)</t>
  </si>
  <si>
    <t>2016 Nov. 22.22875</t>
  </si>
  <si>
    <t>KNAA</t>
  </si>
  <si>
    <t>110 (-10.271)</t>
  </si>
  <si>
    <t>122 (-8.951)</t>
  </si>
  <si>
    <t>X16962DH</t>
  </si>
  <si>
    <t>2016 Nov. 22.22789</t>
  </si>
  <si>
    <t>110 (-10.781)</t>
  </si>
  <si>
    <t>122 (-9.611)</t>
  </si>
  <si>
    <t>2016 Nov. 21.16185</t>
  </si>
  <si>
    <t>122 (12.202)</t>
  </si>
  <si>
    <t>2016 Nov. 21.16004</t>
  </si>
  <si>
    <t>122 (12.861)</t>
  </si>
  <si>
    <t>2016 Nov. 21.15871</t>
  </si>
  <si>
    <t>122 (11.382)</t>
  </si>
  <si>
    <t>2016 Nov. 21.15796</t>
  </si>
  <si>
    <t>122 (11.773)</t>
  </si>
  <si>
    <t>2016 Nov. 14.16560</t>
  </si>
  <si>
    <t>122 (12.182)</t>
  </si>
  <si>
    <t>2016 Nov. 14.16385</t>
  </si>
  <si>
    <t>122 (12.687)</t>
  </si>
  <si>
    <t>2016 Nov. 14.16261</t>
  </si>
  <si>
    <t>122 (11.470)</t>
  </si>
  <si>
    <t>2016 Nov. 14.16193</t>
  </si>
  <si>
    <t>122 (11.793)</t>
  </si>
  <si>
    <t>2016 Nov. 13.17591</t>
  </si>
  <si>
    <t>122 (12.244)</t>
  </si>
  <si>
    <t>2016 Nov. 13.17417</t>
  </si>
  <si>
    <t>122 (12.932)</t>
  </si>
  <si>
    <t>2016 Nov. 13.17292</t>
  </si>
  <si>
    <t>122 (11.364)</t>
  </si>
  <si>
    <t>2016 Nov. 13.17221</t>
  </si>
  <si>
    <t>122 (11.795)</t>
  </si>
  <si>
    <t>R_AQR</t>
  </si>
  <si>
    <t>2016 Nov. 12.54324</t>
  </si>
  <si>
    <t>SFRA</t>
  </si>
  <si>
    <t>80 (7.974)</t>
  </si>
  <si>
    <t>2016 Nov. 12.36630</t>
  </si>
  <si>
    <t>80 (7.976)</t>
  </si>
  <si>
    <t>2016 Nov. 09.17254</t>
  </si>
  <si>
    <t>122 (12.256)</t>
  </si>
  <si>
    <t>2016 Nov. 09.17081</t>
  </si>
  <si>
    <t>122 (12.915)</t>
  </si>
  <si>
    <t>2016 Nov. 09.16957</t>
  </si>
  <si>
    <t>122 (11.465)</t>
  </si>
  <si>
    <t>2016 Nov. 09.16890</t>
  </si>
  <si>
    <t>122 (11.814)</t>
  </si>
  <si>
    <t>2016 Nov. 06.17809</t>
  </si>
  <si>
    <t>122 (12.213)</t>
  </si>
  <si>
    <t>2016 Nov. 06.17631</t>
  </si>
  <si>
    <t>122 (12.875)</t>
  </si>
  <si>
    <t>2016 Nov. 06.17508</t>
  </si>
  <si>
    <t>122 (11.394)</t>
  </si>
  <si>
    <t>Showing 5,546 observations for T CrB from 75 observers</t>
  </si>
  <si>
    <t>2016 Nov. 08.02365</t>
  </si>
  <si>
    <t>000-BBW-805 (11.233)</t>
  </si>
  <si>
    <t>2016 Nov. 08.02286</t>
  </si>
  <si>
    <t>2016 Nov. 08.02207</t>
  </si>
  <si>
    <t>2016 Nov. 08.02128</t>
  </si>
  <si>
    <t>2016 Nov. 08.02050</t>
  </si>
  <si>
    <t>000-BBW-805 (11.245)</t>
  </si>
  <si>
    <t>2016 Nov. 08.01911</t>
  </si>
  <si>
    <t>2016 Nov. 08.01831</t>
  </si>
  <si>
    <t>000-BBW-805 (11.247)</t>
  </si>
  <si>
    <t>2016 Nov. 08.01751</t>
  </si>
  <si>
    <t>2016 Nov. 08.01672</t>
  </si>
  <si>
    <t>000-BBW-805 (11.236)</t>
  </si>
  <si>
    <t>2016 Nov. 08.01594</t>
  </si>
  <si>
    <t>000-BBW-805 (11.253)</t>
  </si>
  <si>
    <t>2016 Nov. 06.03969</t>
  </si>
  <si>
    <t>2016 Nov. 06.03854</t>
  </si>
  <si>
    <t>2016 Nov. 06.03740</t>
  </si>
  <si>
    <t>2016 Nov. 06.03623</t>
  </si>
  <si>
    <t>000-BBW-805 (11.259)</t>
  </si>
  <si>
    <t>2016 Nov. 06.03508</t>
  </si>
  <si>
    <t>2016 Nov. 02.83546</t>
  </si>
  <si>
    <t>2016 Nov. 02.83490</t>
  </si>
  <si>
    <t>000-BBW-805 (11.924)</t>
  </si>
  <si>
    <t>2016 Oct. 31.04036</t>
  </si>
  <si>
    <t>000-BBW-805 (11.255)</t>
  </si>
  <si>
    <t>2016 Oct. 31.03957</t>
  </si>
  <si>
    <t>2016 Oct. 31.03878</t>
  </si>
  <si>
    <t>000-BBW-805 (11.251)</t>
  </si>
  <si>
    <t>2016 Oct. 31.03800</t>
  </si>
  <si>
    <t>2016 Oct. 31.03720</t>
  </si>
  <si>
    <t>000-BBW-805 (11.230)</t>
  </si>
  <si>
    <t>2016 Oct. 27.04191</t>
  </si>
  <si>
    <t>000-BBW-805 (11.252)</t>
  </si>
  <si>
    <t>2016 Oct. 27.04112</t>
  </si>
  <si>
    <t>000-BBW-805 (11.262)</t>
  </si>
  <si>
    <t>2016 Oct. 27.04034</t>
  </si>
  <si>
    <t>000-BBW-805 (11.241)</t>
  </si>
  <si>
    <t>1, 2, 3, 4, 5 ... 222 Next Last</t>
  </si>
  <si>
    <t>Showing 43,183 observations for TX CVn from 19 observers</t>
  </si>
  <si>
    <t>2016 Nov. 25.51386</t>
  </si>
  <si>
    <t>00-BBT-170 (10.321)</t>
  </si>
  <si>
    <t>116 (10.863)</t>
  </si>
  <si>
    <t>2016 Nov. 25.51247</t>
  </si>
  <si>
    <t>00-BBT-170 (10.780)</t>
  </si>
  <si>
    <t>116 (11.189)</t>
  </si>
  <si>
    <t>2016 Nov. 25.51111</t>
  </si>
  <si>
    <t>00-BBT-170 (11.335)</t>
  </si>
  <si>
    <t>116 (11.601)</t>
  </si>
  <si>
    <t>2016 Nov. 25.50928</t>
  </si>
  <si>
    <t>00-BBT-170 (12.353)</t>
  </si>
  <si>
    <t>116 (12.376)</t>
  </si>
  <si>
    <t>2016 Nov. 25.48333</t>
  </si>
  <si>
    <t>116 (10.841)</t>
  </si>
  <si>
    <t>2016 Nov. 25.48194</t>
  </si>
  <si>
    <t>116 (11.172)</t>
  </si>
  <si>
    <t>2016 Nov. 25.48060</t>
  </si>
  <si>
    <t>116 (11.602)</t>
  </si>
  <si>
    <t>2016 Nov. 25.47877</t>
  </si>
  <si>
    <t>116 (12.355)</t>
  </si>
  <si>
    <t>2016 Nov. 24.50790</t>
  </si>
  <si>
    <t>116 (10.833)</t>
  </si>
  <si>
    <t>2016 Nov. 24.50652</t>
  </si>
  <si>
    <t>116 (11.167)</t>
  </si>
  <si>
    <t>2016 Nov. 24.50516</t>
  </si>
  <si>
    <t>116 (11.583)</t>
  </si>
  <si>
    <t>2016 Nov. 24.50332</t>
  </si>
  <si>
    <t>116 (12.317)</t>
  </si>
  <si>
    <t>2016 Nov. 23.51953</t>
  </si>
  <si>
    <t>116 (10.855)</t>
  </si>
  <si>
    <t>2016 Nov. 23.51817</t>
  </si>
  <si>
    <t>2016 Nov. 23.51681</t>
  </si>
  <si>
    <t>116 (11.608)</t>
  </si>
  <si>
    <t>2016 Nov. 23.51498</t>
  </si>
  <si>
    <t>116 (12.413)</t>
  </si>
  <si>
    <t>2016 Nov. 23.49714</t>
  </si>
  <si>
    <t>116 (10.865)</t>
  </si>
  <si>
    <t>2016 Nov. 23.49577</t>
  </si>
  <si>
    <t>116 (11.201)</t>
  </si>
  <si>
    <t>2016 Nov. 23.49440</t>
  </si>
  <si>
    <t>116 (11.629)</t>
  </si>
  <si>
    <t>2016 Nov. 23.49259</t>
  </si>
  <si>
    <t>116 (12.402)</t>
  </si>
  <si>
    <t>2016 Nov. 22.46282</t>
  </si>
  <si>
    <t>000-BBT-171 (11.602)</t>
  </si>
  <si>
    <t>14651AJV</t>
  </si>
  <si>
    <t>2016 Nov. 21.46702</t>
  </si>
  <si>
    <t>000-BBT-171 (11.601)</t>
  </si>
  <si>
    <t>2016 Nov. 20.52045</t>
  </si>
  <si>
    <t>116 (10.836)</t>
  </si>
  <si>
    <t>2016 Nov. 20.51909</t>
  </si>
  <si>
    <t>116 (11.181)</t>
  </si>
  <si>
    <t>2016 Nov. 20.51771</t>
  </si>
  <si>
    <t>000-BBT-170 (11.353)</t>
  </si>
  <si>
    <t>116 (11.623)</t>
  </si>
  <si>
    <t>1, 2, 3, 4, 5 ... 1728 Next Last</t>
  </si>
  <si>
    <t>Showing 569 observations for UV Aur from 13 observers</t>
  </si>
  <si>
    <t>2016 Nov. 01.20600</t>
  </si>
  <si>
    <t>2016 Oct. 30.06200</t>
  </si>
  <si>
    <t>2016 Oct. 29.04800</t>
  </si>
  <si>
    <t>Showing 2,030 observations for V0407 Cyg from 27 observers</t>
  </si>
  <si>
    <t>2016 Oct. 19.18700</t>
  </si>
  <si>
    <t>000-BJT-327 (12.643)</t>
  </si>
  <si>
    <t>2016 Oct. 11.20387</t>
  </si>
  <si>
    <t>000-BJT-327 (12.649)</t>
  </si>
  <si>
    <t>Showing 278 observations for V0471 Per from 4 observers</t>
  </si>
  <si>
    <t>2016 Oct. 31.25926</t>
  </si>
  <si>
    <t>000-BJT-877 (13.435)</t>
  </si>
  <si>
    <t>2016 Oct. 18.43387</t>
  </si>
  <si>
    <t>000-BJT-877 (13.446)</t>
  </si>
  <si>
    <t>2016 Oct. 09.40480</t>
  </si>
  <si>
    <t>1, 2, 3, 4, 5 ... 12 Next Last</t>
  </si>
  <si>
    <t>Showing 118 observations for V0627 Cas from 6 observers</t>
  </si>
  <si>
    <t>2016 Nov. 05.88409</t>
  </si>
  <si>
    <t>134 (13.311)</t>
  </si>
  <si>
    <t>2016 Nov. 05.88352</t>
  </si>
  <si>
    <t>Showing 45,582 observations for V0694 Mon from 41 observers</t>
  </si>
  <si>
    <t>2016 Nov. 26.34623</t>
  </si>
  <si>
    <t>113 (11.268)</t>
  </si>
  <si>
    <t>2016 Nov. 26.34558</t>
  </si>
  <si>
    <t>113 (11.305)</t>
  </si>
  <si>
    <t>2016 Nov. 20.56281</t>
  </si>
  <si>
    <t>113 (11.093)</t>
  </si>
  <si>
    <t>2016 Nov. 19.40315</t>
  </si>
  <si>
    <t>000-BBN-069 (11.313)</t>
  </si>
  <si>
    <t>2016 Nov. 15.49182</t>
  </si>
  <si>
    <t>113 (11.299)</t>
  </si>
  <si>
    <t>2016 Nov. 14.37865</t>
  </si>
  <si>
    <t>113 (11.303)</t>
  </si>
  <si>
    <t>2016 Nov. 14.37799</t>
  </si>
  <si>
    <t>113 (11.292)</t>
  </si>
  <si>
    <t>2016 Nov. 08.39928</t>
  </si>
  <si>
    <t>113 (11.293)</t>
  </si>
  <si>
    <t>2016 Nov. 08.39863</t>
  </si>
  <si>
    <t>113 (11.311)</t>
  </si>
  <si>
    <t>2016 Nov. 04.48185</t>
  </si>
  <si>
    <t>113 (11.297)</t>
  </si>
  <si>
    <t>2016 Nov. 04.48120</t>
  </si>
  <si>
    <t>2016 Oct. 31.43011</t>
  </si>
  <si>
    <t>000-BBN-069 (11.307)</t>
  </si>
  <si>
    <t>2016 Oct. 25.53550</t>
  </si>
  <si>
    <t>2016 Oct. 25.53416</t>
  </si>
  <si>
    <t>113 (11.368)</t>
  </si>
  <si>
    <t>2016 Oct. 22.43585</t>
  </si>
  <si>
    <t>000-BBN-069 (11.375)</t>
  </si>
  <si>
    <t>2016 Oct. 19.55487</t>
  </si>
  <si>
    <t>2016 Oct. 19.55413</t>
  </si>
  <si>
    <t>113 (11.294)</t>
  </si>
  <si>
    <t>2016 Oct. 15.53771</t>
  </si>
  <si>
    <t>2016 Oct. 15.53696</t>
  </si>
  <si>
    <t>2016 Oct. 14.46333</t>
  </si>
  <si>
    <t>113 (11.075)</t>
  </si>
  <si>
    <t>2016 Oct. 14.46259</t>
  </si>
  <si>
    <t>113 (11.192)</t>
  </si>
  <si>
    <t>2016 Oct. 13.46690</t>
  </si>
  <si>
    <t>113 (11.307)</t>
  </si>
  <si>
    <t>2016 Oct. 13.46615</t>
  </si>
  <si>
    <t>113 (11.301)</t>
  </si>
  <si>
    <t>2016 Oct. 12.51281</t>
  </si>
  <si>
    <t>113 (11.312)</t>
  </si>
  <si>
    <t>2016 Oct. 12.51207</t>
  </si>
  <si>
    <t>1, 2, 3, 4, 5 ... 1824 Next Last</t>
  </si>
  <si>
    <t>Showing 162 observations for V0919 Sgr from 4 observers</t>
  </si>
  <si>
    <t>2016 Oct. 22.00480</t>
  </si>
  <si>
    <t>2016 Oct. 18.99962</t>
  </si>
  <si>
    <t>000-BJT-078 (13.668)</t>
  </si>
  <si>
    <t>Showing 168 observations for V1261 Ori from 5 observers</t>
  </si>
  <si>
    <t>2016 Nov. 05.27424</t>
  </si>
  <si>
    <t>2016 Nov. 05.27313</t>
  </si>
  <si>
    <t>000-BJV-118 (-5.396)</t>
  </si>
  <si>
    <t>000BJV-122 (-4.249)</t>
  </si>
  <si>
    <t>2016 Oct. 25.31189</t>
  </si>
  <si>
    <t>000-BJV-118 (9.515)</t>
  </si>
  <si>
    <t>2016 Oct. 25.31078</t>
  </si>
  <si>
    <t>000-BJV-118 (-5.485)</t>
  </si>
  <si>
    <t>000BJV-122 (-4.315)</t>
  </si>
  <si>
    <t>2016 Oct. 20.31638</t>
  </si>
  <si>
    <t>000-BJV-118 (9.514)</t>
  </si>
  <si>
    <t>2016 Oct. 20.31523</t>
  </si>
  <si>
    <t>000-BJV-118 (-5.301)</t>
  </si>
  <si>
    <t>000BJV-122 (-3.875)</t>
  </si>
  <si>
    <t>2016 Oct. 16.32480</t>
  </si>
  <si>
    <t>000-BJV-118 (9.433)</t>
  </si>
  <si>
    <t>2016 Oct. 15.32096</t>
  </si>
  <si>
    <t>000-BJV-118 (9.489)</t>
  </si>
  <si>
    <t>2016 Oct. 15.32015</t>
  </si>
  <si>
    <t>000-BJV-118 (-4.529)</t>
  </si>
  <si>
    <t>000BJV-122 (-3.488)</t>
  </si>
  <si>
    <t>2016 Oct. 14.32549</t>
  </si>
  <si>
    <t>2016 Oct. 14.32465</t>
  </si>
  <si>
    <t>000-BJV-118 (-5.496)</t>
  </si>
  <si>
    <t>000BJV-122 (-4.378)</t>
  </si>
  <si>
    <t>2016 Oct. 11.34109</t>
  </si>
  <si>
    <t>000-BJV-118 (9.553)</t>
  </si>
  <si>
    <t>2016 Oct. 11.33954</t>
  </si>
  <si>
    <t>000-BJV-118 (-5.330)</t>
  </si>
  <si>
    <t>000BJV-122 (-4.267)</t>
  </si>
  <si>
    <t>Showing 1,788 observations for YY Her from 27 observers</t>
  </si>
  <si>
    <t>2016 Oct. 29.77000</t>
  </si>
  <si>
    <t>2016 Oct. 28.77100</t>
  </si>
  <si>
    <t>2016 Oct. 21.79600</t>
  </si>
  <si>
    <t>2016 Sep. 23.77900</t>
  </si>
  <si>
    <t>2016 Sep. 08.81300</t>
  </si>
  <si>
    <t>2016 Sep. 06.81000</t>
  </si>
  <si>
    <t>Showing 4,781 observations for Z And from 67 observers</t>
  </si>
  <si>
    <t>2016 Nov. 04.23916</t>
  </si>
  <si>
    <t>000-BCR-679 (11.218)</t>
  </si>
  <si>
    <t>2016 Nov. 04.23721</t>
  </si>
  <si>
    <t>000-BCR-679 (11.696)</t>
  </si>
  <si>
    <t>2016 Nov. 03.11033</t>
  </si>
  <si>
    <t>000-BCR-679 (11.226)</t>
  </si>
  <si>
    <t>2016 Nov. 03.10839</t>
  </si>
  <si>
    <t>000-BCR-679 (11.707)</t>
  </si>
  <si>
    <t>2016 Nov. 02.24301</t>
  </si>
  <si>
    <t>2016 Nov. 02.24107</t>
  </si>
  <si>
    <t>000-BCR-679 (11.680)</t>
  </si>
  <si>
    <t>2016 Nov. 01.01200</t>
  </si>
  <si>
    <t>2016 Oct. 29.97000</t>
  </si>
  <si>
    <t>2016 Oct. 28.96100</t>
  </si>
  <si>
    <t>2016 Oct. 21.98400</t>
  </si>
  <si>
    <t>2016 Oct. 21.30494</t>
  </si>
  <si>
    <t>000-BCR-679 (11.230)</t>
  </si>
  <si>
    <t>2016 Oct. 21.30300</t>
  </si>
  <si>
    <t>000-BCR-679 (11.698)</t>
  </si>
  <si>
    <t>2016 Oct. 19.14925</t>
  </si>
  <si>
    <t>000-BCR-679 (11.168)</t>
  </si>
  <si>
    <t>2016 Oct. 19.14733</t>
  </si>
  <si>
    <t>000-BCR-679 (11.671)</t>
  </si>
  <si>
    <t>2016 Oct. 11.13837</t>
  </si>
  <si>
    <t>000-BCR-679 (11.206)</t>
  </si>
  <si>
    <t>2016 Oct. 11.13643</t>
  </si>
  <si>
    <t>000-BCR-679 (11.677)</t>
  </si>
  <si>
    <t>1, 2, 3, 4, 5 ... 192 Next Last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</si>
</sst>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name val="Calibri"/>
      <family val="2"/>
    </font>
    <font>
      <b/>
      <sz val="10"/>
      <color rgb="FFA6A6A6"/>
      <name val="Calibri"/>
      <family val="2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00B050"/>
      <name val="Calibri"/>
      <family val="2"/>
    </font>
    <font>
      <b/>
      <sz val="10"/>
      <color rgb="FF00206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BFBFB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1"/>
    <xf numFmtId="1" fontId="0" fillId="0" borderId="0" xfId="0" applyNumberFormat="1"/>
    <xf numFmtId="0" fontId="0" fillId="0" borderId="0" xfId="0" quotePrefix="1"/>
    <xf numFmtId="0" fontId="5" fillId="6" borderId="0" xfId="0" applyFont="1" applyFill="1"/>
    <xf numFmtId="0" fontId="6" fillId="6" borderId="0" xfId="0" applyFont="1" applyFill="1" applyBorder="1"/>
    <xf numFmtId="0" fontId="6" fillId="6" borderId="0" xfId="0" applyFont="1" applyFill="1"/>
    <xf numFmtId="0" fontId="6" fillId="6" borderId="0" xfId="0" applyFont="1" applyFill="1" applyAlignment="1">
      <alignment horizontal="right"/>
    </xf>
    <xf numFmtId="0" fontId="3" fillId="0" borderId="0" xfId="0" applyFont="1" applyAlignment="1">
      <alignment horizontal="center"/>
    </xf>
    <xf numFmtId="0" fontId="3" fillId="0" borderId="0" xfId="0" applyFont="1" applyBorder="1"/>
    <xf numFmtId="0" fontId="3" fillId="0" borderId="0" xfId="0" applyFont="1"/>
    <xf numFmtId="0" fontId="7" fillId="0" borderId="0" xfId="0" applyFont="1"/>
    <xf numFmtId="0" fontId="3" fillId="0" borderId="0" xfId="0" applyFont="1" applyAlignment="1">
      <alignment horizontal="right"/>
    </xf>
    <xf numFmtId="0" fontId="8" fillId="2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right"/>
    </xf>
    <xf numFmtId="0" fontId="7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8" fillId="0" borderId="0" xfId="0" applyFont="1"/>
    <xf numFmtId="0" fontId="9" fillId="0" borderId="0" xfId="0" applyFont="1" applyBorder="1"/>
    <xf numFmtId="0" fontId="10" fillId="5" borderId="0" xfId="0" applyFont="1" applyFill="1" applyBorder="1" applyAlignment="1">
      <alignment horizontal="center"/>
    </xf>
    <xf numFmtId="0" fontId="4" fillId="4" borderId="0" xfId="0" applyFont="1" applyFill="1"/>
    <xf numFmtId="0" fontId="10" fillId="5" borderId="0" xfId="0" applyFont="1" applyFill="1" applyBorder="1" applyAlignment="1">
      <alignment horizontal="right"/>
    </xf>
    <xf numFmtId="1" fontId="3" fillId="0" borderId="0" xfId="0" applyNumberFormat="1" applyFont="1"/>
    <xf numFmtId="0" fontId="8" fillId="4" borderId="0" xfId="0" applyFont="1" applyFill="1" applyBorder="1" applyAlignment="1">
      <alignment horizontal="right"/>
    </xf>
    <xf numFmtId="0" fontId="11" fillId="5" borderId="0" xfId="0" applyFont="1" applyFill="1" applyBorder="1"/>
    <xf numFmtId="2" fontId="7" fillId="0" borderId="0" xfId="0" applyNumberFormat="1" applyFont="1"/>
    <xf numFmtId="0" fontId="8" fillId="4" borderId="0" xfId="0" applyFont="1" applyFill="1" applyAlignment="1">
      <alignment horizontal="right"/>
    </xf>
    <xf numFmtId="0" fontId="2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Border="1"/>
    <xf numFmtId="0" fontId="12" fillId="0" borderId="0" xfId="0" applyFont="1"/>
    <xf numFmtId="0" fontId="13" fillId="0" borderId="0" xfId="0" applyFont="1"/>
    <xf numFmtId="0" fontId="1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4" borderId="0" xfId="0" applyFont="1" applyFill="1"/>
    <xf numFmtId="0" fontId="3" fillId="4" borderId="0" xfId="0" applyFont="1" applyFill="1" applyBorder="1"/>
    <xf numFmtId="0" fontId="14" fillId="5" borderId="0" xfId="0" applyFont="1" applyFill="1" applyBorder="1" applyAlignment="1">
      <alignment horizontal="center"/>
    </xf>
    <xf numFmtId="1" fontId="10" fillId="5" borderId="0" xfId="0" applyNumberFormat="1" applyFont="1" applyFill="1" applyBorder="1" applyAlignment="1">
      <alignment horizontal="center"/>
    </xf>
    <xf numFmtId="0" fontId="10" fillId="5" borderId="0" xfId="0" applyFont="1" applyFill="1" applyBorder="1" applyAlignment="1">
      <alignment horizontal="left"/>
    </xf>
    <xf numFmtId="0" fontId="15" fillId="5" borderId="0" xfId="0" applyFont="1" applyFill="1" applyBorder="1" applyAlignment="1">
      <alignment horizontal="center"/>
    </xf>
    <xf numFmtId="14" fontId="6" fillId="6" borderId="0" xfId="0" applyNumberFormat="1" applyFont="1" applyFill="1" applyAlignment="1">
      <alignment horizontal="center"/>
    </xf>
    <xf numFmtId="0" fontId="6" fillId="6" borderId="0" xfId="0" applyFont="1" applyFill="1" applyAlignment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0</xdr:rowOff>
        </xdr:from>
        <xdr:to>
          <xdr:col>14</xdr:col>
          <xdr:colOff>9525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3</xdr:row>
          <xdr:rowOff>114300</xdr:rowOff>
        </xdr:from>
        <xdr:to>
          <xdr:col>14</xdr:col>
          <xdr:colOff>0</xdr:colOff>
          <xdr:row>5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ancois\AppData\Roaming\Microsoft\AddIns\MacrosPerso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</sheetNames>
    <definedNames>
      <definedName name="DateToJD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?star=ag+dra&amp;num_results=10000&amp;obs_types=ccd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?star=ag+peg&amp;num_results=25&amp;obs_types=ccd" connectionId="4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?star=as+270&amp;num_results=25&amp;obs_types=ccd" connectionId="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?star=as+289&amp;num_results=25&amp;obs_types=ccd" connectionId="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?star=ax+per&amp;num_results=25&amp;obs_types=ccd_1" connectionId="2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?star=bd+cam&amp;num_results=25&amp;obs_types=ccd" connectionId="2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?star=bf+cyg&amp;num_results=25&amp;obs_types=ccd" connectionId="4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?star=bx+mon&amp;num_results=25&amp;obs_types=ccd" connectionId="3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?star=ci+cyg&amp;num_results=25&amp;obs_types=ccd" refreshOnLoad="1" connectionId="1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?star=ch+cyg&amp;num_results=25&amp;obs_types=ccd" refreshOnLoad="1" connectionId="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?star=cq+dra&amp;num_results=25&amp;obs_types=ccd" connectionId="3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?star=eg+and&amp;num_results=25&amp;obs_types=ccd" connectionId="2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?star=er+del&amp;num_results=25&amp;obs_types=ccd" connectionId="1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?star=fn+sgr&amp;num_results=25&amp;obs_types=ccd" connectionId="1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?star=fg+ser&amp;num_results=25&amp;obs_types=ccd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?star=gh+gem&amp;num_results=25&amp;obs_types=ccd" connectionId="4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?star=hm+sge&amp;num_results=25&amp;obs_types=ccd" connectionId="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?star=iv+vir&amp;num_results=25&amp;obs_types=ccd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?star=lt+del&amp;num_results=25&amp;obs_types=ccd" connectionId="1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?star=nq+gem&amp;num_results=25&amp;obs_types=ccd" connectionId="4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?star=omi+cet&amp;num_results=25&amp;obs_types=ccd" connectionId="3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?star=qw+sge&amp;num_results=25&amp;obs_types=ccd" refreshOnLoad="1" connectionId="1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?star=rs+oph&amp;num_results=25&amp;obs_types=ccd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?star=pu+vul&amp;num_results=25&amp;obs_types=ccd" connectionId="4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?star=r+aqr&amp;num_results=25&amp;obs_types=ccd" connectionId="2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?star=stha+55&amp;num_results=25&amp;obs_types=ccd" connectionId="3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?star=stha+149&amp;num_results=25&amp;obs_types=ccd" connectionId="4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?star=stha+169&amp;num_results=25&amp;obs_types=ccd" connectionId="4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?star=stha+190&amp;num_results=25&amp;obs_types=ccd" connectionId="2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?star=su+lyn&amp;num_results=25&amp;obs_types=ccd" connectionId="4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?star=t+crb&amp;num_results=25&amp;obs_types=ccd" connectionId="4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?star=tx+cvn&amp;num_results=25&amp;obs_types=ccd" connectionId="3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?star=uv+aur&amp;num_results=25&amp;obs_types=ccd" connectionId="3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?star=v335+vul&amp;num_results=25&amp;obs_types=ccd" refreshOnLoad="1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?star=v407+cyg&amp;num_results=25&amp;obs_types=ccd" connectionId="2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?star=v443+her&amp;num_results=25&amp;obs_types=ccd" connectionId="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?star=v471+per&amp;num_results=25&amp;obs_types=ccd" connectionId="2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?star=v503+her&amp;num_results=25&amp;obs_types=ccd" connectionId="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?star=v627+cas&amp;num_results=25&amp;obs_types=ccd" connectionId="2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?star=v694+mon&amp;num_results=25&amp;obs_types=ccd" connectionId="4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?star=v919+sgr&amp;num_results=25&amp;obs_types=ccd" connectionId="1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?star=v934+her&amp;num_results=25&amp;obs_types=ccd" connectionId="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?star=v1016+cyg&amp;num_results=25&amp;obs_types=ccd" connectionId="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?star=v1261+ori&amp;num_results=25&amp;obs_types=ccd" connectionId="3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?star=v1329+cyg&amp;num_results=25&amp;obs_types=ccd" connectionId="1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?star=v1413+aql&amp;num_results=25&amp;obs_types=ccd" refreshOnLoad="1" connectionId="3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?star=yy+her&amp;num_results=25&amp;obs_types=ccd" connectionId="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?star=z+and&amp;num_results=25&amp;obs_types=ccd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?star=zz+cmi&amp;num_results=25&amp;obs_types=ccd" connectionId="3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hyperlink" Target="https://www.aavso.org/apps/webobs/results/?star=ag+dra&amp;num_results=10000&amp;obs_types=ccd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hyperlink" Target="https://www.aavso.org/apps/webobs/results/?star=as+270&amp;num_results=25&amp;obs_types=ccd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hyperlink" Target="https://www.aavso.org/apps/webobs/results/?star=as+289&amp;num_results=25&amp;obs_types=ccd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hyperlink" Target="https://www.aavso.org/apps/webobs/results/?star=ax+per&amp;num_results=25&amp;obs_types=ccd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hyperlink" Target="https://www.aavso.org/apps/webobs/results/?star=bd+cam&amp;num_results=25&amp;obs_types=ccd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hyperlink" Target="https://www.aavso.org/apps/webobs/results/?star=bf+cyg&amp;num_results=25&amp;obs_types=ccd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hyperlink" Target="https://www.aavso.org/apps/webobs/results/?star=bx+mon&amp;num_results=25&amp;obs_types=ccd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hyperlink" Target="https://www.aavso.org/apps/webobs/results/?star=ag+peg&amp;num_results=25&amp;obs_types=ccd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1.xml"/><Relationship Id="rId1" Type="http://schemas.openxmlformats.org/officeDocument/2006/relationships/hyperlink" Target="https://www.aavso.org/apps/webobs/results/?star=cq+dra&amp;num_results=25&amp;obs_types=ccd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2.xml"/><Relationship Id="rId1" Type="http://schemas.openxmlformats.org/officeDocument/2006/relationships/hyperlink" Target="https://www.aavso.org/apps/webobs/results/?star=eg+and&amp;num_results=25&amp;obs_types=ccd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hyperlink" Target="https://www.aavso.org/apps/webobs/results/?star=er+del&amp;num_results=25&amp;obs_types=ccd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hyperlink" Target="https://www.aavso.org/apps/webobs/results/?star=fn+sgr&amp;num_results=25&amp;obs_types=ccd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hyperlink" Target="https://www.aavso.org/apps/webobs/results/?star=fg+ser&amp;num_results=25&amp;obs_types=ccd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hyperlink" Target="https://www.aavso.org/apps/webobs/results/?star=gh+gem&amp;num_results=25&amp;obs_types=ccd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hyperlink" Target="https://www.aavso.org/apps/webobs/results/?star=hm+sge&amp;num_results=25&amp;obs_types=ccd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hyperlink" Target="https://www.aavso.org/apps/webobs/results/?star=iv+vir&amp;num_results=25&amp;obs_types=ccd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hyperlink" Target="https://www.aavso.org/apps/webobs/results/?star=lt+del&amp;num_results=25&amp;obs_types=ccd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hyperlink" Target="https://www.aavso.org/apps/webobs/results/?star=nq+gem&amp;num_results=25&amp;obs_types=ccd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hyperlink" Target="https://www.aavso.org/apps/webobs/results/?star=omi+cet&amp;num_results=25&amp;obs_types=ccd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3.xml"/><Relationship Id="rId1" Type="http://schemas.openxmlformats.org/officeDocument/2006/relationships/hyperlink" Target="https://www.aavso.org/apps/webobs/results/?star=rs+oph&amp;num_results=25&amp;obs_types=ccd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5.xml"/><Relationship Id="rId1" Type="http://schemas.openxmlformats.org/officeDocument/2006/relationships/hyperlink" Target="https://www.aavso.org/apps/webobs/results/?star=r+aqr&amp;num_results=25&amp;obs_types=ccd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6.xml"/><Relationship Id="rId1" Type="http://schemas.openxmlformats.org/officeDocument/2006/relationships/hyperlink" Target="https://www.aavso.org/apps/webobs/results/?star=stha+55&amp;num_results=25&amp;obs_types=ccd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7.xml"/><Relationship Id="rId1" Type="http://schemas.openxmlformats.org/officeDocument/2006/relationships/hyperlink" Target="https://www.aavso.org/apps/webobs/results/?star=stha+149&amp;num_results=25&amp;obs_types=ccd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8.xml"/><Relationship Id="rId1" Type="http://schemas.openxmlformats.org/officeDocument/2006/relationships/hyperlink" Target="https://www.aavso.org/apps/webobs/results/?star=stha+169&amp;num_results=25&amp;obs_types=ccd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9.xml"/><Relationship Id="rId1" Type="http://schemas.openxmlformats.org/officeDocument/2006/relationships/hyperlink" Target="https://www.aavso.org/apps/webobs/results/?star=stha+190&amp;num_results=25&amp;obs_types=ccd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0.xml"/><Relationship Id="rId1" Type="http://schemas.openxmlformats.org/officeDocument/2006/relationships/hyperlink" Target="https://www.aavso.org/apps/webobs/results/?star=su+lyn&amp;num_results=25&amp;obs_types=ccd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1.xml"/><Relationship Id="rId1" Type="http://schemas.openxmlformats.org/officeDocument/2006/relationships/hyperlink" Target="https://www.aavso.org/apps/webobs/results/?star=t+crb&amp;num_results=25&amp;obs_types=ccd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2.xml"/><Relationship Id="rId1" Type="http://schemas.openxmlformats.org/officeDocument/2006/relationships/hyperlink" Target="https://www.aavso.org/apps/webobs/results/?star=tx+cvn&amp;num_results=25&amp;obs_types=ccd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3.xml"/><Relationship Id="rId1" Type="http://schemas.openxmlformats.org/officeDocument/2006/relationships/hyperlink" Target="https://www.aavso.org/apps/webobs/results/?star=uv+aur&amp;num_results=25&amp;obs_types=ccd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5.xml"/><Relationship Id="rId1" Type="http://schemas.openxmlformats.org/officeDocument/2006/relationships/hyperlink" Target="https://www.aavso.org/apps/webobs/results/?star=v407+cyg&amp;num_results=25&amp;obs_types=ccd" TargetMode="Externa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6.xml"/><Relationship Id="rId1" Type="http://schemas.openxmlformats.org/officeDocument/2006/relationships/hyperlink" Target="https://www.aavso.org/apps/webobs/results/?star=v443+her&amp;num_results=25&amp;obs_types=ccd" TargetMode="Externa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7.xml"/><Relationship Id="rId1" Type="http://schemas.openxmlformats.org/officeDocument/2006/relationships/hyperlink" Target="https://www.aavso.org/apps/webobs/results/?star=v471+per&amp;num_results=25&amp;obs_types=ccd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8.xml"/><Relationship Id="rId1" Type="http://schemas.openxmlformats.org/officeDocument/2006/relationships/hyperlink" Target="https://www.aavso.org/apps/webobs/results/?star=v503+her&amp;num_results=25&amp;obs_types=ccd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hyperlink" Target="https://www.aavso.org/apps/webobs/results/?star=v627+cas&amp;num_results=25&amp;obs_types=ccd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0.xml"/><Relationship Id="rId1" Type="http://schemas.openxmlformats.org/officeDocument/2006/relationships/hyperlink" Target="https://www.aavso.org/apps/webobs/results/?star=v6694+mon&amp;num_results=25&amp;obs_types=ccd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1.xml"/><Relationship Id="rId1" Type="http://schemas.openxmlformats.org/officeDocument/2006/relationships/hyperlink" Target="https://www.aavso.org/apps/webobs/results/?star=v919+sgr&amp;num_results=25&amp;obs_types=ccd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2.xml"/><Relationship Id="rId1" Type="http://schemas.openxmlformats.org/officeDocument/2006/relationships/hyperlink" Target="https://www.aavso.org/apps/webobs/results/?star=v934+her&amp;num_results=25&amp;obs_types=ccd" TargetMode="Externa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hyperlink" Target="https://www.aavso.org/apps/webobs/results/?star=v1016+cyg&amp;num_results=25&amp;obs_types=ccd" TargetMode="Externa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4.xml"/><Relationship Id="rId1" Type="http://schemas.openxmlformats.org/officeDocument/2006/relationships/hyperlink" Target="https://www.aavso.org/apps/webobs/results/?star=v1261+ori&amp;num_results=25&amp;obs_types=ccd" TargetMode="Externa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5.xml"/><Relationship Id="rId1" Type="http://schemas.openxmlformats.org/officeDocument/2006/relationships/hyperlink" Target="https://www.aavso.org/apps/webobs/results/?star=v1329+cyg&amp;num_results=25&amp;obs_types=ccd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7.xml"/><Relationship Id="rId1" Type="http://schemas.openxmlformats.org/officeDocument/2006/relationships/hyperlink" Target="https://www.aavso.org/apps/webobs/results/?star=yy+her&amp;num_results=25&amp;obs_types=ccd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8.xml"/><Relationship Id="rId1" Type="http://schemas.openxmlformats.org/officeDocument/2006/relationships/hyperlink" Target="https://www.aavso.org/apps/webobs/results/?star=z+and&amp;num_results=25&amp;obs_types=ccd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9.xml"/><Relationship Id="rId1" Type="http://schemas.openxmlformats.org/officeDocument/2006/relationships/hyperlink" Target="https://www.aavso.org/apps/webobs/results/?star=zz+cmi&amp;num_results=25&amp;obs_types=cc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58"/>
  <sheetViews>
    <sheetView showGridLines="0" tabSelected="1" workbookViewId="0">
      <selection activeCell="N14" sqref="N14"/>
    </sheetView>
  </sheetViews>
  <sheetFormatPr baseColWidth="10" defaultRowHeight="15" x14ac:dyDescent="0.25"/>
  <cols>
    <col min="2" max="2" width="4.5703125" style="10" customWidth="1"/>
    <col min="3" max="3" width="8.85546875" style="9" customWidth="1"/>
    <col min="4" max="5" width="9.85546875" style="10" customWidth="1"/>
    <col min="6" max="6" width="1.28515625" style="10" customWidth="1"/>
    <col min="7" max="7" width="5.28515625" style="11" customWidth="1"/>
    <col min="8" max="8" width="13.5703125" style="10" customWidth="1"/>
    <col min="9" max="9" width="18" style="12" customWidth="1"/>
    <col min="10" max="10" width="6.28515625" style="8" customWidth="1"/>
    <col min="11" max="11" width="8.28515625" style="10" customWidth="1"/>
    <col min="12" max="12" width="7.7109375" customWidth="1"/>
  </cols>
  <sheetData>
    <row r="1" spans="1:11" x14ac:dyDescent="0.25">
      <c r="A1" t="s">
        <v>1709</v>
      </c>
    </row>
    <row r="2" spans="1:11" x14ac:dyDescent="0.25">
      <c r="B2" s="4" t="s">
        <v>1479</v>
      </c>
      <c r="C2" s="5"/>
      <c r="D2" s="6"/>
      <c r="E2" s="6"/>
      <c r="F2" s="6"/>
      <c r="G2" s="4"/>
      <c r="H2" s="6"/>
      <c r="I2" s="7" t="s">
        <v>1480</v>
      </c>
      <c r="J2" s="41">
        <f ca="1">+TODAY()</f>
        <v>42701</v>
      </c>
      <c r="K2" s="42"/>
    </row>
    <row r="3" spans="1:11" s="28" customFormat="1" ht="4.5" customHeight="1" x14ac:dyDescent="0.25">
      <c r="B3" s="29">
        <f>+COUNTA(B6:B54)</f>
        <v>49</v>
      </c>
      <c r="C3" s="30"/>
      <c r="D3" s="31"/>
      <c r="E3" s="31"/>
      <c r="F3" s="31"/>
      <c r="G3" s="32"/>
      <c r="H3" s="31"/>
      <c r="I3" s="33"/>
      <c r="J3" s="29"/>
      <c r="K3" s="31"/>
    </row>
    <row r="4" spans="1:11" x14ac:dyDescent="0.25">
      <c r="B4" s="13" t="s">
        <v>97</v>
      </c>
      <c r="C4" s="13" t="s">
        <v>98</v>
      </c>
      <c r="D4" s="14" t="s">
        <v>99</v>
      </c>
      <c r="E4" s="14" t="s">
        <v>100</v>
      </c>
      <c r="G4" s="15" t="s">
        <v>18</v>
      </c>
      <c r="H4" s="16" t="s">
        <v>10</v>
      </c>
      <c r="I4" s="16" t="s">
        <v>245</v>
      </c>
      <c r="J4" s="16" t="s">
        <v>256</v>
      </c>
      <c r="K4" s="17" t="s">
        <v>1211</v>
      </c>
    </row>
    <row r="5" spans="1:11" ht="6.75" customHeight="1" x14ac:dyDescent="0.25">
      <c r="B5" s="18"/>
      <c r="C5" s="19"/>
      <c r="D5" s="18"/>
      <c r="E5" s="18"/>
    </row>
    <row r="6" spans="1:11" ht="14.25" customHeight="1" x14ac:dyDescent="0.25">
      <c r="B6" s="20">
        <v>1</v>
      </c>
      <c r="C6" s="21" t="s">
        <v>101</v>
      </c>
      <c r="D6" s="22" t="s">
        <v>102</v>
      </c>
      <c r="E6" s="22" t="s">
        <v>103</v>
      </c>
      <c r="G6" s="11">
        <v>7.87</v>
      </c>
      <c r="H6" s="10">
        <v>2457703.4682300002</v>
      </c>
      <c r="I6" s="34" t="s">
        <v>2502</v>
      </c>
      <c r="J6" s="8" t="s">
        <v>252</v>
      </c>
      <c r="K6" s="23">
        <f ca="1">[1]!DateToJD(TODAY())-(H6)</f>
        <v>16.031769999768585</v>
      </c>
    </row>
    <row r="7" spans="1:11" ht="14.25" customHeight="1" x14ac:dyDescent="0.25">
      <c r="B7" s="20">
        <v>2</v>
      </c>
      <c r="C7" s="21" t="s">
        <v>104</v>
      </c>
      <c r="D7" s="22" t="s">
        <v>105</v>
      </c>
      <c r="E7" s="22" t="s">
        <v>106</v>
      </c>
      <c r="G7" s="11">
        <v>12.03</v>
      </c>
      <c r="H7" s="10">
        <v>2457714.3111100001</v>
      </c>
      <c r="I7" s="34" t="s">
        <v>2449</v>
      </c>
      <c r="J7" s="8" t="s">
        <v>254</v>
      </c>
      <c r="K7" s="23">
        <f ca="1">[1]!DateToJD(TODAY())-(H7)</f>
        <v>5.1888899998739362</v>
      </c>
    </row>
    <row r="8" spans="1:11" ht="14.25" customHeight="1" x14ac:dyDescent="0.25">
      <c r="B8" s="20">
        <v>3</v>
      </c>
      <c r="C8" s="21" t="s">
        <v>107</v>
      </c>
      <c r="D8" s="22" t="s">
        <v>108</v>
      </c>
      <c r="E8" s="22" t="s">
        <v>109</v>
      </c>
      <c r="G8" s="11">
        <v>12.98</v>
      </c>
      <c r="H8" s="10">
        <v>2457692.7592600002</v>
      </c>
      <c r="I8" s="34" t="s">
        <v>2746</v>
      </c>
      <c r="J8" s="8" t="s">
        <v>252</v>
      </c>
      <c r="K8" s="23">
        <f ca="1">[1]!DateToJD(TODAY())-(H8)</f>
        <v>26.740739999804646</v>
      </c>
    </row>
    <row r="9" spans="1:11" ht="14.25" customHeight="1" x14ac:dyDescent="0.25">
      <c r="B9" s="20">
        <v>4</v>
      </c>
      <c r="C9" s="21" t="s">
        <v>1481</v>
      </c>
      <c r="D9" s="22" t="s">
        <v>110</v>
      </c>
      <c r="E9" s="22" t="s">
        <v>111</v>
      </c>
      <c r="G9" s="11">
        <v>8.85</v>
      </c>
      <c r="H9" s="10">
        <v>2457716.67411</v>
      </c>
      <c r="I9" s="34" t="s">
        <v>2542</v>
      </c>
      <c r="J9" s="8" t="s">
        <v>2543</v>
      </c>
      <c r="K9" s="23">
        <f ca="1">[1]!DateToJD(TODAY())-(H9)</f>
        <v>2.8258899999782443</v>
      </c>
    </row>
    <row r="10" spans="1:11" ht="14.25" customHeight="1" x14ac:dyDescent="0.25">
      <c r="B10" s="20">
        <v>5</v>
      </c>
      <c r="C10" s="21" t="s">
        <v>112</v>
      </c>
      <c r="D10" s="22" t="s">
        <v>113</v>
      </c>
      <c r="E10" s="22" t="s">
        <v>114</v>
      </c>
      <c r="G10" s="11">
        <v>5.16</v>
      </c>
      <c r="H10" s="10">
        <v>2455566.613535</v>
      </c>
      <c r="I10" s="34" t="s">
        <v>1226</v>
      </c>
      <c r="J10" s="8" t="s">
        <v>1227</v>
      </c>
      <c r="K10" s="23">
        <f ca="1">[1]!DateToJD(TODAY())-(H10)</f>
        <v>2152.8864649999887</v>
      </c>
    </row>
    <row r="11" spans="1:11" ht="14.25" customHeight="1" x14ac:dyDescent="0.25">
      <c r="B11" s="20">
        <v>6</v>
      </c>
      <c r="C11" s="21" t="s">
        <v>115</v>
      </c>
      <c r="D11" s="22" t="s">
        <v>116</v>
      </c>
      <c r="E11" s="22" t="s">
        <v>117</v>
      </c>
      <c r="G11" s="11">
        <v>8.98</v>
      </c>
      <c r="H11" s="10">
        <v>2457693.7059999998</v>
      </c>
      <c r="I11" s="34" t="s">
        <v>2737</v>
      </c>
      <c r="J11" s="8" t="s">
        <v>66</v>
      </c>
      <c r="K11" s="23">
        <f ca="1">[1]!DateToJD(TODAY())-(H11)</f>
        <v>25.794000000227243</v>
      </c>
    </row>
    <row r="12" spans="1:11" ht="14.25" customHeight="1" x14ac:dyDescent="0.25">
      <c r="B12" s="20">
        <v>7</v>
      </c>
      <c r="C12" s="21" t="s">
        <v>118</v>
      </c>
      <c r="D12" s="22" t="s">
        <v>119</v>
      </c>
      <c r="E12" s="22" t="s">
        <v>120</v>
      </c>
      <c r="G12" s="11">
        <v>7.02</v>
      </c>
      <c r="H12" s="10">
        <v>2457697.7742400002</v>
      </c>
      <c r="I12" s="34" t="s">
        <v>2807</v>
      </c>
      <c r="J12" s="8" t="s">
        <v>72</v>
      </c>
      <c r="K12" s="23">
        <f ca="1">[1]!DateToJD(TODAY())-(H12)</f>
        <v>21.72575999982655</v>
      </c>
    </row>
    <row r="13" spans="1:11" ht="14.25" customHeight="1" x14ac:dyDescent="0.25">
      <c r="B13" s="20">
        <v>8</v>
      </c>
      <c r="C13" s="21" t="s">
        <v>1341</v>
      </c>
      <c r="D13" s="22" t="s">
        <v>121</v>
      </c>
      <c r="E13" s="22" t="s">
        <v>122</v>
      </c>
      <c r="I13" s="34"/>
      <c r="K13" s="23"/>
    </row>
    <row r="14" spans="1:11" ht="14.25" customHeight="1" x14ac:dyDescent="0.25">
      <c r="B14" s="20">
        <v>9</v>
      </c>
      <c r="C14" s="21" t="s">
        <v>123</v>
      </c>
      <c r="D14" s="22" t="s">
        <v>124</v>
      </c>
      <c r="E14" s="22" t="s">
        <v>125</v>
      </c>
      <c r="G14" s="11">
        <v>10.18</v>
      </c>
      <c r="H14" s="10">
        <v>2456713.2860400002</v>
      </c>
      <c r="I14" s="34" t="s">
        <v>1348</v>
      </c>
      <c r="J14" s="8" t="s">
        <v>1199</v>
      </c>
      <c r="K14" s="23">
        <f ca="1">[1]!DateToJD(TODAY())-(H14)</f>
        <v>1006.2139599998482</v>
      </c>
    </row>
    <row r="15" spans="1:11" ht="14.25" customHeight="1" x14ac:dyDescent="0.25">
      <c r="B15" s="20">
        <v>10</v>
      </c>
      <c r="C15" s="21" t="s">
        <v>126</v>
      </c>
      <c r="D15" s="22" t="s">
        <v>127</v>
      </c>
      <c r="E15" s="22" t="s">
        <v>128</v>
      </c>
      <c r="G15" s="11">
        <v>9.9600000000000009</v>
      </c>
      <c r="H15" s="10">
        <v>2457484.2652799999</v>
      </c>
      <c r="I15" s="34" t="s">
        <v>1387</v>
      </c>
      <c r="J15" s="8" t="s">
        <v>254</v>
      </c>
      <c r="K15" s="23">
        <f ca="1">[1]!DateToJD(TODAY())-(H15)</f>
        <v>235.23472000006586</v>
      </c>
    </row>
    <row r="16" spans="1:11" ht="14.25" customHeight="1" x14ac:dyDescent="0.25">
      <c r="B16" s="20">
        <v>11</v>
      </c>
      <c r="C16" s="21" t="s">
        <v>129</v>
      </c>
      <c r="D16" s="22" t="s">
        <v>130</v>
      </c>
      <c r="E16" s="22" t="s">
        <v>131</v>
      </c>
      <c r="G16" s="11">
        <v>9.4499999999999993</v>
      </c>
      <c r="H16" s="10">
        <v>2457718.8462299998</v>
      </c>
      <c r="I16" s="34" t="s">
        <v>2757</v>
      </c>
      <c r="J16" s="8" t="s">
        <v>247</v>
      </c>
      <c r="K16" s="23">
        <f ca="1">[1]!DateToJD(TODAY())-(H16)</f>
        <v>0.65377000020816922</v>
      </c>
    </row>
    <row r="17" spans="2:13" ht="14.25" customHeight="1" x14ac:dyDescent="0.25">
      <c r="B17" s="20">
        <v>12</v>
      </c>
      <c r="C17" s="21" t="s">
        <v>132</v>
      </c>
      <c r="D17" s="22" t="s">
        <v>133</v>
      </c>
      <c r="E17" s="22" t="s">
        <v>134</v>
      </c>
      <c r="G17" s="11">
        <v>7.94</v>
      </c>
      <c r="H17" s="10">
        <v>2457479.4311299999</v>
      </c>
      <c r="I17" s="34" t="s">
        <v>1436</v>
      </c>
      <c r="J17" s="8" t="s">
        <v>19</v>
      </c>
      <c r="K17" s="23">
        <f ca="1">[1]!DateToJD(TODAY())-(H17)</f>
        <v>240.06887000007555</v>
      </c>
    </row>
    <row r="18" spans="2:13" ht="14.25" customHeight="1" x14ac:dyDescent="0.25">
      <c r="B18" s="20">
        <v>13</v>
      </c>
      <c r="C18" s="21" t="s">
        <v>135</v>
      </c>
      <c r="D18" s="22" t="s">
        <v>136</v>
      </c>
      <c r="E18" s="22" t="s">
        <v>137</v>
      </c>
      <c r="G18" s="11">
        <v>13.63</v>
      </c>
      <c r="H18" s="10">
        <v>2457708.9499300001</v>
      </c>
      <c r="I18" s="34" t="s">
        <v>2523</v>
      </c>
      <c r="J18" s="8" t="s">
        <v>252</v>
      </c>
      <c r="K18" s="23">
        <f ca="1">[1]!DateToJD(TODAY())-(H18)</f>
        <v>10.550069999881089</v>
      </c>
    </row>
    <row r="19" spans="2:13" ht="14.25" customHeight="1" x14ac:dyDescent="0.25">
      <c r="B19" s="20">
        <v>14</v>
      </c>
      <c r="C19" s="21" t="s">
        <v>138</v>
      </c>
      <c r="D19" s="22" t="s">
        <v>139</v>
      </c>
      <c r="E19" s="22" t="s">
        <v>140</v>
      </c>
      <c r="I19" s="34"/>
      <c r="K19" s="23"/>
    </row>
    <row r="20" spans="2:13" ht="14.25" customHeight="1" x14ac:dyDescent="0.25">
      <c r="B20" s="20">
        <v>15</v>
      </c>
      <c r="C20" s="21" t="s">
        <v>141</v>
      </c>
      <c r="D20" s="22" t="s">
        <v>142</v>
      </c>
      <c r="E20" s="22" t="s">
        <v>143</v>
      </c>
      <c r="G20" s="11">
        <v>10.02</v>
      </c>
      <c r="H20" s="10">
        <v>2457718.0111099998</v>
      </c>
      <c r="I20" s="34" t="s">
        <v>2686</v>
      </c>
      <c r="J20" s="8" t="s">
        <v>248</v>
      </c>
      <c r="K20" s="23">
        <f ca="1">[1]!DateToJD(TODAY())-(H20)</f>
        <v>1.4888900001533329</v>
      </c>
    </row>
    <row r="21" spans="2:13" ht="14.25" customHeight="1" x14ac:dyDescent="0.25">
      <c r="B21" s="20">
        <v>16</v>
      </c>
      <c r="C21" s="21" t="s">
        <v>144</v>
      </c>
      <c r="D21" s="24" t="s">
        <v>145</v>
      </c>
      <c r="E21" s="22" t="s">
        <v>146</v>
      </c>
      <c r="I21" s="34"/>
      <c r="K21" s="23"/>
    </row>
    <row r="22" spans="2:13" ht="14.25" customHeight="1" x14ac:dyDescent="0.25">
      <c r="B22" s="20">
        <v>17</v>
      </c>
      <c r="C22" s="21" t="s">
        <v>147</v>
      </c>
      <c r="D22" s="22" t="s">
        <v>148</v>
      </c>
      <c r="E22" s="22" t="s">
        <v>149</v>
      </c>
      <c r="G22" s="11">
        <v>9.66</v>
      </c>
      <c r="H22" s="10">
        <v>2457700.5236499999</v>
      </c>
      <c r="I22" s="34" t="s">
        <v>2640</v>
      </c>
      <c r="J22" s="8" t="s">
        <v>443</v>
      </c>
      <c r="K22" s="23">
        <f ca="1">[1]!DateToJD(TODAY())-(H22)</f>
        <v>18.97635000012815</v>
      </c>
      <c r="L22" s="2"/>
    </row>
    <row r="23" spans="2:13" ht="14.25" customHeight="1" x14ac:dyDescent="0.25">
      <c r="B23" s="20">
        <v>18</v>
      </c>
      <c r="C23" s="21" t="s">
        <v>50</v>
      </c>
      <c r="D23" s="22" t="s">
        <v>150</v>
      </c>
      <c r="E23" s="22" t="s">
        <v>151</v>
      </c>
      <c r="G23" s="11">
        <v>9.73</v>
      </c>
      <c r="H23" s="10">
        <v>2457693.3689999999</v>
      </c>
      <c r="I23" s="34" t="s">
        <v>2490</v>
      </c>
      <c r="J23" s="8" t="s">
        <v>66</v>
      </c>
      <c r="K23" s="23">
        <f ca="1">[1]!DateToJD(TODAY())-(H23)</f>
        <v>26.131000000052154</v>
      </c>
      <c r="L23" s="2"/>
    </row>
    <row r="24" spans="2:13" ht="14.25" customHeight="1" x14ac:dyDescent="0.25">
      <c r="B24" s="20">
        <v>19</v>
      </c>
      <c r="C24" s="21" t="s">
        <v>152</v>
      </c>
      <c r="D24" s="22" t="s">
        <v>153</v>
      </c>
      <c r="E24" s="22" t="s">
        <v>154</v>
      </c>
      <c r="G24" s="11">
        <v>12.55</v>
      </c>
      <c r="H24" s="10">
        <v>2457561.7055600001</v>
      </c>
      <c r="I24" s="34" t="s">
        <v>1992</v>
      </c>
      <c r="J24" s="8" t="s">
        <v>252</v>
      </c>
      <c r="K24" s="23">
        <f ca="1">[1]!DateToJD(TODAY())-(H24)</f>
        <v>157.79443999985233</v>
      </c>
      <c r="L24" s="2"/>
    </row>
    <row r="25" spans="2:13" ht="14.25" customHeight="1" x14ac:dyDescent="0.25">
      <c r="B25" s="20">
        <v>20</v>
      </c>
      <c r="C25" s="21" t="s">
        <v>155</v>
      </c>
      <c r="D25" s="22" t="s">
        <v>156</v>
      </c>
      <c r="E25" s="22" t="s">
        <v>157</v>
      </c>
      <c r="G25" s="11">
        <v>11.79</v>
      </c>
      <c r="H25" s="10">
        <v>2457672.2871300001</v>
      </c>
      <c r="I25" s="34" t="s">
        <v>2573</v>
      </c>
      <c r="J25" s="8" t="s">
        <v>1889</v>
      </c>
      <c r="K25" s="23">
        <f ca="1">[1]!DateToJD(TODAY())-(H25)</f>
        <v>47.212869999930263</v>
      </c>
      <c r="L25" s="2"/>
    </row>
    <row r="26" spans="2:13" ht="14.25" customHeight="1" x14ac:dyDescent="0.25">
      <c r="B26" s="20">
        <v>21</v>
      </c>
      <c r="C26" s="21" t="s">
        <v>158</v>
      </c>
      <c r="D26" s="22" t="s">
        <v>159</v>
      </c>
      <c r="E26" s="22" t="s">
        <v>160</v>
      </c>
      <c r="G26" s="11">
        <v>8.65</v>
      </c>
      <c r="H26" s="10">
        <v>2454102.4169999999</v>
      </c>
      <c r="I26" s="34" t="s">
        <v>645</v>
      </c>
      <c r="J26" s="8" t="s">
        <v>646</v>
      </c>
      <c r="K26" s="23">
        <f ca="1">[1]!DateToJD(TODAY())-(H26)</f>
        <v>3617.0830000001006</v>
      </c>
      <c r="L26" s="2"/>
    </row>
    <row r="27" spans="2:13" ht="14.25" customHeight="1" x14ac:dyDescent="0.25">
      <c r="B27" s="20">
        <v>22</v>
      </c>
      <c r="C27" s="21" t="s">
        <v>161</v>
      </c>
      <c r="D27" s="22" t="s">
        <v>162</v>
      </c>
      <c r="E27" s="22" t="s">
        <v>163</v>
      </c>
      <c r="G27" s="11">
        <v>13.8</v>
      </c>
      <c r="H27" s="10">
        <v>2457694.348431</v>
      </c>
      <c r="I27" s="34" t="s">
        <v>2438</v>
      </c>
      <c r="J27" s="8" t="s">
        <v>690</v>
      </c>
      <c r="K27" s="23">
        <f ca="1">[1]!DateToJD(TODAY())-(H27)</f>
        <v>25.151568999979645</v>
      </c>
      <c r="L27" s="2"/>
    </row>
    <row r="28" spans="2:13" ht="14.25" customHeight="1" x14ac:dyDescent="0.25">
      <c r="B28" s="20">
        <v>23</v>
      </c>
      <c r="C28" s="25" t="s">
        <v>164</v>
      </c>
      <c r="D28" s="22" t="s">
        <v>165</v>
      </c>
      <c r="E28" s="22" t="s">
        <v>166</v>
      </c>
      <c r="G28" s="11">
        <v>13.17</v>
      </c>
      <c r="H28" s="10">
        <v>2456355.0109999999</v>
      </c>
      <c r="I28" s="34" t="s">
        <v>652</v>
      </c>
      <c r="J28" s="8" t="s">
        <v>260</v>
      </c>
      <c r="K28" s="23">
        <f ca="1">[1]!DateToJD(TODAY())-(H28)</f>
        <v>1364.4890000000596</v>
      </c>
      <c r="L28" s="2"/>
      <c r="M28" s="3" t="s">
        <v>688</v>
      </c>
    </row>
    <row r="29" spans="2:13" ht="14.25" customHeight="1" x14ac:dyDescent="0.25">
      <c r="B29" s="20">
        <v>24</v>
      </c>
      <c r="C29" s="21" t="s">
        <v>167</v>
      </c>
      <c r="D29" s="22" t="s">
        <v>168</v>
      </c>
      <c r="E29" s="22" t="s">
        <v>169</v>
      </c>
      <c r="G29" s="26">
        <v>12.95</v>
      </c>
      <c r="H29" s="10">
        <v>2457691.27</v>
      </c>
      <c r="I29" s="34" t="s">
        <v>2838</v>
      </c>
      <c r="J29" s="8" t="s">
        <v>66</v>
      </c>
      <c r="K29" s="23">
        <f ca="1">[1]!DateToJD(TODAY())-(H29)</f>
        <v>28.229999999981374</v>
      </c>
      <c r="L29" s="2"/>
    </row>
    <row r="30" spans="2:13" ht="14.25" customHeight="1" x14ac:dyDescent="0.25">
      <c r="B30" s="20">
        <v>25</v>
      </c>
      <c r="C30" s="21" t="s">
        <v>170</v>
      </c>
      <c r="D30" s="22" t="s">
        <v>171</v>
      </c>
      <c r="E30" s="22" t="s">
        <v>172</v>
      </c>
      <c r="G30" s="26">
        <v>12.01</v>
      </c>
      <c r="H30" s="10">
        <v>2456783.43194</v>
      </c>
      <c r="I30" s="34" t="s">
        <v>705</v>
      </c>
      <c r="J30" s="8" t="s">
        <v>254</v>
      </c>
      <c r="K30" s="23">
        <f ca="1">[1]!DateToJD(TODAY())-(H30)</f>
        <v>936.06805999996141</v>
      </c>
      <c r="L30" s="2"/>
    </row>
    <row r="31" spans="2:13" ht="14.25" customHeight="1" x14ac:dyDescent="0.25">
      <c r="B31" s="20">
        <v>26</v>
      </c>
      <c r="C31" s="21" t="s">
        <v>173</v>
      </c>
      <c r="D31" s="22" t="s">
        <v>174</v>
      </c>
      <c r="E31" s="22" t="s">
        <v>175</v>
      </c>
      <c r="G31" s="26">
        <v>12.15</v>
      </c>
      <c r="H31" s="10">
        <v>2456844.49603</v>
      </c>
      <c r="I31" s="34" t="s">
        <v>1488</v>
      </c>
      <c r="J31" s="8" t="s">
        <v>470</v>
      </c>
      <c r="K31" s="23">
        <f ca="1">[1]!DateToJD(TODAY())-(H31)</f>
        <v>875.00396999996156</v>
      </c>
      <c r="L31" s="2"/>
    </row>
    <row r="32" spans="2:13" ht="14.25" customHeight="1" x14ac:dyDescent="0.25">
      <c r="B32" s="20">
        <v>27</v>
      </c>
      <c r="C32" s="21" t="s">
        <v>176</v>
      </c>
      <c r="D32" s="22" t="s">
        <v>177</v>
      </c>
      <c r="E32" s="22" t="s">
        <v>178</v>
      </c>
      <c r="G32" s="26">
        <v>11.67</v>
      </c>
      <c r="H32" s="10">
        <v>2457329.3111</v>
      </c>
      <c r="I32" s="34" t="s">
        <v>449</v>
      </c>
      <c r="J32" s="8" t="s">
        <v>450</v>
      </c>
      <c r="K32" s="23">
        <f ca="1">[1]!DateToJD(TODAY())-(H32)</f>
        <v>390.18889999995008</v>
      </c>
      <c r="L32" s="2"/>
    </row>
    <row r="33" spans="2:12" ht="14.25" customHeight="1" x14ac:dyDescent="0.25">
      <c r="B33" s="20">
        <v>28</v>
      </c>
      <c r="C33" s="21" t="s">
        <v>179</v>
      </c>
      <c r="D33" s="22" t="s">
        <v>180</v>
      </c>
      <c r="E33" s="22" t="s">
        <v>181</v>
      </c>
      <c r="G33" s="26">
        <v>13.13</v>
      </c>
      <c r="H33" s="10">
        <v>2457686.9229299999</v>
      </c>
      <c r="I33" s="34" t="s">
        <v>2495</v>
      </c>
      <c r="J33" s="8" t="s">
        <v>755</v>
      </c>
      <c r="K33" s="23">
        <f ca="1">[1]!DateToJD(TODAY())-(H33)</f>
        <v>32.577070000115782</v>
      </c>
      <c r="L33" s="2"/>
    </row>
    <row r="34" spans="2:12" ht="14.25" customHeight="1" x14ac:dyDescent="0.25">
      <c r="B34" s="20">
        <v>29</v>
      </c>
      <c r="C34" s="25" t="s">
        <v>182</v>
      </c>
      <c r="D34" s="22" t="s">
        <v>183</v>
      </c>
      <c r="E34" s="22" t="s">
        <v>184</v>
      </c>
      <c r="G34" s="26">
        <v>13.03</v>
      </c>
      <c r="H34" s="10">
        <v>2456861.6060000001</v>
      </c>
      <c r="I34" s="34" t="s">
        <v>259</v>
      </c>
      <c r="J34" s="8" t="s">
        <v>260</v>
      </c>
      <c r="K34" s="23">
        <f ca="1">[1]!DateToJD(TODAY())-(H34)</f>
        <v>857.89399999985471</v>
      </c>
      <c r="L34" s="2"/>
    </row>
    <row r="35" spans="2:12" ht="14.25" customHeight="1" x14ac:dyDescent="0.25">
      <c r="B35" s="20">
        <v>30</v>
      </c>
      <c r="C35" s="21" t="s">
        <v>185</v>
      </c>
      <c r="D35" s="22" t="s">
        <v>186</v>
      </c>
      <c r="E35" s="22" t="s">
        <v>187</v>
      </c>
      <c r="G35" s="26">
        <v>10.49</v>
      </c>
      <c r="H35" s="10">
        <v>2457715.4705400001</v>
      </c>
      <c r="I35" s="34" t="s">
        <v>2470</v>
      </c>
      <c r="J35" s="8" t="s">
        <v>252</v>
      </c>
      <c r="K35" s="23">
        <f ca="1">[1]!DateToJD(TODAY())-(H35)</f>
        <v>4.0294599998742342</v>
      </c>
      <c r="L35" s="2"/>
    </row>
    <row r="36" spans="2:12" ht="14.25" customHeight="1" x14ac:dyDescent="0.25">
      <c r="B36" s="20">
        <v>31</v>
      </c>
      <c r="C36" s="21" t="s">
        <v>188</v>
      </c>
      <c r="D36" s="22" t="s">
        <v>189</v>
      </c>
      <c r="E36" s="22" t="s">
        <v>190</v>
      </c>
      <c r="G36" s="26">
        <v>8.61</v>
      </c>
      <c r="H36" s="10">
        <v>2457717.5985400002</v>
      </c>
      <c r="I36" s="34" t="s">
        <v>2301</v>
      </c>
      <c r="J36" s="8" t="s">
        <v>248</v>
      </c>
      <c r="K36" s="23">
        <f ca="1">[1]!DateToJD(TODAY())-(H36)</f>
        <v>1.9014599998481572</v>
      </c>
      <c r="L36" s="2"/>
    </row>
    <row r="37" spans="2:12" ht="14.25" customHeight="1" x14ac:dyDescent="0.25">
      <c r="B37" s="20">
        <v>32</v>
      </c>
      <c r="C37" s="21" t="s">
        <v>191</v>
      </c>
      <c r="D37" s="22" t="s">
        <v>192</v>
      </c>
      <c r="E37" s="22" t="s">
        <v>193</v>
      </c>
      <c r="G37" s="26">
        <v>12.94</v>
      </c>
      <c r="H37" s="10">
        <v>2457683.5048000002</v>
      </c>
      <c r="I37" s="34" t="s">
        <v>2803</v>
      </c>
      <c r="J37" s="8" t="s">
        <v>252</v>
      </c>
      <c r="K37" s="23">
        <f ca="1">[1]!DateToJD(TODAY())-(H37)</f>
        <v>35.995199999772012</v>
      </c>
      <c r="L37" s="2"/>
    </row>
    <row r="38" spans="2:12" ht="14.25" customHeight="1" x14ac:dyDescent="0.25">
      <c r="B38" s="20">
        <v>33</v>
      </c>
      <c r="C38" s="21" t="s">
        <v>194</v>
      </c>
      <c r="D38" s="22" t="s">
        <v>195</v>
      </c>
      <c r="E38" s="22" t="s">
        <v>196</v>
      </c>
      <c r="G38" s="26">
        <v>11.75</v>
      </c>
      <c r="H38" s="10">
        <v>2457538.9569999999</v>
      </c>
      <c r="I38" s="34" t="s">
        <v>330</v>
      </c>
      <c r="J38" s="8" t="s">
        <v>324</v>
      </c>
      <c r="K38" s="23">
        <f ca="1">[1]!DateToJD(TODAY())-(H38)</f>
        <v>180.54300000006333</v>
      </c>
      <c r="L38" s="2"/>
    </row>
    <row r="39" spans="2:12" ht="14.25" customHeight="1" x14ac:dyDescent="0.25">
      <c r="B39" s="20">
        <v>34</v>
      </c>
      <c r="C39" s="21" t="s">
        <v>197</v>
      </c>
      <c r="D39" s="22" t="s">
        <v>198</v>
      </c>
      <c r="E39" s="22" t="s">
        <v>199</v>
      </c>
      <c r="G39" s="26">
        <v>12.42</v>
      </c>
      <c r="H39" s="10">
        <v>2457628.2923599998</v>
      </c>
      <c r="I39" s="34" t="s">
        <v>2134</v>
      </c>
      <c r="J39" s="8" t="s">
        <v>254</v>
      </c>
      <c r="K39" s="23">
        <f ca="1">[1]!DateToJD(TODAY())-(H39)</f>
        <v>91.207640000153333</v>
      </c>
      <c r="L39" s="2"/>
    </row>
    <row r="40" spans="2:12" ht="14.25" customHeight="1" x14ac:dyDescent="0.25">
      <c r="B40" s="20">
        <v>35</v>
      </c>
      <c r="C40" s="25" t="s">
        <v>200</v>
      </c>
      <c r="D40" s="22" t="s">
        <v>201</v>
      </c>
      <c r="E40" s="22" t="s">
        <v>202</v>
      </c>
      <c r="G40" s="26">
        <v>12.67</v>
      </c>
      <c r="H40" s="10">
        <v>2457693.355</v>
      </c>
      <c r="I40" s="34" t="s">
        <v>2356</v>
      </c>
      <c r="J40" s="8" t="s">
        <v>66</v>
      </c>
      <c r="K40" s="23">
        <f ca="1">[1]!DateToJD(TODAY())-(H40)</f>
        <v>26.145000000018626</v>
      </c>
      <c r="L40" s="2"/>
    </row>
    <row r="41" spans="2:12" ht="14.25" customHeight="1" x14ac:dyDescent="0.25">
      <c r="B41" s="20">
        <v>36</v>
      </c>
      <c r="C41" s="21" t="s">
        <v>203</v>
      </c>
      <c r="D41" s="22" t="s">
        <v>204</v>
      </c>
      <c r="E41" s="22" t="s">
        <v>205</v>
      </c>
      <c r="G41" s="26">
        <v>10.99</v>
      </c>
      <c r="H41" s="10">
        <v>2457713.4655499998</v>
      </c>
      <c r="I41" s="34" t="s">
        <v>2281</v>
      </c>
      <c r="J41" s="8" t="s">
        <v>252</v>
      </c>
      <c r="K41" s="23">
        <f ca="1">[1]!DateToJD(TODAY())-(H41)</f>
        <v>6.0344500001519918</v>
      </c>
      <c r="L41" s="2"/>
    </row>
    <row r="42" spans="2:12" ht="14.25" customHeight="1" x14ac:dyDescent="0.25">
      <c r="B42" s="20">
        <v>37</v>
      </c>
      <c r="C42" s="21" t="s">
        <v>206</v>
      </c>
      <c r="D42" s="22" t="s">
        <v>207</v>
      </c>
      <c r="E42" s="22" t="s">
        <v>208</v>
      </c>
      <c r="G42" s="26">
        <v>13.03</v>
      </c>
      <c r="H42" s="10">
        <v>2457543.9547000001</v>
      </c>
      <c r="I42" s="34" t="s">
        <v>386</v>
      </c>
      <c r="J42" s="8" t="s">
        <v>260</v>
      </c>
      <c r="K42" s="23">
        <f ca="1">[1]!DateToJD(TODAY())-(H42)</f>
        <v>175.54529999988154</v>
      </c>
      <c r="L42" s="2"/>
    </row>
    <row r="43" spans="2:12" ht="14.25" customHeight="1" x14ac:dyDescent="0.25">
      <c r="B43" s="20">
        <v>38</v>
      </c>
      <c r="C43" s="21" t="s">
        <v>209</v>
      </c>
      <c r="D43" s="22" t="s">
        <v>210</v>
      </c>
      <c r="E43" s="22" t="s">
        <v>211</v>
      </c>
      <c r="G43" s="26">
        <v>11.74</v>
      </c>
      <c r="H43" s="10">
        <v>2457561.8418200002</v>
      </c>
      <c r="I43" s="34" t="s">
        <v>2005</v>
      </c>
      <c r="J43" s="8" t="s">
        <v>361</v>
      </c>
      <c r="K43" s="23">
        <f ca="1">[1]!DateToJD(TODAY())-(H43)</f>
        <v>157.65817999979481</v>
      </c>
    </row>
    <row r="44" spans="2:12" ht="14.25" customHeight="1" x14ac:dyDescent="0.25">
      <c r="B44" s="20">
        <v>39</v>
      </c>
      <c r="C44" s="21" t="s">
        <v>212</v>
      </c>
      <c r="D44" s="22" t="s">
        <v>213</v>
      </c>
      <c r="E44" s="22" t="s">
        <v>214</v>
      </c>
      <c r="G44" s="26">
        <v>12.56</v>
      </c>
      <c r="H44" s="10">
        <v>2457714.19306</v>
      </c>
      <c r="I44" s="34" t="s">
        <v>2576</v>
      </c>
      <c r="J44" s="8" t="s">
        <v>254</v>
      </c>
      <c r="K44" s="23">
        <f ca="1">[1]!DateToJD(TODAY())-(H44)</f>
        <v>5.306940000038594</v>
      </c>
      <c r="L44" s="2"/>
    </row>
    <row r="45" spans="2:12" ht="14.25" customHeight="1" x14ac:dyDescent="0.25">
      <c r="B45" s="20">
        <v>40</v>
      </c>
      <c r="C45" s="21" t="s">
        <v>215</v>
      </c>
      <c r="D45" s="22" t="s">
        <v>216</v>
      </c>
      <c r="E45" s="22" t="s">
        <v>217</v>
      </c>
      <c r="G45" s="26">
        <v>13.15</v>
      </c>
      <c r="H45" s="10">
        <v>2457693.398</v>
      </c>
      <c r="I45" s="34" t="s">
        <v>2537</v>
      </c>
      <c r="J45" s="8" t="s">
        <v>66</v>
      </c>
      <c r="K45" s="23">
        <f ca="1">[1]!DateToJD(TODAY())-(H45)</f>
        <v>26.101999999955297</v>
      </c>
    </row>
    <row r="46" spans="2:12" ht="14.25" customHeight="1" x14ac:dyDescent="0.25">
      <c r="B46" s="20">
        <v>41</v>
      </c>
      <c r="C46" s="21" t="s">
        <v>218</v>
      </c>
      <c r="D46" s="22" t="s">
        <v>219</v>
      </c>
      <c r="E46" s="22" t="s">
        <v>220</v>
      </c>
      <c r="G46" s="26">
        <v>10.25</v>
      </c>
      <c r="H46" s="10">
        <v>2457210.5085419999</v>
      </c>
      <c r="I46" s="34" t="s">
        <v>967</v>
      </c>
      <c r="J46" s="8" t="s">
        <v>709</v>
      </c>
      <c r="K46" s="23">
        <f ca="1">[1]!DateToJD(TODAY())-(H46)</f>
        <v>508.99145800014958</v>
      </c>
    </row>
    <row r="47" spans="2:12" ht="14.25" customHeight="1" x14ac:dyDescent="0.25">
      <c r="B47" s="20">
        <v>42</v>
      </c>
      <c r="C47" s="21" t="s">
        <v>221</v>
      </c>
      <c r="D47" s="22" t="s">
        <v>222</v>
      </c>
      <c r="E47" s="22" t="s">
        <v>223</v>
      </c>
      <c r="G47" s="26">
        <v>13.38</v>
      </c>
      <c r="H47" s="10">
        <v>2457615.4585799999</v>
      </c>
      <c r="I47" s="34" t="s">
        <v>2010</v>
      </c>
      <c r="J47" s="8" t="s">
        <v>19</v>
      </c>
      <c r="K47" s="23">
        <f ca="1">[1]!DateToJD(TODAY())-(H47)</f>
        <v>104.04142000013962</v>
      </c>
    </row>
    <row r="48" spans="2:12" ht="14.25" customHeight="1" x14ac:dyDescent="0.25">
      <c r="B48" s="20">
        <v>43</v>
      </c>
      <c r="C48" s="21" t="s">
        <v>224</v>
      </c>
      <c r="D48" s="22" t="s">
        <v>225</v>
      </c>
      <c r="E48" s="22" t="s">
        <v>226</v>
      </c>
      <c r="G48" s="26">
        <v>13.63</v>
      </c>
      <c r="H48" s="10">
        <v>2457680.6869999999</v>
      </c>
      <c r="I48" s="34" t="s">
        <v>2741</v>
      </c>
      <c r="J48" s="8" t="s">
        <v>252</v>
      </c>
      <c r="K48" s="23">
        <f ca="1">[1]!DateToJD(TODAY())-(H48)</f>
        <v>38.813000000081956</v>
      </c>
    </row>
    <row r="49" spans="2:12" ht="14.25" customHeight="1" x14ac:dyDescent="0.25">
      <c r="B49" s="20">
        <v>44</v>
      </c>
      <c r="C49" s="21" t="s">
        <v>227</v>
      </c>
      <c r="D49" s="22" t="s">
        <v>228</v>
      </c>
      <c r="E49" s="22" t="s">
        <v>229</v>
      </c>
      <c r="G49" s="26">
        <v>10.59</v>
      </c>
      <c r="H49" s="10">
        <v>2455855.55296</v>
      </c>
      <c r="I49" s="34" t="s">
        <v>1153</v>
      </c>
      <c r="J49" s="8" t="s">
        <v>252</v>
      </c>
      <c r="K49" s="23">
        <f ca="1">[1]!DateToJD(TODAY())-(H49)</f>
        <v>1863.9470399999991</v>
      </c>
    </row>
    <row r="50" spans="2:12" ht="14.25" customHeight="1" x14ac:dyDescent="0.25">
      <c r="B50" s="20">
        <v>45</v>
      </c>
      <c r="C50" s="21" t="s">
        <v>230</v>
      </c>
      <c r="D50" s="22" t="s">
        <v>231</v>
      </c>
      <c r="E50" s="22" t="s">
        <v>232</v>
      </c>
      <c r="G50" s="26">
        <v>9</v>
      </c>
      <c r="H50" s="10">
        <v>2457708.6793900002</v>
      </c>
      <c r="I50" s="34" t="s">
        <v>2361</v>
      </c>
      <c r="J50" s="8" t="s">
        <v>2346</v>
      </c>
      <c r="K50" s="23">
        <f ca="1">[1]!DateToJD(TODAY())-(H50)</f>
        <v>10.82060999982059</v>
      </c>
      <c r="L50" s="2"/>
    </row>
    <row r="51" spans="2:12" ht="14.25" customHeight="1" x14ac:dyDescent="0.25">
      <c r="B51" s="20">
        <v>46</v>
      </c>
      <c r="C51" s="21" t="s">
        <v>233</v>
      </c>
      <c r="D51" s="22" t="s">
        <v>234</v>
      </c>
      <c r="E51" s="22" t="s">
        <v>235</v>
      </c>
      <c r="G51" s="26">
        <v>12.68</v>
      </c>
      <c r="H51" s="10">
        <v>2457698.3840899998</v>
      </c>
      <c r="I51" s="34" t="s">
        <v>2753</v>
      </c>
      <c r="J51" s="8" t="s">
        <v>19</v>
      </c>
      <c r="K51" s="23">
        <f ca="1">[1]!DateToJD(TODAY())-(H51)</f>
        <v>21.115910000167787</v>
      </c>
    </row>
    <row r="52" spans="2:12" ht="14.25" customHeight="1" x14ac:dyDescent="0.25">
      <c r="B52" s="20">
        <v>47</v>
      </c>
      <c r="C52" s="21" t="s">
        <v>236</v>
      </c>
      <c r="D52" s="22" t="s">
        <v>237</v>
      </c>
      <c r="E52" s="22" t="s">
        <v>238</v>
      </c>
      <c r="G52" s="26">
        <v>10.09</v>
      </c>
      <c r="H52" s="10">
        <v>2457696.7391599999</v>
      </c>
      <c r="I52" s="34" t="s">
        <v>2845</v>
      </c>
      <c r="J52" s="8" t="s">
        <v>252</v>
      </c>
      <c r="K52" s="23">
        <f ca="1">[1]!DateToJD(TODAY())-(H52)</f>
        <v>22.76084000011906</v>
      </c>
    </row>
    <row r="53" spans="2:12" ht="14.25" customHeight="1" x14ac:dyDescent="0.25">
      <c r="B53" s="20">
        <v>48</v>
      </c>
      <c r="C53" s="21" t="s">
        <v>239</v>
      </c>
      <c r="D53" s="22" t="s">
        <v>240</v>
      </c>
      <c r="E53" s="22" t="s">
        <v>241</v>
      </c>
      <c r="G53" s="26">
        <v>11.04</v>
      </c>
      <c r="H53" s="10">
        <v>2457715.4416939998</v>
      </c>
      <c r="I53" s="34" t="s">
        <v>2585</v>
      </c>
      <c r="J53" s="8" t="s">
        <v>690</v>
      </c>
      <c r="K53" s="23">
        <f ca="1">[1]!DateToJD(TODAY())-(H53)</f>
        <v>4.0583060001954436</v>
      </c>
    </row>
    <row r="54" spans="2:12" ht="14.25" customHeight="1" x14ac:dyDescent="0.25">
      <c r="B54" s="20">
        <v>49</v>
      </c>
      <c r="C54" s="21" t="s">
        <v>242</v>
      </c>
      <c r="D54" s="27" t="s">
        <v>243</v>
      </c>
      <c r="E54" s="27" t="s">
        <v>244</v>
      </c>
      <c r="G54" s="26">
        <v>8.6199999999999992</v>
      </c>
      <c r="H54" s="10">
        <v>2457511.4726</v>
      </c>
      <c r="I54" s="34" t="s">
        <v>518</v>
      </c>
      <c r="J54" s="8" t="s">
        <v>19</v>
      </c>
      <c r="K54" s="23">
        <f ca="1">[1]!DateToJD(TODAY())-(H54)</f>
        <v>208.02740000002086</v>
      </c>
      <c r="L54" s="2"/>
    </row>
    <row r="55" spans="2:12" ht="14.25" customHeight="1" x14ac:dyDescent="0.25">
      <c r="B55" s="35"/>
      <c r="C55" s="36"/>
      <c r="D55" s="35"/>
      <c r="E55" s="35"/>
    </row>
    <row r="56" spans="2:12" x14ac:dyDescent="0.25">
      <c r="B56" s="35"/>
      <c r="C56" s="36"/>
      <c r="D56" s="35"/>
      <c r="E56" s="35"/>
    </row>
    <row r="57" spans="2:12" x14ac:dyDescent="0.25">
      <c r="B57" s="35"/>
      <c r="C57" s="36"/>
      <c r="D57" s="35"/>
      <c r="E57" s="35"/>
    </row>
    <row r="58" spans="2:12" x14ac:dyDescent="0.25">
      <c r="B58" s="35"/>
      <c r="C58" s="36"/>
      <c r="D58" s="35"/>
      <c r="E58" s="35"/>
    </row>
  </sheetData>
  <mergeCells count="1">
    <mergeCell ref="J2:K2"/>
  </mergeCells>
  <pageMargins left="0.7" right="0.7" top="0.75" bottom="0.75" header="0.3" footer="0.3"/>
  <pageSetup paperSize="9" orientation="portrait" horizontalDpi="1200" verticalDpi="1200" r:id="rId1"/>
  <ignoredErrors>
    <ignoredError sqref="D48 E45 D37" twoDigitTextYea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Pdf">
                <anchor moveWithCells="1" sizeWithCells="1"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14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euil1.MAJ">
                <anchor moveWithCells="1" sizeWithCells="1">
                  <from>
                    <xdr:col>13</xdr:col>
                    <xdr:colOff>28575</xdr:colOff>
                    <xdr:row>3</xdr:row>
                    <xdr:rowOff>114300</xdr:rowOff>
                  </from>
                  <to>
                    <xdr:col>14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982" divId="AAVSO_15982" sourceType="range" sourceRef="A1:L55" destinationFile="D:\SITEWEB\Actualite\AAVSO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2"/>
  <dimension ref="B2:P58"/>
  <sheetViews>
    <sheetView showGridLines="0" workbookViewId="0">
      <selection activeCell="M9" sqref="M9"/>
    </sheetView>
  </sheetViews>
  <sheetFormatPr baseColWidth="10" defaultRowHeight="15" x14ac:dyDescent="0.25"/>
  <cols>
    <col min="1" max="1" width="4.42578125" customWidth="1"/>
    <col min="2" max="2" width="4.5703125" style="10" customWidth="1"/>
    <col min="3" max="3" width="8.85546875" style="9" customWidth="1"/>
    <col min="4" max="5" width="9.85546875" style="10" customWidth="1"/>
    <col min="6" max="6" width="1.28515625" style="10" customWidth="1"/>
    <col min="7" max="7" width="5.5703125" style="11" customWidth="1"/>
    <col min="8" max="8" width="12.5703125" style="10" customWidth="1"/>
    <col min="9" max="9" width="13.28515625" style="12" customWidth="1"/>
    <col min="10" max="10" width="6.28515625" style="8" customWidth="1"/>
    <col min="11" max="11" width="8.28515625" style="10" customWidth="1"/>
    <col min="12" max="12" width="7.7109375" customWidth="1"/>
    <col min="16" max="16" width="14.28515625" bestFit="1" customWidth="1"/>
  </cols>
  <sheetData>
    <row r="2" spans="2:16" x14ac:dyDescent="0.25">
      <c r="B2" s="4" t="s">
        <v>1479</v>
      </c>
      <c r="C2" s="5"/>
      <c r="D2" s="6"/>
      <c r="E2" s="6"/>
      <c r="F2" s="6"/>
      <c r="G2" s="4"/>
      <c r="H2" s="6"/>
      <c r="I2" s="7" t="s">
        <v>1480</v>
      </c>
      <c r="J2" s="41">
        <f ca="1">+TODAY()</f>
        <v>42701</v>
      </c>
      <c r="K2" s="42"/>
      <c r="N2">
        <f ca="1">+MONTH(J2)</f>
        <v>11</v>
      </c>
      <c r="O2">
        <f ca="1">+YEAR(J2)</f>
        <v>2016</v>
      </c>
      <c r="P2" t="str">
        <f ca="1">+CONCATENATE("AAVSO_",O2,"-",N2)</f>
        <v>AAVSO_2016-11</v>
      </c>
    </row>
    <row r="3" spans="2:16" s="28" customFormat="1" ht="4.5" customHeight="1" x14ac:dyDescent="0.25">
      <c r="B3" s="29">
        <f>+COUNTA(B6:B54)</f>
        <v>49</v>
      </c>
      <c r="C3" s="30"/>
      <c r="D3" s="31"/>
      <c r="E3" s="31"/>
      <c r="F3" s="31"/>
      <c r="G3" s="32"/>
      <c r="H3" s="31"/>
      <c r="I3" s="33"/>
      <c r="J3" s="29"/>
      <c r="K3" s="31"/>
    </row>
    <row r="4" spans="2:16" x14ac:dyDescent="0.25">
      <c r="B4" s="13" t="s">
        <v>97</v>
      </c>
      <c r="C4" s="13" t="s">
        <v>98</v>
      </c>
      <c r="D4" s="14" t="s">
        <v>99</v>
      </c>
      <c r="E4" s="14" t="s">
        <v>100</v>
      </c>
      <c r="G4" s="15" t="s">
        <v>18</v>
      </c>
      <c r="H4" s="16" t="s">
        <v>10</v>
      </c>
      <c r="I4" s="16" t="s">
        <v>245</v>
      </c>
      <c r="J4" s="16" t="s">
        <v>256</v>
      </c>
      <c r="K4" s="17" t="s">
        <v>1712</v>
      </c>
    </row>
    <row r="5" spans="2:16" ht="6.75" customHeight="1" x14ac:dyDescent="0.25">
      <c r="B5" s="18"/>
      <c r="C5" s="19"/>
      <c r="D5" s="18"/>
      <c r="E5" s="18"/>
    </row>
    <row r="6" spans="2:16" ht="14.25" customHeight="1" x14ac:dyDescent="0.25">
      <c r="B6" s="20">
        <f>+Index!B6</f>
        <v>1</v>
      </c>
      <c r="C6" s="40" t="str">
        <f>+Index!C6</f>
        <v>EG And</v>
      </c>
      <c r="D6" s="22" t="str">
        <f>+Index!D6</f>
        <v>0 44 37.1</v>
      </c>
      <c r="E6" s="22" t="str">
        <f>+Index!E6</f>
        <v>40 40 45.7</v>
      </c>
      <c r="F6" s="20">
        <f>+Index!F6</f>
        <v>0</v>
      </c>
      <c r="G6" s="37">
        <f>+Index!G6</f>
        <v>7.87</v>
      </c>
      <c r="H6" s="20">
        <f>+Index!H6</f>
        <v>2457703.4682300002</v>
      </c>
      <c r="I6" s="39" t="str">
        <f>+CONCATENATE(LEFT(Index!I6,4)," ", MID(Index!I6,6,3)," ",MID(Index!I6,11,4))</f>
        <v>2016 Nov 10.9</v>
      </c>
      <c r="J6" s="20" t="str">
        <f>+Index!J6</f>
        <v>DKS</v>
      </c>
      <c r="K6" s="38">
        <f ca="1">+Index!K6</f>
        <v>16.031769999768585</v>
      </c>
    </row>
    <row r="7" spans="2:16" ht="14.25" customHeight="1" x14ac:dyDescent="0.25">
      <c r="B7" s="20">
        <f>+Index!B7</f>
        <v>2</v>
      </c>
      <c r="C7" s="40" t="str">
        <f>+Index!C7</f>
        <v>AX Per</v>
      </c>
      <c r="D7" s="22" t="str">
        <f>+Index!D7</f>
        <v>1 36 22.7</v>
      </c>
      <c r="E7" s="22" t="str">
        <f>+Index!E7</f>
        <v>54 15 2.5</v>
      </c>
      <c r="F7" s="20">
        <f>+Index!F7</f>
        <v>0</v>
      </c>
      <c r="G7" s="37">
        <f>+Index!G7</f>
        <v>12.03</v>
      </c>
      <c r="H7" s="20">
        <f>+Index!H7</f>
        <v>2457714.3111100001</v>
      </c>
      <c r="I7" s="39" t="str">
        <f>+CONCATENATE(LEFT(Index!I7,4)," ", MID(Index!I7,6,3)," ",MID(Index!I7,11,4))</f>
        <v>2016 Nov 21.8</v>
      </c>
      <c r="J7" s="20" t="str">
        <f>+Index!J7</f>
        <v>TIA</v>
      </c>
      <c r="K7" s="38">
        <f ca="1">+Index!K7</f>
        <v>5.1888899998739362</v>
      </c>
    </row>
    <row r="8" spans="2:16" ht="14.25" customHeight="1" x14ac:dyDescent="0.25">
      <c r="B8" s="20">
        <f>+Index!B8</f>
        <v>3</v>
      </c>
      <c r="C8" s="40" t="str">
        <f>+Index!C8</f>
        <v>V471 Per</v>
      </c>
      <c r="D8" s="22" t="str">
        <f>+Index!D8</f>
        <v>1 58 49.7</v>
      </c>
      <c r="E8" s="22" t="str">
        <f>+Index!E8</f>
        <v>52 53 48.4</v>
      </c>
      <c r="F8" s="20">
        <f>+Index!F8</f>
        <v>0</v>
      </c>
      <c r="G8" s="37">
        <f>+Index!G8</f>
        <v>12.98</v>
      </c>
      <c r="H8" s="20">
        <f>+Index!H8</f>
        <v>2457692.7592600002</v>
      </c>
      <c r="I8" s="39" t="str">
        <f>+CONCATENATE(LEFT(Index!I8,4)," ", MID(Index!I8,6,3)," ",MID(Index!I8,11,4))</f>
        <v>2016 Oct 31.2</v>
      </c>
      <c r="J8" s="20" t="str">
        <f>+Index!J8</f>
        <v>DKS</v>
      </c>
      <c r="K8" s="38">
        <f ca="1">+Index!K8</f>
        <v>26.740739999804646</v>
      </c>
    </row>
    <row r="9" spans="2:16" ht="14.25" customHeight="1" x14ac:dyDescent="0.25">
      <c r="B9" s="20">
        <f>+Index!B9</f>
        <v>4</v>
      </c>
      <c r="C9" s="40" t="str">
        <f>+Index!C9</f>
        <v>o Cet</v>
      </c>
      <c r="D9" s="22" t="str">
        <f>+Index!D9</f>
        <v>2 19 20.7</v>
      </c>
      <c r="E9" s="22" t="str">
        <f>+Index!E9</f>
        <v>-2 58 39.5</v>
      </c>
      <c r="F9" s="20">
        <f>+Index!F9</f>
        <v>0</v>
      </c>
      <c r="G9" s="37">
        <f>+Index!G9</f>
        <v>8.85</v>
      </c>
      <c r="H9" s="20">
        <f>+Index!H9</f>
        <v>2457716.67411</v>
      </c>
      <c r="I9" s="39" t="str">
        <f>+CONCATENATE(LEFT(Index!I9,4)," ", MID(Index!I9,6,3)," ",MID(Index!I9,11,4))</f>
        <v>2016 Nov 24.1</v>
      </c>
      <c r="J9" s="20" t="str">
        <f>+Index!J9</f>
        <v>APAA</v>
      </c>
      <c r="K9" s="38">
        <f ca="1">+Index!K9</f>
        <v>2.8258899999782443</v>
      </c>
    </row>
    <row r="10" spans="2:16" ht="14.25" customHeight="1" x14ac:dyDescent="0.25">
      <c r="B10" s="20">
        <f>+Index!B10</f>
        <v>5</v>
      </c>
      <c r="C10" s="40" t="str">
        <f>+Index!C10</f>
        <v>BD Cam</v>
      </c>
      <c r="D10" s="22" t="str">
        <f>+Index!D10</f>
        <v>3 42 9.3</v>
      </c>
      <c r="E10" s="22" t="str">
        <f>+Index!E10</f>
        <v>63 13 0.5</v>
      </c>
      <c r="F10" s="20">
        <f>+Index!F10</f>
        <v>0</v>
      </c>
      <c r="G10" s="37">
        <f>+Index!G10</f>
        <v>5.16</v>
      </c>
      <c r="H10" s="20">
        <f>+Index!H10</f>
        <v>2455566.613535</v>
      </c>
      <c r="I10" s="39" t="str">
        <f>+CONCATENATE(LEFT(Index!I10,4)," ", MID(Index!I10,6,3)," ",MID(Index!I10,11,4))</f>
        <v>2011 Jan 05.1</v>
      </c>
      <c r="J10" s="20" t="str">
        <f>+Index!J10</f>
        <v>PSEB</v>
      </c>
      <c r="K10" s="38">
        <f ca="1">+Index!K10</f>
        <v>2152.8864649999887</v>
      </c>
    </row>
    <row r="11" spans="2:16" ht="14.25" customHeight="1" x14ac:dyDescent="0.25">
      <c r="B11" s="20">
        <f>+Index!B11</f>
        <v>6</v>
      </c>
      <c r="C11" s="40" t="str">
        <f>+Index!C11</f>
        <v>UV Aur</v>
      </c>
      <c r="D11" s="22" t="str">
        <f>+Index!D11</f>
        <v>5 21 48.8</v>
      </c>
      <c r="E11" s="22" t="str">
        <f>+Index!E11</f>
        <v>32 30 43.1</v>
      </c>
      <c r="F11" s="20">
        <f>+Index!F11</f>
        <v>0</v>
      </c>
      <c r="G11" s="37">
        <f>+Index!G11</f>
        <v>8.98</v>
      </c>
      <c r="H11" s="20">
        <f>+Index!H11</f>
        <v>2457693.7059999998</v>
      </c>
      <c r="I11" s="39" t="str">
        <f>+CONCATENATE(LEFT(Index!I11,4)," ", MID(Index!I11,6,3)," ",MID(Index!I11,11,4))</f>
        <v>2016 Nov 01.2</v>
      </c>
      <c r="J11" s="20" t="str">
        <f>+Index!J11</f>
        <v>MEV</v>
      </c>
      <c r="K11" s="38">
        <f ca="1">+Index!K11</f>
        <v>25.794000000227243</v>
      </c>
    </row>
    <row r="12" spans="2:16" ht="14.25" customHeight="1" x14ac:dyDescent="0.25">
      <c r="B12" s="20">
        <f>+Index!B12</f>
        <v>7</v>
      </c>
      <c r="C12" s="40" t="str">
        <f>+Index!C12</f>
        <v>V1261 Ori</v>
      </c>
      <c r="D12" s="22" t="str">
        <f>+Index!D12</f>
        <v>5 22 18.6</v>
      </c>
      <c r="E12" s="22" t="str">
        <f>+Index!E12</f>
        <v>-8 39 58</v>
      </c>
      <c r="F12" s="20">
        <f>+Index!F12</f>
        <v>0</v>
      </c>
      <c r="G12" s="37">
        <f>+Index!G12</f>
        <v>7.02</v>
      </c>
      <c r="H12" s="20">
        <f>+Index!H12</f>
        <v>2457697.7742400002</v>
      </c>
      <c r="I12" s="39" t="str">
        <f>+CONCATENATE(LEFT(Index!I12,4)," ", MID(Index!I12,6,3)," ",MID(Index!I12,11,4))</f>
        <v>2016 Nov 05.2</v>
      </c>
      <c r="J12" s="20" t="str">
        <f>+Index!J12</f>
        <v>SBL</v>
      </c>
      <c r="K12" s="38">
        <f ca="1">+Index!K12</f>
        <v>21.72575999982655</v>
      </c>
    </row>
    <row r="13" spans="2:16" ht="14.25" customHeight="1" x14ac:dyDescent="0.25">
      <c r="B13" s="20">
        <f>+Index!B13</f>
        <v>8</v>
      </c>
      <c r="C13" s="40" t="str">
        <f>+Index!C13</f>
        <v>StHa 55</v>
      </c>
      <c r="D13" s="22" t="str">
        <f>+Index!D13</f>
        <v>5 46 42</v>
      </c>
      <c r="E13" s="22" t="str">
        <f>+Index!E13</f>
        <v>6 43 48</v>
      </c>
      <c r="F13" s="20">
        <f>+Index!F13</f>
        <v>0</v>
      </c>
      <c r="G13" s="37"/>
      <c r="H13" s="20"/>
      <c r="I13" s="39" t="str">
        <f>+CONCATENATE(LEFT(Index!I13,4)," ", MID(Index!I13,6,3)," ",MID(Index!I13,11,4))</f>
        <v xml:space="preserve">  </v>
      </c>
      <c r="J13" s="20"/>
      <c r="K13" s="38"/>
    </row>
    <row r="14" spans="2:16" ht="14.25" customHeight="1" x14ac:dyDescent="0.25">
      <c r="B14" s="20">
        <f>+Index!B14</f>
        <v>9</v>
      </c>
      <c r="C14" s="40" t="str">
        <f>+Index!C14</f>
        <v>ZZ CMi</v>
      </c>
      <c r="D14" s="22" t="str">
        <f>+Index!D14</f>
        <v>7 24 13.9</v>
      </c>
      <c r="E14" s="22" t="str">
        <f>+Index!E14</f>
        <v>8 53 51.7</v>
      </c>
      <c r="F14" s="20">
        <f>+Index!F14</f>
        <v>0</v>
      </c>
      <c r="G14" s="37">
        <f>+Index!G14</f>
        <v>10.18</v>
      </c>
      <c r="H14" s="20">
        <f>+Index!H14</f>
        <v>2456713.2860400002</v>
      </c>
      <c r="I14" s="39" t="str">
        <f>+CONCATENATE(LEFT(Index!I14,4)," ", MID(Index!I14,6,3)," ",MID(Index!I14,11,4))</f>
        <v>2014 Feb 24.7</v>
      </c>
      <c r="J14" s="20" t="str">
        <f>+Index!J14</f>
        <v>HPIA</v>
      </c>
      <c r="K14" s="38">
        <f ca="1">+Index!K14</f>
        <v>1006.2139599998482</v>
      </c>
    </row>
    <row r="15" spans="2:16" ht="14.25" customHeight="1" x14ac:dyDescent="0.25">
      <c r="B15" s="20">
        <f>+Index!B15</f>
        <v>10</v>
      </c>
      <c r="C15" s="40" t="str">
        <f>+Index!C15</f>
        <v>BX Mon</v>
      </c>
      <c r="D15" s="22" t="str">
        <f>+Index!D15</f>
        <v>7 25 24</v>
      </c>
      <c r="E15" s="22" t="str">
        <f>+Index!E15</f>
        <v>-3 36 0</v>
      </c>
      <c r="F15" s="20">
        <f>+Index!F15</f>
        <v>0</v>
      </c>
      <c r="G15" s="37">
        <f>+Index!G15</f>
        <v>9.9600000000000009</v>
      </c>
      <c r="H15" s="20">
        <f>+Index!H15</f>
        <v>2457484.2652799999</v>
      </c>
      <c r="I15" s="39" t="str">
        <f>+CONCATENATE(LEFT(Index!I15,4)," ", MID(Index!I15,6,3)," ",MID(Index!I15,11,4))</f>
        <v>2016 Apr 05.7</v>
      </c>
      <c r="J15" s="20" t="str">
        <f>+Index!J15</f>
        <v>TIA</v>
      </c>
      <c r="K15" s="38">
        <f ca="1">+Index!K15</f>
        <v>235.23472000006586</v>
      </c>
    </row>
    <row r="16" spans="2:16" ht="14.25" customHeight="1" x14ac:dyDescent="0.25">
      <c r="B16" s="20">
        <f>+Index!B16</f>
        <v>11</v>
      </c>
      <c r="C16" s="40" t="str">
        <f>+Index!C16</f>
        <v>V694 Mon</v>
      </c>
      <c r="D16" s="22" t="str">
        <f>+Index!D16</f>
        <v>7 25 51.2</v>
      </c>
      <c r="E16" s="22" t="str">
        <f>+Index!E16</f>
        <v>-7 44 8</v>
      </c>
      <c r="F16" s="20">
        <f>+Index!F16</f>
        <v>0</v>
      </c>
      <c r="G16" s="37">
        <f>+Index!G16</f>
        <v>9.4499999999999993</v>
      </c>
      <c r="H16" s="20">
        <f>+Index!H16</f>
        <v>2457718.8462299998</v>
      </c>
      <c r="I16" s="39" t="str">
        <f>+CONCATENATE(LEFT(Index!I16,4)," ", MID(Index!I16,6,3)," ",MID(Index!I16,11,4))</f>
        <v>2016 Nov 26.3</v>
      </c>
      <c r="J16" s="20" t="str">
        <f>+Index!J16</f>
        <v>SGEA</v>
      </c>
      <c r="K16" s="38">
        <f ca="1">+Index!K16</f>
        <v>0.65377000020816922</v>
      </c>
    </row>
    <row r="17" spans="2:13" ht="14.25" customHeight="1" x14ac:dyDescent="0.25">
      <c r="B17" s="20">
        <f>+Index!B17</f>
        <v>12</v>
      </c>
      <c r="C17" s="40" t="str">
        <f>+Index!C17</f>
        <v>NQ Gem</v>
      </c>
      <c r="D17" s="22" t="str">
        <f>+Index!D17</f>
        <v>7 31 54.5</v>
      </c>
      <c r="E17" s="22" t="str">
        <f>+Index!E17</f>
        <v>24 30 12.5</v>
      </c>
      <c r="F17" s="20">
        <f>+Index!F17</f>
        <v>0</v>
      </c>
      <c r="G17" s="37">
        <f>+Index!G17</f>
        <v>7.94</v>
      </c>
      <c r="H17" s="20">
        <f>+Index!H17</f>
        <v>2457479.4311299999</v>
      </c>
      <c r="I17" s="39" t="str">
        <f>+CONCATENATE(LEFT(Index!I17,4)," ", MID(Index!I17,6,3)," ",MID(Index!I17,11,4))</f>
        <v>2016 Mar 31.9</v>
      </c>
      <c r="J17" s="20" t="str">
        <f>+Index!J17</f>
        <v>BDG</v>
      </c>
      <c r="K17" s="38">
        <f ca="1">+Index!K17</f>
        <v>240.06887000007555</v>
      </c>
    </row>
    <row r="18" spans="2:13" ht="14.25" customHeight="1" x14ac:dyDescent="0.25">
      <c r="B18" s="20">
        <f>+Index!B18</f>
        <v>13</v>
      </c>
      <c r="C18" s="40" t="str">
        <f>+Index!C18</f>
        <v>GH Gem</v>
      </c>
      <c r="D18" s="22" t="str">
        <f>+Index!D18</f>
        <v>7 4 4.9</v>
      </c>
      <c r="E18" s="22" t="str">
        <f>+Index!E18</f>
        <v>12 2 12</v>
      </c>
      <c r="F18" s="20">
        <f>+Index!F18</f>
        <v>0</v>
      </c>
      <c r="G18" s="37">
        <f>+Index!G18</f>
        <v>13.63</v>
      </c>
      <c r="H18" s="20">
        <f>+Index!H18</f>
        <v>2457708.9499300001</v>
      </c>
      <c r="I18" s="39" t="str">
        <f>+CONCATENATE(LEFT(Index!I18,4)," ", MID(Index!I18,6,3)," ",MID(Index!I18,11,4))</f>
        <v>2016 Nov 16.4</v>
      </c>
      <c r="J18" s="20" t="str">
        <f>+Index!J18</f>
        <v>DKS</v>
      </c>
      <c r="K18" s="38">
        <f ca="1">+Index!K18</f>
        <v>10.550069999881089</v>
      </c>
    </row>
    <row r="19" spans="2:13" ht="14.25" customHeight="1" x14ac:dyDescent="0.25">
      <c r="B19" s="20">
        <f>+Index!B19</f>
        <v>14</v>
      </c>
      <c r="C19" s="40" t="str">
        <f>+Index!C19</f>
        <v>CQ Dra</v>
      </c>
      <c r="D19" s="22" t="str">
        <f>+Index!D19</f>
        <v>12 30 06</v>
      </c>
      <c r="E19" s="22" t="str">
        <f>+Index!E19</f>
        <v>69 12 04</v>
      </c>
      <c r="F19" s="20">
        <f>+Index!F19</f>
        <v>0</v>
      </c>
      <c r="G19" s="37"/>
      <c r="H19" s="20"/>
      <c r="I19" s="39" t="str">
        <f>+CONCATENATE(LEFT(Index!I19,4)," ", MID(Index!I19,6,3)," ",MID(Index!I19,11,4))</f>
        <v xml:space="preserve">  </v>
      </c>
      <c r="J19" s="20"/>
      <c r="K19" s="38"/>
    </row>
    <row r="20" spans="2:13" ht="14.25" customHeight="1" x14ac:dyDescent="0.25">
      <c r="B20" s="20">
        <f>+Index!B20</f>
        <v>15</v>
      </c>
      <c r="C20" s="40" t="str">
        <f>+Index!C20</f>
        <v>TX CVn</v>
      </c>
      <c r="D20" s="22" t="str">
        <f>+Index!D20</f>
        <v>12 44 42</v>
      </c>
      <c r="E20" s="22" t="str">
        <f>+Index!E20</f>
        <v>36 45 50.6</v>
      </c>
      <c r="F20" s="20">
        <f>+Index!F20</f>
        <v>0</v>
      </c>
      <c r="G20" s="37">
        <f>+Index!G20</f>
        <v>10.02</v>
      </c>
      <c r="H20" s="20">
        <f>+Index!H20</f>
        <v>2457718.0111099998</v>
      </c>
      <c r="I20" s="39" t="str">
        <f>+CONCATENATE(LEFT(Index!I20,4)," ", MID(Index!I20,6,3)," ",MID(Index!I20,11,4))</f>
        <v>2016 Nov 25.5</v>
      </c>
      <c r="J20" s="20" t="str">
        <f>+Index!J20</f>
        <v>JM</v>
      </c>
      <c r="K20" s="38">
        <f ca="1">+Index!K20</f>
        <v>1.4888900001533329</v>
      </c>
    </row>
    <row r="21" spans="2:13" ht="14.25" customHeight="1" x14ac:dyDescent="0.25">
      <c r="B21" s="20">
        <f>+Index!B21</f>
        <v>16</v>
      </c>
      <c r="C21" s="40" t="str">
        <f>+Index!C21</f>
        <v>IV Vir</v>
      </c>
      <c r="D21" s="22" t="str">
        <f>+Index!D21</f>
        <v>14 16 34.3</v>
      </c>
      <c r="E21" s="22" t="str">
        <f>+Index!E21</f>
        <v xml:space="preserve"> -21 45 50</v>
      </c>
      <c r="F21" s="20">
        <f>+Index!F21</f>
        <v>0</v>
      </c>
      <c r="G21" s="37"/>
      <c r="H21" s="20"/>
      <c r="I21" s="39" t="str">
        <f>+CONCATENATE(LEFT(Index!I21,4)," ", MID(Index!I21,6,3)," ",MID(Index!I21,11,4))</f>
        <v xml:space="preserve">  </v>
      </c>
      <c r="J21" s="20"/>
      <c r="K21" s="38"/>
    </row>
    <row r="22" spans="2:13" ht="14.25" customHeight="1" x14ac:dyDescent="0.25">
      <c r="B22" s="20">
        <f>+Index!B22</f>
        <v>17</v>
      </c>
      <c r="C22" s="40" t="str">
        <f>+Index!C22</f>
        <v>T CrB</v>
      </c>
      <c r="D22" s="22" t="str">
        <f>+Index!D22</f>
        <v>15 59 30.1</v>
      </c>
      <c r="E22" s="22" t="str">
        <f>+Index!E22</f>
        <v>25 55 12.6</v>
      </c>
      <c r="F22" s="20">
        <f>+Index!F22</f>
        <v>0</v>
      </c>
      <c r="G22" s="37">
        <f>+Index!G22</f>
        <v>9.66</v>
      </c>
      <c r="H22" s="20">
        <f>+Index!H22</f>
        <v>2457700.5236499999</v>
      </c>
      <c r="I22" s="39" t="str">
        <f>+CONCATENATE(LEFT(Index!I22,4)," ", MID(Index!I22,6,3)," ",MID(Index!I22,11,4))</f>
        <v>2016 Nov 08.0</v>
      </c>
      <c r="J22" s="20" t="str">
        <f>+Index!J22</f>
        <v>PVA</v>
      </c>
      <c r="K22" s="38">
        <f ca="1">+Index!K22</f>
        <v>18.97635000012815</v>
      </c>
      <c r="L22" s="2"/>
    </row>
    <row r="23" spans="2:13" ht="14.25" customHeight="1" x14ac:dyDescent="0.25">
      <c r="B23" s="20">
        <f>+Index!B23</f>
        <v>18</v>
      </c>
      <c r="C23" s="40" t="str">
        <f>+Index!C23</f>
        <v>AG Dra</v>
      </c>
      <c r="D23" s="22" t="str">
        <f>+Index!D23</f>
        <v>16 1 40.5</v>
      </c>
      <c r="E23" s="22" t="str">
        <f>+Index!E23</f>
        <v>66 48 9.5</v>
      </c>
      <c r="F23" s="20">
        <f>+Index!F23</f>
        <v>0</v>
      </c>
      <c r="G23" s="37">
        <f>+Index!G23</f>
        <v>9.73</v>
      </c>
      <c r="H23" s="20">
        <f>+Index!H23</f>
        <v>2457693.3689999999</v>
      </c>
      <c r="I23" s="39" t="str">
        <f>+CONCATENATE(LEFT(Index!I23,4)," ", MID(Index!I23,6,3)," ",MID(Index!I23,11,4))</f>
        <v>2016 Oct 31.8</v>
      </c>
      <c r="J23" s="20" t="str">
        <f>+Index!J23</f>
        <v>MEV</v>
      </c>
      <c r="K23" s="38">
        <f ca="1">+Index!K23</f>
        <v>26.131000000052154</v>
      </c>
      <c r="L23" s="2"/>
    </row>
    <row r="24" spans="2:13" ht="14.25" customHeight="1" x14ac:dyDescent="0.25">
      <c r="B24" s="20">
        <f>+Index!B24</f>
        <v>19</v>
      </c>
      <c r="C24" s="40" t="str">
        <f>+Index!C24</f>
        <v>V503 Her</v>
      </c>
      <c r="D24" s="22" t="str">
        <f>+Index!D24</f>
        <v>17 36 46</v>
      </c>
      <c r="E24" s="22" t="str">
        <f>+Index!E24</f>
        <v>23 18 18</v>
      </c>
      <c r="F24" s="20">
        <f>+Index!F24</f>
        <v>0</v>
      </c>
      <c r="G24" s="37">
        <f>+Index!G24</f>
        <v>12.55</v>
      </c>
      <c r="H24" s="20">
        <f>+Index!H24</f>
        <v>2457561.7055600001</v>
      </c>
      <c r="I24" s="39" t="str">
        <f>+CONCATENATE(LEFT(Index!I24,4)," ", MID(Index!I24,6,3)," ",MID(Index!I24,11,4))</f>
        <v>2016 Jun 22.2</v>
      </c>
      <c r="J24" s="20" t="str">
        <f>+Index!J24</f>
        <v>DKS</v>
      </c>
      <c r="K24" s="38">
        <f ca="1">+Index!K24</f>
        <v>157.79443999985233</v>
      </c>
      <c r="L24" s="2"/>
    </row>
    <row r="25" spans="2:13" ht="14.25" customHeight="1" x14ac:dyDescent="0.25">
      <c r="B25" s="20">
        <f>+Index!B25</f>
        <v>20</v>
      </c>
      <c r="C25" s="40" t="str">
        <f>+Index!C25</f>
        <v>RS Oph</v>
      </c>
      <c r="D25" s="22" t="str">
        <f>+Index!D25</f>
        <v>17 50 13.2</v>
      </c>
      <c r="E25" s="22" t="str">
        <f>+Index!E25</f>
        <v>-6 42 28.4</v>
      </c>
      <c r="F25" s="20">
        <f>+Index!F25</f>
        <v>0</v>
      </c>
      <c r="G25" s="37">
        <f>+Index!G25</f>
        <v>11.79</v>
      </c>
      <c r="H25" s="20">
        <f>+Index!H25</f>
        <v>2457672.2871300001</v>
      </c>
      <c r="I25" s="39" t="str">
        <f>+CONCATENATE(LEFT(Index!I25,4)," ", MID(Index!I25,6,3)," ",MID(Index!I25,11,4))</f>
        <v>2016 Oct 10.7</v>
      </c>
      <c r="J25" s="20" t="str">
        <f>+Index!J25</f>
        <v>RZD</v>
      </c>
      <c r="K25" s="38">
        <f ca="1">+Index!K25</f>
        <v>47.212869999930263</v>
      </c>
      <c r="L25" s="2"/>
    </row>
    <row r="26" spans="2:13" ht="14.25" customHeight="1" x14ac:dyDescent="0.25">
      <c r="B26" s="20">
        <f>+Index!B26</f>
        <v>21</v>
      </c>
      <c r="C26" s="40" t="str">
        <f>+Index!C26</f>
        <v>V934 Her</v>
      </c>
      <c r="D26" s="22" t="str">
        <f>+Index!D26</f>
        <v>17 6 34.5</v>
      </c>
      <c r="E26" s="22" t="str">
        <f>+Index!E26</f>
        <v>23 58 18.5</v>
      </c>
      <c r="F26" s="20">
        <f>+Index!F26</f>
        <v>0</v>
      </c>
      <c r="G26" s="37">
        <f>+Index!G26</f>
        <v>8.65</v>
      </c>
      <c r="H26" s="20">
        <f>+Index!H26</f>
        <v>2454102.4169999999</v>
      </c>
      <c r="I26" s="39" t="str">
        <f>+CONCATENATE(LEFT(Index!I26,4)," ", MID(Index!I26,6,3)," ",MID(Index!I26,11,4))</f>
        <v>2007 Jan 01.9</v>
      </c>
      <c r="J26" s="20" t="str">
        <f>+Index!J26</f>
        <v>GMZ</v>
      </c>
      <c r="K26" s="38">
        <f ca="1">+Index!K26</f>
        <v>3617.0830000001006</v>
      </c>
      <c r="L26" s="2"/>
    </row>
    <row r="27" spans="2:13" ht="14.25" customHeight="1" x14ac:dyDescent="0.25">
      <c r="B27" s="20">
        <f>+Index!B27</f>
        <v>22</v>
      </c>
      <c r="C27" s="40" t="str">
        <f>+Index!C27</f>
        <v>AS 270</v>
      </c>
      <c r="D27" s="22" t="str">
        <f>+Index!D27</f>
        <v>18 05 33.7</v>
      </c>
      <c r="E27" s="22" t="str">
        <f>+Index!E27</f>
        <v xml:space="preserve"> -20 20 38</v>
      </c>
      <c r="F27" s="20">
        <f>+Index!F27</f>
        <v>0</v>
      </c>
      <c r="G27" s="37">
        <f>+Index!G27</f>
        <v>13.8</v>
      </c>
      <c r="H27" s="20">
        <f>+Index!H27</f>
        <v>2457694.348431</v>
      </c>
      <c r="I27" s="39" t="str">
        <f>+CONCATENATE(LEFT(Index!I27,4)," ", MID(Index!I27,6,3)," ",MID(Index!I27,11,4))</f>
        <v>2016 Nov 01.8</v>
      </c>
      <c r="J27" s="20" t="str">
        <f>+Index!J27</f>
        <v>HKEB</v>
      </c>
      <c r="K27" s="38">
        <f ca="1">+Index!K27</f>
        <v>25.151568999979645</v>
      </c>
      <c r="L27" s="2"/>
    </row>
    <row r="28" spans="2:13" ht="14.25" customHeight="1" x14ac:dyDescent="0.25">
      <c r="B28" s="20">
        <f>+Index!B28</f>
        <v>23</v>
      </c>
      <c r="C28" s="40" t="str">
        <f>+Index!C28</f>
        <v>AS 289</v>
      </c>
      <c r="D28" s="22" t="str">
        <f>+Index!D28</f>
        <v>18 12 22</v>
      </c>
      <c r="E28" s="22" t="str">
        <f>+Index!E28</f>
        <v>-11 40 13</v>
      </c>
      <c r="F28" s="20">
        <f>+Index!F28</f>
        <v>0</v>
      </c>
      <c r="G28" s="37">
        <f>+Index!G28</f>
        <v>13.17</v>
      </c>
      <c r="H28" s="20">
        <f>+Index!H28</f>
        <v>2456355.0109999999</v>
      </c>
      <c r="I28" s="39" t="str">
        <f>+CONCATENATE(LEFT(Index!I28,4)," ", MID(Index!I28,6,3)," ",MID(Index!I28,11,4))</f>
        <v>2013 Mar 03.5</v>
      </c>
      <c r="J28" s="20" t="str">
        <f>+Index!J28</f>
        <v>OCN</v>
      </c>
      <c r="K28" s="38">
        <f ca="1">+Index!K28</f>
        <v>1364.4890000000596</v>
      </c>
      <c r="L28" s="2"/>
      <c r="M28" s="3"/>
    </row>
    <row r="29" spans="2:13" ht="14.25" customHeight="1" x14ac:dyDescent="0.25">
      <c r="B29" s="20">
        <f>+Index!B29</f>
        <v>24</v>
      </c>
      <c r="C29" s="40" t="str">
        <f>+Index!C29</f>
        <v>YY Her</v>
      </c>
      <c r="D29" s="22" t="str">
        <f>+Index!D29</f>
        <v>18 14 34.3</v>
      </c>
      <c r="E29" s="22" t="str">
        <f>+Index!E29</f>
        <v>20 59 20</v>
      </c>
      <c r="F29" s="20">
        <f>+Index!F29</f>
        <v>0</v>
      </c>
      <c r="G29" s="37">
        <f>+Index!G29</f>
        <v>12.95</v>
      </c>
      <c r="H29" s="20">
        <f>+Index!H29</f>
        <v>2457691.27</v>
      </c>
      <c r="I29" s="39" t="str">
        <f>+CONCATENATE(LEFT(Index!I29,4)," ", MID(Index!I29,6,3)," ",MID(Index!I29,11,4))</f>
        <v>2016 Oct 29.7</v>
      </c>
      <c r="J29" s="20" t="str">
        <f>+Index!J29</f>
        <v>MEV</v>
      </c>
      <c r="K29" s="38">
        <f ca="1">+Index!K29</f>
        <v>28.229999999981374</v>
      </c>
      <c r="L29" s="2"/>
    </row>
    <row r="30" spans="2:13" ht="14.25" customHeight="1" x14ac:dyDescent="0.25">
      <c r="B30" s="20">
        <f>+Index!B30</f>
        <v>25</v>
      </c>
      <c r="C30" s="40" t="str">
        <f>+Index!C30</f>
        <v>FG Ser</v>
      </c>
      <c r="D30" s="22" t="str">
        <f>+Index!D30</f>
        <v>18 15 6.2</v>
      </c>
      <c r="E30" s="22" t="str">
        <f>+Index!E30</f>
        <v>0 18 57.6</v>
      </c>
      <c r="F30" s="20">
        <f>+Index!F30</f>
        <v>0</v>
      </c>
      <c r="G30" s="37">
        <f>+Index!G30</f>
        <v>12.01</v>
      </c>
      <c r="H30" s="20">
        <f>+Index!H30</f>
        <v>2456783.43194</v>
      </c>
      <c r="I30" s="39" t="str">
        <f>+CONCATENATE(LEFT(Index!I30,4)," ", MID(Index!I30,6,3)," ",MID(Index!I30,11,4))</f>
        <v>2014 May 05.9</v>
      </c>
      <c r="J30" s="20" t="str">
        <f>+Index!J30</f>
        <v>TIA</v>
      </c>
      <c r="K30" s="38">
        <f ca="1">+Index!K30</f>
        <v>936.06805999996141</v>
      </c>
      <c r="L30" s="2"/>
    </row>
    <row r="31" spans="2:13" ht="14.25" customHeight="1" x14ac:dyDescent="0.25">
      <c r="B31" s="20">
        <f>+Index!B31</f>
        <v>26</v>
      </c>
      <c r="C31" s="40" t="str">
        <f>+Index!C31</f>
        <v>StHa 149</v>
      </c>
      <c r="D31" s="22" t="str">
        <f>+Index!D31</f>
        <v>18 18 55.9</v>
      </c>
      <c r="E31" s="22" t="str">
        <f>+Index!E31</f>
        <v>27 26 12</v>
      </c>
      <c r="F31" s="20">
        <f>+Index!F31</f>
        <v>0</v>
      </c>
      <c r="G31" s="37">
        <f>+Index!G31</f>
        <v>12.15</v>
      </c>
      <c r="H31" s="20">
        <f>+Index!H31</f>
        <v>2456844.49603</v>
      </c>
      <c r="I31" s="39" t="str">
        <f>+CONCATENATE(LEFT(Index!I31,4)," ", MID(Index!I31,6,3)," ",MID(Index!I31,11,4))</f>
        <v>2014 Jul 05.9</v>
      </c>
      <c r="J31" s="20" t="str">
        <f>+Index!J31</f>
        <v>GCO</v>
      </c>
      <c r="K31" s="38">
        <f ca="1">+Index!K31</f>
        <v>875.00396999996156</v>
      </c>
      <c r="L31" s="2"/>
    </row>
    <row r="32" spans="2:13" ht="14.25" customHeight="1" x14ac:dyDescent="0.25">
      <c r="B32" s="20">
        <f>+Index!B32</f>
        <v>27</v>
      </c>
      <c r="C32" s="40" t="str">
        <f>+Index!C32</f>
        <v>V443 Her</v>
      </c>
      <c r="D32" s="22" t="str">
        <f>+Index!D32</f>
        <v>18 22 8.4</v>
      </c>
      <c r="E32" s="22" t="str">
        <f>+Index!E32</f>
        <v>23 27 20</v>
      </c>
      <c r="F32" s="20">
        <f>+Index!F32</f>
        <v>0</v>
      </c>
      <c r="G32" s="37">
        <f>+Index!G32</f>
        <v>11.67</v>
      </c>
      <c r="H32" s="20">
        <f>+Index!H32</f>
        <v>2457329.3111</v>
      </c>
      <c r="I32" s="39" t="str">
        <f>+CONCATENATE(LEFT(Index!I32,4)," ", MID(Index!I32,6,3)," ",MID(Index!I32,11,4))</f>
        <v>2015 Nov 02.8</v>
      </c>
      <c r="J32" s="20" t="str">
        <f>+Index!J32</f>
        <v>BCP</v>
      </c>
      <c r="K32" s="38">
        <f ca="1">+Index!K32</f>
        <v>390.18889999995008</v>
      </c>
      <c r="L32" s="2"/>
    </row>
    <row r="33" spans="2:12" ht="14.25" customHeight="1" x14ac:dyDescent="0.25">
      <c r="B33" s="20">
        <f>+Index!B33</f>
        <v>28</v>
      </c>
      <c r="C33" s="40" t="str">
        <f>+Index!C33</f>
        <v>FN Sgr</v>
      </c>
      <c r="D33" s="22" t="str">
        <f>+Index!D33</f>
        <v>18 53 52.9</v>
      </c>
      <c r="E33" s="22" t="str">
        <f>+Index!E33</f>
        <v>-18 59 42</v>
      </c>
      <c r="F33" s="20">
        <f>+Index!F33</f>
        <v>0</v>
      </c>
      <c r="G33" s="37">
        <f>+Index!G33</f>
        <v>13.13</v>
      </c>
      <c r="H33" s="20">
        <f>+Index!H33</f>
        <v>2457686.9229299999</v>
      </c>
      <c r="I33" s="39" t="str">
        <f>+CONCATENATE(LEFT(Index!I33,4)," ", MID(Index!I33,6,3)," ",MID(Index!I33,11,4))</f>
        <v>2016 Oct 25.4</v>
      </c>
      <c r="J33" s="20" t="str">
        <f>+Index!J33</f>
        <v>BHQ</v>
      </c>
      <c r="K33" s="38">
        <f ca="1">+Index!K33</f>
        <v>32.577070000115782</v>
      </c>
      <c r="L33" s="2"/>
    </row>
    <row r="34" spans="2:12" ht="14.25" customHeight="1" x14ac:dyDescent="0.25">
      <c r="B34" s="20">
        <f>+Index!B34</f>
        <v>29</v>
      </c>
      <c r="C34" s="40" t="str">
        <f>+Index!C34</f>
        <v>V335 Vul</v>
      </c>
      <c r="D34" s="22" t="str">
        <f>+Index!D34</f>
        <v>19 23 14.2</v>
      </c>
      <c r="E34" s="22" t="str">
        <f>+Index!E34</f>
        <v>24 27 40.2</v>
      </c>
      <c r="F34" s="20">
        <f>+Index!F34</f>
        <v>0</v>
      </c>
      <c r="G34" s="37">
        <f>+Index!G34</f>
        <v>13.03</v>
      </c>
      <c r="H34" s="20">
        <f>+Index!H34</f>
        <v>2456861.6060000001</v>
      </c>
      <c r="I34" s="39" t="str">
        <f>+CONCATENATE(LEFT(Index!I34,4)," ", MID(Index!I34,6,3)," ",MID(Index!I34,11,4))</f>
        <v>2014 Jul 23.1</v>
      </c>
      <c r="J34" s="20" t="str">
        <f>+Index!J34</f>
        <v>OCN</v>
      </c>
      <c r="K34" s="38">
        <f ca="1">+Index!K34</f>
        <v>857.89399999985471</v>
      </c>
      <c r="L34" s="2"/>
    </row>
    <row r="35" spans="2:12" ht="14.25" customHeight="1" x14ac:dyDescent="0.25">
      <c r="B35" s="20">
        <f>+Index!B35</f>
        <v>30</v>
      </c>
      <c r="C35" s="40" t="str">
        <f>+Index!C35</f>
        <v>BF Cyg</v>
      </c>
      <c r="D35" s="22" t="str">
        <f>+Index!D35</f>
        <v>19 23 53.4</v>
      </c>
      <c r="E35" s="22" t="str">
        <f>+Index!E35</f>
        <v>29 40 25.1</v>
      </c>
      <c r="F35" s="20">
        <f>+Index!F35</f>
        <v>0</v>
      </c>
      <c r="G35" s="37">
        <f>+Index!G35</f>
        <v>10.49</v>
      </c>
      <c r="H35" s="20">
        <f>+Index!H35</f>
        <v>2457715.4705400001</v>
      </c>
      <c r="I35" s="39" t="str">
        <f>+CONCATENATE(LEFT(Index!I35,4)," ", MID(Index!I35,6,3)," ",MID(Index!I35,11,4))</f>
        <v>2016 Nov 22.9</v>
      </c>
      <c r="J35" s="20" t="str">
        <f>+Index!J35</f>
        <v>DKS</v>
      </c>
      <c r="K35" s="38">
        <f ca="1">+Index!K35</f>
        <v>4.0294599998742342</v>
      </c>
      <c r="L35" s="2"/>
    </row>
    <row r="36" spans="2:12" ht="14.25" customHeight="1" x14ac:dyDescent="0.25">
      <c r="B36" s="20">
        <f>+Index!B36</f>
        <v>31</v>
      </c>
      <c r="C36" s="40" t="str">
        <f>+Index!C36</f>
        <v>CH Cyg</v>
      </c>
      <c r="D36" s="22" t="str">
        <f>+Index!D36</f>
        <v>19 24 33</v>
      </c>
      <c r="E36" s="22" t="str">
        <f>+Index!E36</f>
        <v>50 14 29.1</v>
      </c>
      <c r="F36" s="20">
        <f>+Index!F36</f>
        <v>0</v>
      </c>
      <c r="G36" s="37">
        <f>+Index!G36</f>
        <v>8.61</v>
      </c>
      <c r="H36" s="20">
        <f>+Index!H36</f>
        <v>2457717.5985400002</v>
      </c>
      <c r="I36" s="39" t="str">
        <f>+CONCATENATE(LEFT(Index!I36,4)," ", MID(Index!I36,6,3)," ",MID(Index!I36,11,4))</f>
        <v>2016 Nov 25.0</v>
      </c>
      <c r="J36" s="20" t="str">
        <f>+Index!J36</f>
        <v>JM</v>
      </c>
      <c r="K36" s="38">
        <f ca="1">+Index!K36</f>
        <v>1.9014599998481572</v>
      </c>
      <c r="L36" s="2"/>
    </row>
    <row r="37" spans="2:12" ht="14.25" customHeight="1" x14ac:dyDescent="0.25">
      <c r="B37" s="20">
        <f>+Index!B37</f>
        <v>32</v>
      </c>
      <c r="C37" s="40" t="str">
        <f>+Index!C37</f>
        <v>V919 Sgr</v>
      </c>
      <c r="D37" s="22" t="str">
        <f>+Index!D37</f>
        <v>19 3 46</v>
      </c>
      <c r="E37" s="22" t="str">
        <f>+Index!E37</f>
        <v>-16 59 53.9</v>
      </c>
      <c r="F37" s="20">
        <f>+Index!F37</f>
        <v>0</v>
      </c>
      <c r="G37" s="37">
        <f>+Index!G37</f>
        <v>12.94</v>
      </c>
      <c r="H37" s="20">
        <f>+Index!H37</f>
        <v>2457683.5048000002</v>
      </c>
      <c r="I37" s="39" t="str">
        <f>+CONCATENATE(LEFT(Index!I37,4)," ", MID(Index!I37,6,3)," ",MID(Index!I37,11,4))</f>
        <v>2016 Oct 22.0</v>
      </c>
      <c r="J37" s="20" t="str">
        <f>+Index!J37</f>
        <v>DKS</v>
      </c>
      <c r="K37" s="38">
        <f ca="1">+Index!K37</f>
        <v>35.995199999772012</v>
      </c>
      <c r="L37" s="2"/>
    </row>
    <row r="38" spans="2:12" ht="14.25" customHeight="1" x14ac:dyDescent="0.25">
      <c r="B38" s="20">
        <f>+Index!B38</f>
        <v>33</v>
      </c>
      <c r="C38" s="40" t="str">
        <f>+Index!C38</f>
        <v>V1413 Aql</v>
      </c>
      <c r="D38" s="22" t="str">
        <f>+Index!D38</f>
        <v>19 3 51.6</v>
      </c>
      <c r="E38" s="22" t="str">
        <f>+Index!E38</f>
        <v>16 28 31.7</v>
      </c>
      <c r="F38" s="20">
        <f>+Index!F38</f>
        <v>0</v>
      </c>
      <c r="G38" s="37">
        <f>+Index!G38</f>
        <v>11.75</v>
      </c>
      <c r="H38" s="20">
        <f>+Index!H38</f>
        <v>2457538.9569999999</v>
      </c>
      <c r="I38" s="39" t="str">
        <f>+CONCATENATE(LEFT(Index!I38,4)," ", MID(Index!I38,6,3)," ",MID(Index!I38,11,4))</f>
        <v>2016 May 30.4</v>
      </c>
      <c r="J38" s="20" t="str">
        <f>+Index!J38</f>
        <v>PYG</v>
      </c>
      <c r="K38" s="38">
        <f ca="1">+Index!K38</f>
        <v>180.54300000006333</v>
      </c>
      <c r="L38" s="2"/>
    </row>
    <row r="39" spans="2:12" ht="14.25" customHeight="1" x14ac:dyDescent="0.25">
      <c r="B39" s="20">
        <f>+Index!B39</f>
        <v>34</v>
      </c>
      <c r="C39" s="40" t="str">
        <f>+Index!C39</f>
        <v>HM Sge</v>
      </c>
      <c r="D39" s="22" t="str">
        <f>+Index!D39</f>
        <v>19 41 57.1</v>
      </c>
      <c r="E39" s="22" t="str">
        <f>+Index!E39</f>
        <v>16 44 39.9</v>
      </c>
      <c r="F39" s="20">
        <f>+Index!F39</f>
        <v>0</v>
      </c>
      <c r="G39" s="37">
        <f>+Index!G39</f>
        <v>12.42</v>
      </c>
      <c r="H39" s="20">
        <f>+Index!H39</f>
        <v>2457628.2923599998</v>
      </c>
      <c r="I39" s="39" t="str">
        <f>+CONCATENATE(LEFT(Index!I39,4)," ", MID(Index!I39,6,3)," ",MID(Index!I39,11,4))</f>
        <v>2016 Aug 27.7</v>
      </c>
      <c r="J39" s="20" t="str">
        <f>+Index!J39</f>
        <v>TIA</v>
      </c>
      <c r="K39" s="38">
        <f ca="1">+Index!K39</f>
        <v>91.207640000153333</v>
      </c>
      <c r="L39" s="2"/>
    </row>
    <row r="40" spans="2:12" ht="14.25" customHeight="1" x14ac:dyDescent="0.25">
      <c r="B40" s="20">
        <f>+Index!B40</f>
        <v>35</v>
      </c>
      <c r="C40" s="40" t="str">
        <f>+Index!C40</f>
        <v>QW Sge</v>
      </c>
      <c r="D40" s="22" t="str">
        <f>+Index!D40</f>
        <v>19 45 49.6</v>
      </c>
      <c r="E40" s="22" t="str">
        <f>+Index!E40</f>
        <v>18 36 50</v>
      </c>
      <c r="F40" s="20">
        <f>+Index!F40</f>
        <v>0</v>
      </c>
      <c r="G40" s="37">
        <f>+Index!G40</f>
        <v>12.67</v>
      </c>
      <c r="H40" s="20">
        <f>+Index!H40</f>
        <v>2457693.355</v>
      </c>
      <c r="I40" s="39" t="str">
        <f>+CONCATENATE(LEFT(Index!I40,4)," ", MID(Index!I40,6,3)," ",MID(Index!I40,11,4))</f>
        <v>2016 Oct 31.8</v>
      </c>
      <c r="J40" s="20" t="str">
        <f>+Index!J40</f>
        <v>MEV</v>
      </c>
      <c r="K40" s="38">
        <f ca="1">+Index!K40</f>
        <v>26.145000000018626</v>
      </c>
      <c r="L40" s="2"/>
    </row>
    <row r="41" spans="2:12" ht="14.25" customHeight="1" x14ac:dyDescent="0.25">
      <c r="B41" s="20">
        <f>+Index!B41</f>
        <v>36</v>
      </c>
      <c r="C41" s="40" t="str">
        <f>+Index!C41</f>
        <v>CI Cyg</v>
      </c>
      <c r="D41" s="22" t="str">
        <f>+Index!D41</f>
        <v>19 50 11.8</v>
      </c>
      <c r="E41" s="22" t="str">
        <f>+Index!E41</f>
        <v>35 41 3.2</v>
      </c>
      <c r="F41" s="20">
        <f>+Index!F41</f>
        <v>0</v>
      </c>
      <c r="G41" s="37">
        <f>+Index!G41</f>
        <v>10.99</v>
      </c>
      <c r="H41" s="20">
        <f>+Index!H41</f>
        <v>2457713.4655499998</v>
      </c>
      <c r="I41" s="39" t="str">
        <f>+CONCATENATE(LEFT(Index!I41,4)," ", MID(Index!I41,6,3)," ",MID(Index!I41,11,4))</f>
        <v>2016 Nov 20.9</v>
      </c>
      <c r="J41" s="20" t="str">
        <f>+Index!J41</f>
        <v>DKS</v>
      </c>
      <c r="K41" s="38">
        <f ca="1">+Index!K41</f>
        <v>6.0344500001519918</v>
      </c>
      <c r="L41" s="2"/>
    </row>
    <row r="42" spans="2:12" ht="14.25" customHeight="1" x14ac:dyDescent="0.25">
      <c r="B42" s="20">
        <f>+Index!B42</f>
        <v>37</v>
      </c>
      <c r="C42" s="40" t="str">
        <f>+Index!C42</f>
        <v>StHA 169</v>
      </c>
      <c r="D42" s="22" t="str">
        <f>+Index!D42</f>
        <v>19 51 28.9</v>
      </c>
      <c r="E42" s="22" t="str">
        <f>+Index!E42</f>
        <v>46 23 6</v>
      </c>
      <c r="F42" s="20">
        <f>+Index!F42</f>
        <v>0</v>
      </c>
      <c r="G42" s="37">
        <f>+Index!G42</f>
        <v>13.03</v>
      </c>
      <c r="H42" s="20">
        <f>+Index!H42</f>
        <v>2457543.9547000001</v>
      </c>
      <c r="I42" s="39" t="str">
        <f>+CONCATENATE(LEFT(Index!I42,4)," ", MID(Index!I42,6,3)," ",MID(Index!I42,11,4))</f>
        <v>2016 Jun 04.4</v>
      </c>
      <c r="J42" s="20" t="str">
        <f>+Index!J42</f>
        <v>OCN</v>
      </c>
      <c r="K42" s="38">
        <f ca="1">+Index!K42</f>
        <v>175.54529999988154</v>
      </c>
      <c r="L42" s="2"/>
    </row>
    <row r="43" spans="2:12" ht="14.25" customHeight="1" x14ac:dyDescent="0.25">
      <c r="B43" s="20">
        <f>+Index!B43</f>
        <v>38</v>
      </c>
      <c r="C43" s="40" t="str">
        <f>+Index!C43</f>
        <v>V1016 Cyg</v>
      </c>
      <c r="D43" s="22" t="str">
        <f>+Index!D43</f>
        <v>19 57 4.9</v>
      </c>
      <c r="E43" s="22" t="str">
        <f>+Index!E43</f>
        <v>39 49 33.9</v>
      </c>
      <c r="F43" s="20">
        <f>+Index!F43</f>
        <v>0</v>
      </c>
      <c r="G43" s="37">
        <f>+Index!G43</f>
        <v>11.74</v>
      </c>
      <c r="H43" s="20">
        <f>+Index!H43</f>
        <v>2457561.8418200002</v>
      </c>
      <c r="I43" s="39" t="str">
        <f>+CONCATENATE(LEFT(Index!I43,4)," ", MID(Index!I43,6,3)," ",MID(Index!I43,11,4))</f>
        <v>2016 Jun 22.3</v>
      </c>
      <c r="J43" s="20" t="str">
        <f>+Index!J43</f>
        <v>MZK</v>
      </c>
      <c r="K43" s="38">
        <f ca="1">+Index!K43</f>
        <v>157.65817999979481</v>
      </c>
    </row>
    <row r="44" spans="2:12" ht="14.25" customHeight="1" x14ac:dyDescent="0.25">
      <c r="B44" s="20">
        <f>+Index!B44</f>
        <v>39</v>
      </c>
      <c r="C44" s="40" t="str">
        <f>+Index!C44</f>
        <v>PU Vul</v>
      </c>
      <c r="D44" s="22" t="str">
        <f>+Index!D44</f>
        <v>20 21 12</v>
      </c>
      <c r="E44" s="22" t="str">
        <f>+Index!E44</f>
        <v>21 34 41.9</v>
      </c>
      <c r="F44" s="20">
        <f>+Index!F44</f>
        <v>0</v>
      </c>
      <c r="G44" s="37">
        <f>+Index!G44</f>
        <v>12.56</v>
      </c>
      <c r="H44" s="20">
        <f>+Index!H44</f>
        <v>2457714.19306</v>
      </c>
      <c r="I44" s="39" t="str">
        <f>+CONCATENATE(LEFT(Index!I44,4)," ", MID(Index!I44,6,3)," ",MID(Index!I44,11,4))</f>
        <v>2016 Nov 21.6</v>
      </c>
      <c r="J44" s="20" t="str">
        <f>+Index!J44</f>
        <v>TIA</v>
      </c>
      <c r="K44" s="38">
        <f ca="1">+Index!K44</f>
        <v>5.306940000038594</v>
      </c>
      <c r="L44" s="2"/>
    </row>
    <row r="45" spans="2:12" ht="14.25" customHeight="1" x14ac:dyDescent="0.25">
      <c r="B45" s="20">
        <f>+Index!B45</f>
        <v>40</v>
      </c>
      <c r="C45" s="40" t="str">
        <f>+Index!C45</f>
        <v>LT Del</v>
      </c>
      <c r="D45" s="22" t="str">
        <f>+Index!D45</f>
        <v>20 35 57.3</v>
      </c>
      <c r="E45" s="22" t="str">
        <f>+Index!E45</f>
        <v>20 11 34</v>
      </c>
      <c r="F45" s="20">
        <f>+Index!F45</f>
        <v>0</v>
      </c>
      <c r="G45" s="37">
        <f>+Index!G45</f>
        <v>13.15</v>
      </c>
      <c r="H45" s="20">
        <f>+Index!H45</f>
        <v>2457693.398</v>
      </c>
      <c r="I45" s="39" t="str">
        <f>+CONCATENATE(LEFT(Index!I45,4)," ", MID(Index!I45,6,3)," ",MID(Index!I45,11,4))</f>
        <v>2016 Oct 31.8</v>
      </c>
      <c r="J45" s="20" t="str">
        <f>+Index!J45</f>
        <v>MEV</v>
      </c>
      <c r="K45" s="38">
        <f ca="1">+Index!K45</f>
        <v>26.101999999955297</v>
      </c>
    </row>
    <row r="46" spans="2:12" ht="14.25" customHeight="1" x14ac:dyDescent="0.25">
      <c r="B46" s="20">
        <f>+Index!B46</f>
        <v>41</v>
      </c>
      <c r="C46" s="40" t="str">
        <f>+Index!C46</f>
        <v>ER Del</v>
      </c>
      <c r="D46" s="22" t="str">
        <f>+Index!D46</f>
        <v>20 42 46.4</v>
      </c>
      <c r="E46" s="22" t="str">
        <f>+Index!E46</f>
        <v>8 40 56.4</v>
      </c>
      <c r="F46" s="20">
        <f>+Index!F46</f>
        <v>0</v>
      </c>
      <c r="G46" s="37">
        <f>+Index!G46</f>
        <v>10.25</v>
      </c>
      <c r="H46" s="20">
        <f>+Index!H46</f>
        <v>2457210.5085419999</v>
      </c>
      <c r="I46" s="39" t="str">
        <f>+CONCATENATE(LEFT(Index!I46,4)," ", MID(Index!I46,6,3)," ",MID(Index!I46,11,4))</f>
        <v>2015 Jul 07.0</v>
      </c>
      <c r="J46" s="20" t="str">
        <f>+Index!J46</f>
        <v>LCLA</v>
      </c>
      <c r="K46" s="38">
        <f ca="1">+Index!K46</f>
        <v>508.99145800014958</v>
      </c>
    </row>
    <row r="47" spans="2:12" ht="14.25" customHeight="1" x14ac:dyDescent="0.25">
      <c r="B47" s="20">
        <f>+Index!B47</f>
        <v>42</v>
      </c>
      <c r="C47" s="40" t="str">
        <f>+Index!C47</f>
        <v>V1329 Cyg</v>
      </c>
      <c r="D47" s="22" t="str">
        <f>+Index!D47</f>
        <v>20 51 1.1</v>
      </c>
      <c r="E47" s="22" t="str">
        <f>+Index!E47</f>
        <v>35 34 51.2</v>
      </c>
      <c r="F47" s="20">
        <f>+Index!F47</f>
        <v>0</v>
      </c>
      <c r="G47" s="37">
        <f>+Index!G47</f>
        <v>13.38</v>
      </c>
      <c r="H47" s="20">
        <f>+Index!H47</f>
        <v>2457615.4585799999</v>
      </c>
      <c r="I47" s="39" t="str">
        <f>+CONCATENATE(LEFT(Index!I47,4)," ", MID(Index!I47,6,3)," ",MID(Index!I47,11,4))</f>
        <v>2016 Aug 14.9</v>
      </c>
      <c r="J47" s="20" t="str">
        <f>+Index!J47</f>
        <v>BDG</v>
      </c>
      <c r="K47" s="38">
        <f ca="1">+Index!K47</f>
        <v>104.04142000013962</v>
      </c>
    </row>
    <row r="48" spans="2:12" ht="14.25" customHeight="1" x14ac:dyDescent="0.25">
      <c r="B48" s="20">
        <f>+Index!B48</f>
        <v>43</v>
      </c>
      <c r="C48" s="40" t="str">
        <f>+Index!C48</f>
        <v>V407 Cyg</v>
      </c>
      <c r="D48" s="22" t="str">
        <f>+Index!D48</f>
        <v>21 2 13</v>
      </c>
      <c r="E48" s="22" t="str">
        <f>+Index!E48</f>
        <v>45 46 30</v>
      </c>
      <c r="F48" s="20">
        <f>+Index!F48</f>
        <v>0</v>
      </c>
      <c r="G48" s="37">
        <f>+Index!G48</f>
        <v>13.63</v>
      </c>
      <c r="H48" s="20">
        <f>+Index!H48</f>
        <v>2457680.6869999999</v>
      </c>
      <c r="I48" s="39" t="str">
        <f>+CONCATENATE(LEFT(Index!I48,4)," ", MID(Index!I48,6,3)," ",MID(Index!I48,11,4))</f>
        <v>2016 Oct 19.1</v>
      </c>
      <c r="J48" s="20" t="str">
        <f>+Index!J48</f>
        <v>DKS</v>
      </c>
      <c r="K48" s="38">
        <f ca="1">+Index!K48</f>
        <v>38.813000000081956</v>
      </c>
    </row>
    <row r="49" spans="2:12" ht="14.25" customHeight="1" x14ac:dyDescent="0.25">
      <c r="B49" s="20">
        <f>+Index!B49</f>
        <v>44</v>
      </c>
      <c r="C49" s="40" t="str">
        <f>+Index!C49</f>
        <v>StHA 190</v>
      </c>
      <c r="D49" s="22" t="str">
        <f>+Index!D49</f>
        <v>21 41 44.8</v>
      </c>
      <c r="E49" s="22" t="str">
        <f>+Index!E49</f>
        <v>2 43 54.4</v>
      </c>
      <c r="F49" s="20">
        <f>+Index!F49</f>
        <v>0</v>
      </c>
      <c r="G49" s="37">
        <f>+Index!G49</f>
        <v>10.59</v>
      </c>
      <c r="H49" s="20">
        <f>+Index!H49</f>
        <v>2455855.55296</v>
      </c>
      <c r="I49" s="39" t="str">
        <f>+CONCATENATE(LEFT(Index!I49,4)," ", MID(Index!I49,6,3)," ",MID(Index!I49,11,4))</f>
        <v>2011 Oct 21.0</v>
      </c>
      <c r="J49" s="20" t="str">
        <f>+Index!J49</f>
        <v>DKS</v>
      </c>
      <c r="K49" s="38">
        <f ca="1">+Index!K49</f>
        <v>1863.9470399999991</v>
      </c>
    </row>
    <row r="50" spans="2:12" ht="14.25" customHeight="1" x14ac:dyDescent="0.25">
      <c r="B50" s="20">
        <f>+Index!B50</f>
        <v>45</v>
      </c>
      <c r="C50" s="40" t="str">
        <f>+Index!C50</f>
        <v>AG Peg</v>
      </c>
      <c r="D50" s="22" t="str">
        <f>+Index!D50</f>
        <v>21 51 1.9</v>
      </c>
      <c r="E50" s="22" t="str">
        <f>+Index!E50</f>
        <v>12 37 29.4</v>
      </c>
      <c r="F50" s="20">
        <f>+Index!F50</f>
        <v>0</v>
      </c>
      <c r="G50" s="37">
        <f>+Index!G50</f>
        <v>9</v>
      </c>
      <c r="H50" s="20">
        <f>+Index!H50</f>
        <v>2457708.6793900002</v>
      </c>
      <c r="I50" s="39" t="str">
        <f>+CONCATENATE(LEFT(Index!I50,4)," ", MID(Index!I50,6,3)," ",MID(Index!I50,11,4))</f>
        <v>2016 Nov 16.1</v>
      </c>
      <c r="J50" s="20" t="str">
        <f>+Index!J50</f>
        <v>SRIC</v>
      </c>
      <c r="K50" s="38">
        <f ca="1">+Index!K50</f>
        <v>10.82060999982059</v>
      </c>
      <c r="L50" s="2"/>
    </row>
    <row r="51" spans="2:12" ht="14.25" customHeight="1" x14ac:dyDescent="0.25">
      <c r="B51" s="20">
        <f>+Index!B51</f>
        <v>46</v>
      </c>
      <c r="C51" s="40" t="str">
        <f>+Index!C51</f>
        <v>V627 Cas</v>
      </c>
      <c r="D51" s="22" t="str">
        <f>+Index!D51</f>
        <v>22 57 41.2</v>
      </c>
      <c r="E51" s="22" t="str">
        <f>+Index!E51</f>
        <v>58 49 14.9</v>
      </c>
      <c r="F51" s="20">
        <f>+Index!F51</f>
        <v>0</v>
      </c>
      <c r="G51" s="37">
        <f>+Index!G51</f>
        <v>12.68</v>
      </c>
      <c r="H51" s="20">
        <f>+Index!H51</f>
        <v>2457698.3840899998</v>
      </c>
      <c r="I51" s="39" t="str">
        <f>+CONCATENATE(LEFT(Index!I51,4)," ", MID(Index!I51,6,3)," ",MID(Index!I51,11,4))</f>
        <v>2016 Nov 05.8</v>
      </c>
      <c r="J51" s="20" t="str">
        <f>+Index!J51</f>
        <v>BDG</v>
      </c>
      <c r="K51" s="38">
        <f ca="1">+Index!K51</f>
        <v>21.115910000167787</v>
      </c>
    </row>
    <row r="52" spans="2:12" ht="14.25" customHeight="1" x14ac:dyDescent="0.25">
      <c r="B52" s="20">
        <f>+Index!B52</f>
        <v>47</v>
      </c>
      <c r="C52" s="40" t="str">
        <f>+Index!C52</f>
        <v>Z And</v>
      </c>
      <c r="D52" s="22" t="str">
        <f>+Index!D52</f>
        <v>23 33 39.5</v>
      </c>
      <c r="E52" s="22" t="str">
        <f>+Index!E52</f>
        <v>48 49 5.4</v>
      </c>
      <c r="F52" s="20">
        <f>+Index!F52</f>
        <v>0</v>
      </c>
      <c r="G52" s="37">
        <f>+Index!G52</f>
        <v>10.09</v>
      </c>
      <c r="H52" s="20">
        <f>+Index!H52</f>
        <v>2457696.7391599999</v>
      </c>
      <c r="I52" s="39" t="str">
        <f>+CONCATENATE(LEFT(Index!I52,4)," ", MID(Index!I52,6,3)," ",MID(Index!I52,11,4))</f>
        <v>2016 Nov 04.2</v>
      </c>
      <c r="J52" s="20" t="str">
        <f>+Index!J52</f>
        <v>DKS</v>
      </c>
      <c r="K52" s="38">
        <f ca="1">+Index!K52</f>
        <v>22.76084000011906</v>
      </c>
    </row>
    <row r="53" spans="2:12" ht="14.25" customHeight="1" x14ac:dyDescent="0.25">
      <c r="B53" s="20">
        <f>+Index!B53</f>
        <v>48</v>
      </c>
      <c r="C53" s="40" t="str">
        <f>+Index!C53</f>
        <v>R Aqr</v>
      </c>
      <c r="D53" s="22" t="str">
        <f>+Index!D53</f>
        <v>23 43 49.4</v>
      </c>
      <c r="E53" s="22" t="str">
        <f>+Index!E53</f>
        <v>-15 17 4.2</v>
      </c>
      <c r="F53" s="20">
        <f>+Index!F53</f>
        <v>0</v>
      </c>
      <c r="G53" s="37">
        <f>+Index!G53</f>
        <v>11.04</v>
      </c>
      <c r="H53" s="20">
        <f>+Index!H53</f>
        <v>2457715.4416939998</v>
      </c>
      <c r="I53" s="39" t="str">
        <f>+CONCATENATE(LEFT(Index!I53,4)," ", MID(Index!I53,6,3)," ",MID(Index!I53,11,4))</f>
        <v>2016 Nov 22.9</v>
      </c>
      <c r="J53" s="20" t="str">
        <f>+Index!J53</f>
        <v>HKEB</v>
      </c>
      <c r="K53" s="38">
        <f ca="1">+Index!K53</f>
        <v>4.0583060001954436</v>
      </c>
    </row>
    <row r="54" spans="2:12" ht="14.25" customHeight="1" x14ac:dyDescent="0.25">
      <c r="B54" s="20">
        <f>+Index!B54</f>
        <v>49</v>
      </c>
      <c r="C54" s="40" t="str">
        <f>+Index!C54</f>
        <v>SU Lyn</v>
      </c>
      <c r="D54" s="22" t="str">
        <f>+Index!D54</f>
        <v>06 42 55.1</v>
      </c>
      <c r="E54" s="22" t="str">
        <f>+Index!E54</f>
        <v>+55 28 27.2</v>
      </c>
      <c r="F54" s="20">
        <f>+Index!F54</f>
        <v>0</v>
      </c>
      <c r="G54" s="37">
        <f>+Index!G54</f>
        <v>8.6199999999999992</v>
      </c>
      <c r="H54" s="20">
        <f>+Index!H54</f>
        <v>2457511.4726</v>
      </c>
      <c r="I54" s="39" t="str">
        <f>+CONCATENATE(LEFT(Index!I54,4)," ", MID(Index!I54,6,3)," ",MID(Index!I54,11,4))</f>
        <v>2016 May 02.9</v>
      </c>
      <c r="J54" s="20" t="str">
        <f>+Index!J54</f>
        <v>BDG</v>
      </c>
      <c r="K54" s="38">
        <f ca="1">+Index!K54</f>
        <v>208.02740000002086</v>
      </c>
      <c r="L54" s="2"/>
    </row>
    <row r="55" spans="2:12" ht="14.25" customHeight="1" x14ac:dyDescent="0.25">
      <c r="B55" s="35"/>
      <c r="C55" s="36"/>
      <c r="D55" s="35"/>
      <c r="E55" s="35"/>
    </row>
    <row r="56" spans="2:12" x14ac:dyDescent="0.25">
      <c r="B56" s="35"/>
      <c r="C56" s="36"/>
      <c r="D56" s="35"/>
      <c r="E56" s="35"/>
    </row>
    <row r="57" spans="2:12" x14ac:dyDescent="0.25">
      <c r="B57" s="35"/>
      <c r="C57" s="36"/>
      <c r="D57" s="35"/>
      <c r="E57" s="35"/>
    </row>
    <row r="58" spans="2:12" x14ac:dyDescent="0.25">
      <c r="B58" s="35"/>
      <c r="C58" s="36"/>
      <c r="D58" s="35"/>
      <c r="E58" s="35"/>
    </row>
  </sheetData>
  <mergeCells count="1">
    <mergeCell ref="J2:K2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R617"/>
  <sheetViews>
    <sheetView workbookViewId="0">
      <selection activeCell="E7" sqref="E7"/>
    </sheetView>
  </sheetViews>
  <sheetFormatPr baseColWidth="10" defaultRowHeight="15" x14ac:dyDescent="0.25"/>
  <cols>
    <col min="1" max="1" width="18.85546875" bestFit="1" customWidth="1"/>
    <col min="2" max="2" width="19.28515625" bestFit="1" customWidth="1"/>
    <col min="3" max="3" width="12.28515625" bestFit="1" customWidth="1"/>
    <col min="4" max="5" width="15.5703125" bestFit="1" customWidth="1"/>
    <col min="6" max="6" width="81.140625" bestFit="1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  <col min="14" max="14" width="7" bestFit="1" customWidth="1"/>
    <col min="15" max="15" width="5.5703125" bestFit="1" customWidth="1"/>
    <col min="16" max="16" width="6" bestFit="1" customWidth="1"/>
    <col min="17" max="17" width="5.5703125" bestFit="1" customWidth="1"/>
  </cols>
  <sheetData>
    <row r="1" spans="1:18" ht="15.75" x14ac:dyDescent="0.25">
      <c r="A1" t="s">
        <v>0</v>
      </c>
      <c r="L1" s="1" t="s">
        <v>1708</v>
      </c>
    </row>
    <row r="3" spans="1:18" x14ac:dyDescent="0.25">
      <c r="A3" t="s">
        <v>1</v>
      </c>
    </row>
    <row r="4" spans="1:18" x14ac:dyDescent="0.25">
      <c r="A4" t="s">
        <v>2</v>
      </c>
    </row>
    <row r="5" spans="1:18" x14ac:dyDescent="0.25">
      <c r="A5" t="s">
        <v>3</v>
      </c>
    </row>
    <row r="6" spans="1:18" x14ac:dyDescent="0.25">
      <c r="A6" t="s">
        <v>4</v>
      </c>
    </row>
    <row r="7" spans="1:18" x14ac:dyDescent="0.25">
      <c r="L7">
        <v>12</v>
      </c>
      <c r="M7">
        <v>13</v>
      </c>
      <c r="N7">
        <v>14</v>
      </c>
      <c r="O7">
        <v>15</v>
      </c>
      <c r="P7">
        <v>16</v>
      </c>
      <c r="Q7">
        <v>17</v>
      </c>
      <c r="R7">
        <v>18</v>
      </c>
    </row>
    <row r="8" spans="1:18" x14ac:dyDescent="0.25">
      <c r="A8" t="s">
        <v>5</v>
      </c>
    </row>
    <row r="10" spans="1:18" x14ac:dyDescent="0.25">
      <c r="A10" t="s">
        <v>2489</v>
      </c>
    </row>
    <row r="12" spans="1:18" x14ac:dyDescent="0.25">
      <c r="A12" t="s">
        <v>6</v>
      </c>
    </row>
    <row r="13" spans="1:18" x14ac:dyDescent="0.25">
      <c r="A13" t="s">
        <v>7</v>
      </c>
    </row>
    <row r="14" spans="1:18" x14ac:dyDescent="0.25">
      <c r="A14" t="s">
        <v>8</v>
      </c>
    </row>
    <row r="16" spans="1:18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16</v>
      </c>
      <c r="E17">
        <v>2457693.3689999999</v>
      </c>
      <c r="F17" t="s">
        <v>2490</v>
      </c>
      <c r="G17">
        <v>9.73</v>
      </c>
      <c r="H17">
        <v>0.05</v>
      </c>
      <c r="I17" t="s">
        <v>65</v>
      </c>
      <c r="J17" t="s">
        <v>66</v>
      </c>
      <c r="K17" t="s">
        <v>20</v>
      </c>
      <c r="M17" t="str">
        <f>+I17</f>
        <v>TG</v>
      </c>
      <c r="N17">
        <f>+G17</f>
        <v>9.73</v>
      </c>
      <c r="O17" t="str">
        <f>+J17</f>
        <v>MEV</v>
      </c>
      <c r="P17">
        <f>+E17</f>
        <v>2457693.3689999999</v>
      </c>
      <c r="Q17" t="str">
        <f>+F17</f>
        <v>2016 Oct. 31.86900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TG</v>
      </c>
      <c r="N18">
        <f>+G20</f>
        <v>9.76</v>
      </c>
      <c r="O18" t="str">
        <f>+J20</f>
        <v>MEV</v>
      </c>
      <c r="P18">
        <f>+E20</f>
        <v>2457691.307</v>
      </c>
      <c r="Q18" t="str">
        <f>+F20</f>
        <v>2016 Oct. 29.80700</v>
      </c>
    </row>
    <row r="19" spans="1:17" x14ac:dyDescent="0.25">
      <c r="A19" t="s">
        <v>27</v>
      </c>
      <c r="B19" t="s">
        <v>31</v>
      </c>
      <c r="C19" t="s">
        <v>67</v>
      </c>
      <c r="D19" t="s">
        <v>68</v>
      </c>
      <c r="E19" t="s">
        <v>31</v>
      </c>
      <c r="F19" t="s">
        <v>69</v>
      </c>
      <c r="M19" t="str">
        <f>+I23</f>
        <v>TG</v>
      </c>
      <c r="N19">
        <f>+G23</f>
        <v>9.76</v>
      </c>
      <c r="O19" t="str">
        <f>+J23</f>
        <v>MEV</v>
      </c>
      <c r="P19">
        <f>+E23</f>
        <v>2457690.3080000002</v>
      </c>
      <c r="Q19" t="str">
        <f>+F23</f>
        <v>2016 Oct. 28.80800</v>
      </c>
    </row>
    <row r="20" spans="1:17" x14ac:dyDescent="0.25">
      <c r="D20" t="s">
        <v>16</v>
      </c>
      <c r="E20">
        <v>2457691.307</v>
      </c>
      <c r="F20" t="s">
        <v>2491</v>
      </c>
      <c r="G20">
        <v>9.76</v>
      </c>
      <c r="H20">
        <v>0.05</v>
      </c>
      <c r="I20" t="s">
        <v>65</v>
      </c>
      <c r="J20" t="s">
        <v>66</v>
      </c>
      <c r="K20" t="s">
        <v>20</v>
      </c>
      <c r="M20" t="str">
        <f>+I26</f>
        <v>TG</v>
      </c>
      <c r="N20">
        <f>+G26</f>
        <v>9.74</v>
      </c>
      <c r="O20" t="str">
        <f>+J26</f>
        <v>MEV</v>
      </c>
      <c r="P20">
        <f>+E26</f>
        <v>2457683.3319999999</v>
      </c>
      <c r="Q20" t="str">
        <f>+F26</f>
        <v>2016 Oct. 21.83200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9.6910000000000007</v>
      </c>
      <c r="O21" t="str">
        <f>+J29</f>
        <v>BDG</v>
      </c>
      <c r="P21">
        <f>+E29</f>
        <v>2457645.44294</v>
      </c>
      <c r="Q21" t="str">
        <f>+F29</f>
        <v>2016 Sep. 13.94294</v>
      </c>
    </row>
    <row r="22" spans="1:17" x14ac:dyDescent="0.25">
      <c r="A22" t="s">
        <v>27</v>
      </c>
      <c r="B22" t="s">
        <v>31</v>
      </c>
      <c r="C22" t="s">
        <v>67</v>
      </c>
      <c r="D22" t="s">
        <v>68</v>
      </c>
      <c r="E22" t="s">
        <v>31</v>
      </c>
      <c r="F22" t="s">
        <v>69</v>
      </c>
      <c r="M22" t="str">
        <f>+I32</f>
        <v>B</v>
      </c>
      <c r="N22">
        <f>+G32</f>
        <v>11</v>
      </c>
      <c r="O22" t="str">
        <f>+J32</f>
        <v>BDG</v>
      </c>
      <c r="P22">
        <f>+E32</f>
        <v>2457645.4428300001</v>
      </c>
      <c r="Q22" t="str">
        <f>+F32</f>
        <v>2016 Sep. 13.94283</v>
      </c>
    </row>
    <row r="23" spans="1:17" x14ac:dyDescent="0.25">
      <c r="D23" t="s">
        <v>16</v>
      </c>
      <c r="E23">
        <v>2457690.3080000002</v>
      </c>
      <c r="F23" t="s">
        <v>2492</v>
      </c>
      <c r="G23">
        <v>9.76</v>
      </c>
      <c r="H23">
        <v>0.05</v>
      </c>
      <c r="I23" t="s">
        <v>65</v>
      </c>
      <c r="J23" t="s">
        <v>66</v>
      </c>
      <c r="K23" t="s">
        <v>20</v>
      </c>
      <c r="M23" t="str">
        <f>+I35</f>
        <v>TG</v>
      </c>
      <c r="N23">
        <f>+G35</f>
        <v>9.7200000000000006</v>
      </c>
      <c r="O23" t="str">
        <f>+J35</f>
        <v>MEV</v>
      </c>
      <c r="P23">
        <f>+E35</f>
        <v>2457641.3820000002</v>
      </c>
      <c r="Q23" t="str">
        <f>+F35</f>
        <v>2016 Sep. 09.88200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TG</v>
      </c>
      <c r="N24">
        <f>+G38</f>
        <v>9.76</v>
      </c>
      <c r="O24" t="str">
        <f>+J38</f>
        <v>MEV</v>
      </c>
      <c r="P24">
        <f>+E38</f>
        <v>2457640.3870000001</v>
      </c>
      <c r="Q24" t="str">
        <f>+F38</f>
        <v>2016 Sep. 08.88700</v>
      </c>
    </row>
    <row r="25" spans="1:17" x14ac:dyDescent="0.25">
      <c r="A25" t="s">
        <v>27</v>
      </c>
      <c r="B25" t="s">
        <v>31</v>
      </c>
      <c r="C25" t="s">
        <v>67</v>
      </c>
      <c r="D25" t="s">
        <v>68</v>
      </c>
      <c r="E25" t="s">
        <v>31</v>
      </c>
      <c r="F25" t="s">
        <v>69</v>
      </c>
      <c r="M25" t="str">
        <f>+I41</f>
        <v>TG</v>
      </c>
      <c r="N25">
        <f>+G41</f>
        <v>9.77</v>
      </c>
      <c r="O25" t="str">
        <f>+J41</f>
        <v>MEV</v>
      </c>
      <c r="P25">
        <f>+E41</f>
        <v>2457639.4180000001</v>
      </c>
      <c r="Q25" t="str">
        <f>+F41</f>
        <v>2016 Sep. 07.91800</v>
      </c>
    </row>
    <row r="26" spans="1:17" x14ac:dyDescent="0.25">
      <c r="D26" t="s">
        <v>16</v>
      </c>
      <c r="E26">
        <v>2457683.3319999999</v>
      </c>
      <c r="F26" t="s">
        <v>2493</v>
      </c>
      <c r="G26">
        <v>9.74</v>
      </c>
      <c r="H26">
        <v>0.05</v>
      </c>
      <c r="I26" t="s">
        <v>65</v>
      </c>
      <c r="J26" t="s">
        <v>66</v>
      </c>
      <c r="K26" t="s">
        <v>20</v>
      </c>
      <c r="M26" t="str">
        <f>+I44</f>
        <v>TG</v>
      </c>
      <c r="N26">
        <f>+G44</f>
        <v>9.7200000000000006</v>
      </c>
      <c r="O26" t="str">
        <f>+J44</f>
        <v>MEV</v>
      </c>
      <c r="P26">
        <f>+E44</f>
        <v>2457634.395</v>
      </c>
      <c r="Q26" t="str">
        <f>+F44</f>
        <v>2016 Sep. 02.89500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27</v>
      </c>
      <c r="B28" t="s">
        <v>31</v>
      </c>
      <c r="C28" t="s">
        <v>67</v>
      </c>
      <c r="D28" t="s">
        <v>68</v>
      </c>
      <c r="E28" t="s">
        <v>31</v>
      </c>
      <c r="F28" t="s">
        <v>69</v>
      </c>
    </row>
    <row r="29" spans="1:17" x14ac:dyDescent="0.25">
      <c r="D29" t="s">
        <v>16</v>
      </c>
      <c r="E29">
        <v>2457645.44294</v>
      </c>
      <c r="F29" t="s">
        <v>2205</v>
      </c>
      <c r="G29">
        <v>9.6910000000000007</v>
      </c>
      <c r="H29">
        <v>1.7999999999999999E-2</v>
      </c>
      <c r="I29" t="s">
        <v>18</v>
      </c>
      <c r="J29" t="s">
        <v>19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27</v>
      </c>
      <c r="B31" t="s">
        <v>2206</v>
      </c>
      <c r="C31" t="s">
        <v>29</v>
      </c>
      <c r="D31" t="s">
        <v>30</v>
      </c>
      <c r="E31" t="s">
        <v>31</v>
      </c>
      <c r="F31" t="s">
        <v>32</v>
      </c>
    </row>
    <row r="32" spans="1:17" x14ac:dyDescent="0.25">
      <c r="D32" t="s">
        <v>16</v>
      </c>
      <c r="E32">
        <v>2457645.4428300001</v>
      </c>
      <c r="F32" t="s">
        <v>2207</v>
      </c>
      <c r="G32">
        <v>11</v>
      </c>
      <c r="H32">
        <v>1.7999999999999999E-2</v>
      </c>
      <c r="I32" t="s">
        <v>34</v>
      </c>
      <c r="J32" t="s">
        <v>19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27</v>
      </c>
      <c r="B34" t="s">
        <v>2208</v>
      </c>
      <c r="C34" t="s">
        <v>29</v>
      </c>
      <c r="D34" t="s">
        <v>30</v>
      </c>
      <c r="E34" t="s">
        <v>31</v>
      </c>
      <c r="F34" t="s">
        <v>32</v>
      </c>
    </row>
    <row r="35" spans="1:11" x14ac:dyDescent="0.25">
      <c r="D35" t="s">
        <v>16</v>
      </c>
      <c r="E35">
        <v>2457641.3820000002</v>
      </c>
      <c r="F35" t="s">
        <v>2032</v>
      </c>
      <c r="G35">
        <v>9.7200000000000006</v>
      </c>
      <c r="H35">
        <v>0.05</v>
      </c>
      <c r="I35" t="s">
        <v>65</v>
      </c>
      <c r="J35" t="s">
        <v>66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27</v>
      </c>
      <c r="B37" t="s">
        <v>31</v>
      </c>
      <c r="C37" t="s">
        <v>67</v>
      </c>
      <c r="D37" t="s">
        <v>68</v>
      </c>
      <c r="E37" t="s">
        <v>31</v>
      </c>
      <c r="F37" t="s">
        <v>69</v>
      </c>
    </row>
    <row r="38" spans="1:11" x14ac:dyDescent="0.25">
      <c r="D38" t="s">
        <v>16</v>
      </c>
      <c r="E38">
        <v>2457640.3870000001</v>
      </c>
      <c r="F38" t="s">
        <v>2033</v>
      </c>
      <c r="G38">
        <v>9.76</v>
      </c>
      <c r="H38">
        <v>0.05</v>
      </c>
      <c r="I38" t="s">
        <v>65</v>
      </c>
      <c r="J38" t="s">
        <v>66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27</v>
      </c>
      <c r="B40" t="s">
        <v>31</v>
      </c>
      <c r="C40" t="s">
        <v>67</v>
      </c>
      <c r="D40" t="s">
        <v>68</v>
      </c>
      <c r="E40" t="s">
        <v>31</v>
      </c>
      <c r="F40" t="s">
        <v>69</v>
      </c>
    </row>
    <row r="41" spans="1:11" x14ac:dyDescent="0.25">
      <c r="D41" t="s">
        <v>16</v>
      </c>
      <c r="E41">
        <v>2457639.4180000001</v>
      </c>
      <c r="F41" t="s">
        <v>2034</v>
      </c>
      <c r="G41">
        <v>9.77</v>
      </c>
      <c r="H41">
        <v>0.05</v>
      </c>
      <c r="I41" t="s">
        <v>65</v>
      </c>
      <c r="J41" t="s">
        <v>66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27</v>
      </c>
      <c r="B43" t="s">
        <v>31</v>
      </c>
      <c r="C43" t="s">
        <v>67</v>
      </c>
      <c r="D43" t="s">
        <v>68</v>
      </c>
      <c r="E43" t="s">
        <v>31</v>
      </c>
      <c r="F43" t="s">
        <v>69</v>
      </c>
    </row>
    <row r="44" spans="1:11" x14ac:dyDescent="0.25">
      <c r="D44" t="s">
        <v>16</v>
      </c>
      <c r="E44">
        <v>2457634.395</v>
      </c>
      <c r="F44" t="s">
        <v>2035</v>
      </c>
      <c r="G44">
        <v>9.7200000000000006</v>
      </c>
      <c r="H44">
        <v>0.05</v>
      </c>
      <c r="I44" t="s">
        <v>65</v>
      </c>
      <c r="J44" t="s">
        <v>66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27</v>
      </c>
      <c r="B46" t="s">
        <v>31</v>
      </c>
      <c r="C46" t="s">
        <v>67</v>
      </c>
      <c r="D46" t="s">
        <v>68</v>
      </c>
      <c r="E46" t="s">
        <v>31</v>
      </c>
      <c r="F46" t="s">
        <v>69</v>
      </c>
    </row>
    <row r="47" spans="1:11" x14ac:dyDescent="0.25">
      <c r="D47" t="s">
        <v>16</v>
      </c>
      <c r="E47">
        <v>2457629.432</v>
      </c>
      <c r="F47" t="s">
        <v>2036</v>
      </c>
      <c r="G47">
        <v>9.76</v>
      </c>
      <c r="H47">
        <v>0.05</v>
      </c>
      <c r="I47" t="s">
        <v>65</v>
      </c>
      <c r="J47" t="s">
        <v>66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27</v>
      </c>
      <c r="B49" t="s">
        <v>31</v>
      </c>
      <c r="C49" t="s">
        <v>67</v>
      </c>
      <c r="D49" t="s">
        <v>68</v>
      </c>
      <c r="E49" t="s">
        <v>31</v>
      </c>
      <c r="F49" t="s">
        <v>69</v>
      </c>
    </row>
    <row r="50" spans="1:11" x14ac:dyDescent="0.25">
      <c r="D50" t="s">
        <v>16</v>
      </c>
      <c r="E50">
        <v>2457625.4010000001</v>
      </c>
      <c r="F50" t="s">
        <v>2037</v>
      </c>
      <c r="G50">
        <v>9.76</v>
      </c>
      <c r="H50">
        <v>0.05</v>
      </c>
      <c r="I50" t="s">
        <v>65</v>
      </c>
      <c r="J50" t="s">
        <v>66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27</v>
      </c>
      <c r="B52" t="s">
        <v>31</v>
      </c>
      <c r="C52" t="s">
        <v>67</v>
      </c>
      <c r="D52" t="s">
        <v>68</v>
      </c>
      <c r="E52" t="s">
        <v>31</v>
      </c>
      <c r="F52" t="s">
        <v>69</v>
      </c>
    </row>
    <row r="53" spans="1:11" x14ac:dyDescent="0.25">
      <c r="D53" t="s">
        <v>16</v>
      </c>
      <c r="E53">
        <v>2457624.4299499998</v>
      </c>
      <c r="F53" t="s">
        <v>2038</v>
      </c>
      <c r="G53">
        <v>9.6980000000000004</v>
      </c>
      <c r="H53">
        <v>8.0000000000000002E-3</v>
      </c>
      <c r="I53" t="s">
        <v>18</v>
      </c>
      <c r="J53" t="s">
        <v>19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27</v>
      </c>
      <c r="B55" t="s">
        <v>2039</v>
      </c>
      <c r="C55" t="s">
        <v>29</v>
      </c>
      <c r="D55" t="s">
        <v>30</v>
      </c>
      <c r="E55" t="s">
        <v>31</v>
      </c>
      <c r="F55" t="s">
        <v>32</v>
      </c>
    </row>
    <row r="56" spans="1:11" x14ac:dyDescent="0.25">
      <c r="D56" t="s">
        <v>16</v>
      </c>
      <c r="E56">
        <v>2457624.42985</v>
      </c>
      <c r="F56" t="s">
        <v>2040</v>
      </c>
      <c r="G56">
        <v>11.005000000000001</v>
      </c>
      <c r="H56">
        <v>1.2999999999999999E-2</v>
      </c>
      <c r="I56" t="s">
        <v>34</v>
      </c>
      <c r="J56" t="s">
        <v>19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27</v>
      </c>
      <c r="B58" t="s">
        <v>2041</v>
      </c>
      <c r="C58" t="s">
        <v>29</v>
      </c>
      <c r="D58" t="s">
        <v>30</v>
      </c>
      <c r="E58" t="s">
        <v>31</v>
      </c>
      <c r="F58" t="s">
        <v>32</v>
      </c>
    </row>
    <row r="59" spans="1:11" x14ac:dyDescent="0.25">
      <c r="D59" t="s">
        <v>16</v>
      </c>
      <c r="E59">
        <v>2457624.3730000001</v>
      </c>
      <c r="F59" t="s">
        <v>2042</v>
      </c>
      <c r="G59">
        <v>9.74</v>
      </c>
      <c r="H59">
        <v>0.05</v>
      </c>
      <c r="I59" t="s">
        <v>65</v>
      </c>
      <c r="J59" t="s">
        <v>66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27</v>
      </c>
      <c r="B61" t="s">
        <v>31</v>
      </c>
      <c r="C61" t="s">
        <v>67</v>
      </c>
      <c r="D61" t="s">
        <v>68</v>
      </c>
      <c r="E61" t="s">
        <v>31</v>
      </c>
      <c r="F61" t="s">
        <v>69</v>
      </c>
    </row>
    <row r="62" spans="1:11" x14ac:dyDescent="0.25">
      <c r="D62" t="s">
        <v>16</v>
      </c>
      <c r="E62">
        <v>2457623.4964299998</v>
      </c>
      <c r="F62" t="s">
        <v>2043</v>
      </c>
      <c r="G62">
        <v>9.6969999999999992</v>
      </c>
      <c r="H62">
        <v>8.0000000000000002E-3</v>
      </c>
      <c r="I62" t="s">
        <v>18</v>
      </c>
      <c r="J62" t="s">
        <v>19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27</v>
      </c>
      <c r="B64" t="s">
        <v>2044</v>
      </c>
      <c r="C64" t="s">
        <v>29</v>
      </c>
      <c r="D64" t="s">
        <v>30</v>
      </c>
      <c r="E64" t="s">
        <v>31</v>
      </c>
      <c r="F64" t="s">
        <v>32</v>
      </c>
    </row>
    <row r="65" spans="1:11" x14ac:dyDescent="0.25">
      <c r="D65" t="s">
        <v>16</v>
      </c>
      <c r="E65">
        <v>2457623.4963000002</v>
      </c>
      <c r="F65" t="s">
        <v>2045</v>
      </c>
      <c r="G65">
        <v>11.016</v>
      </c>
      <c r="H65">
        <v>1.4999999999999999E-2</v>
      </c>
      <c r="I65" t="s">
        <v>34</v>
      </c>
      <c r="J65" t="s">
        <v>19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27</v>
      </c>
      <c r="B67" t="s">
        <v>2046</v>
      </c>
      <c r="C67" t="s">
        <v>29</v>
      </c>
      <c r="D67" t="s">
        <v>30</v>
      </c>
      <c r="E67" t="s">
        <v>31</v>
      </c>
      <c r="F67" t="s">
        <v>32</v>
      </c>
    </row>
    <row r="68" spans="1:11" x14ac:dyDescent="0.25">
      <c r="D68" t="s">
        <v>16</v>
      </c>
      <c r="E68">
        <v>2457623.4029999999</v>
      </c>
      <c r="F68" t="s">
        <v>1898</v>
      </c>
      <c r="G68">
        <v>9.77</v>
      </c>
      <c r="H68">
        <v>0.05</v>
      </c>
      <c r="I68" t="s">
        <v>65</v>
      </c>
      <c r="J68" t="s">
        <v>66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31</v>
      </c>
      <c r="C70" t="s">
        <v>67</v>
      </c>
      <c r="D70" t="s">
        <v>68</v>
      </c>
      <c r="E70" t="s">
        <v>31</v>
      </c>
      <c r="F70" t="s">
        <v>69</v>
      </c>
    </row>
    <row r="71" spans="1:11" x14ac:dyDescent="0.25">
      <c r="D71" t="s">
        <v>16</v>
      </c>
      <c r="E71">
        <v>2457614.5219999999</v>
      </c>
      <c r="F71" t="s">
        <v>1893</v>
      </c>
      <c r="G71">
        <v>9.75</v>
      </c>
      <c r="H71">
        <v>0.05</v>
      </c>
      <c r="I71" t="s">
        <v>65</v>
      </c>
      <c r="J71" t="s">
        <v>66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27</v>
      </c>
      <c r="B73" t="s">
        <v>31</v>
      </c>
      <c r="C73" t="s">
        <v>67</v>
      </c>
      <c r="D73" t="s">
        <v>68</v>
      </c>
      <c r="E73" t="s">
        <v>31</v>
      </c>
      <c r="F73" t="s">
        <v>69</v>
      </c>
    </row>
    <row r="74" spans="1:11" x14ac:dyDescent="0.25">
      <c r="D74" t="s">
        <v>16</v>
      </c>
      <c r="E74">
        <v>2457613.3810000001</v>
      </c>
      <c r="F74" t="s">
        <v>1894</v>
      </c>
      <c r="G74">
        <v>9.77</v>
      </c>
      <c r="H74">
        <v>0.05</v>
      </c>
      <c r="I74" t="s">
        <v>65</v>
      </c>
      <c r="J74" t="s">
        <v>66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27</v>
      </c>
      <c r="B76" t="s">
        <v>31</v>
      </c>
      <c r="C76" t="s">
        <v>67</v>
      </c>
      <c r="D76" t="s">
        <v>68</v>
      </c>
      <c r="E76" t="s">
        <v>31</v>
      </c>
      <c r="F76" t="s">
        <v>69</v>
      </c>
    </row>
    <row r="77" spans="1:11" x14ac:dyDescent="0.25">
      <c r="D77" t="s">
        <v>16</v>
      </c>
      <c r="E77">
        <v>2457612.4130000002</v>
      </c>
      <c r="F77" t="s">
        <v>1734</v>
      </c>
      <c r="G77">
        <v>9.7799999999999994</v>
      </c>
      <c r="H77">
        <v>0.05</v>
      </c>
      <c r="I77" t="s">
        <v>65</v>
      </c>
      <c r="J77" t="s">
        <v>66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27</v>
      </c>
      <c r="B79" t="s">
        <v>31</v>
      </c>
      <c r="C79" t="s">
        <v>67</v>
      </c>
      <c r="D79" t="s">
        <v>68</v>
      </c>
      <c r="E79" t="s">
        <v>31</v>
      </c>
      <c r="F79" t="s">
        <v>69</v>
      </c>
    </row>
    <row r="80" spans="1:11" x14ac:dyDescent="0.25">
      <c r="D80" t="s">
        <v>16</v>
      </c>
      <c r="E80">
        <v>2457608.4019999998</v>
      </c>
      <c r="F80" t="s">
        <v>1735</v>
      </c>
      <c r="G80">
        <v>9.76</v>
      </c>
      <c r="H80">
        <v>0.05</v>
      </c>
      <c r="I80" t="s">
        <v>65</v>
      </c>
      <c r="J80" t="s">
        <v>66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27</v>
      </c>
      <c r="B82" t="s">
        <v>31</v>
      </c>
      <c r="C82" t="s">
        <v>67</v>
      </c>
      <c r="D82" t="s">
        <v>68</v>
      </c>
      <c r="E82" t="s">
        <v>31</v>
      </c>
      <c r="F82" t="s">
        <v>69</v>
      </c>
    </row>
    <row r="83" spans="1:11" x14ac:dyDescent="0.25">
      <c r="D83" t="s">
        <v>16</v>
      </c>
      <c r="E83">
        <v>2457604.5219999999</v>
      </c>
      <c r="F83" t="s">
        <v>1736</v>
      </c>
      <c r="G83">
        <v>9.77</v>
      </c>
      <c r="H83">
        <v>0.05</v>
      </c>
      <c r="I83" t="s">
        <v>65</v>
      </c>
      <c r="J83" t="s">
        <v>66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27</v>
      </c>
      <c r="B85" t="s">
        <v>31</v>
      </c>
      <c r="C85" t="s">
        <v>67</v>
      </c>
      <c r="D85" t="s">
        <v>68</v>
      </c>
      <c r="E85" t="s">
        <v>31</v>
      </c>
      <c r="F85" t="s">
        <v>69</v>
      </c>
    </row>
    <row r="86" spans="1:11" x14ac:dyDescent="0.25">
      <c r="D86" t="s">
        <v>16</v>
      </c>
      <c r="E86">
        <v>2457599.466</v>
      </c>
      <c r="F86" t="s">
        <v>1737</v>
      </c>
      <c r="G86">
        <v>9.77</v>
      </c>
      <c r="H86">
        <v>0.05</v>
      </c>
      <c r="I86" t="s">
        <v>65</v>
      </c>
      <c r="J86" t="s">
        <v>66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27</v>
      </c>
      <c r="B88" t="s">
        <v>31</v>
      </c>
      <c r="C88" t="s">
        <v>67</v>
      </c>
      <c r="D88" t="s">
        <v>68</v>
      </c>
      <c r="E88" t="s">
        <v>31</v>
      </c>
      <c r="F88" t="s">
        <v>69</v>
      </c>
    </row>
    <row r="89" spans="1:11" x14ac:dyDescent="0.25">
      <c r="D89" t="s">
        <v>16</v>
      </c>
      <c r="E89">
        <v>2457598.4509999999</v>
      </c>
      <c r="F89" t="s">
        <v>1738</v>
      </c>
      <c r="G89">
        <v>9.73</v>
      </c>
      <c r="H89">
        <v>0.05</v>
      </c>
      <c r="I89" t="s">
        <v>65</v>
      </c>
      <c r="J89" t="s">
        <v>66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27</v>
      </c>
      <c r="B91" t="s">
        <v>31</v>
      </c>
      <c r="C91" t="s">
        <v>67</v>
      </c>
      <c r="D91" t="s">
        <v>68</v>
      </c>
      <c r="E91" t="s">
        <v>31</v>
      </c>
      <c r="F91" t="s">
        <v>69</v>
      </c>
    </row>
    <row r="92" spans="1:11" x14ac:dyDescent="0.25">
      <c r="D92" t="s">
        <v>16</v>
      </c>
      <c r="E92">
        <v>2457597.517</v>
      </c>
      <c r="F92" t="s">
        <v>1739</v>
      </c>
      <c r="G92">
        <v>9.75</v>
      </c>
      <c r="H92">
        <v>0.05</v>
      </c>
      <c r="I92" t="s">
        <v>65</v>
      </c>
      <c r="J92" t="s">
        <v>66</v>
      </c>
      <c r="K92" t="s">
        <v>20</v>
      </c>
    </row>
    <row r="93" spans="1:11" x14ac:dyDescent="0.25">
      <c r="A93" t="s">
        <v>21</v>
      </c>
      <c r="B93" t="s">
        <v>22</v>
      </c>
      <c r="C93" t="s">
        <v>23</v>
      </c>
      <c r="D93" t="s">
        <v>24</v>
      </c>
      <c r="E93" t="s">
        <v>25</v>
      </c>
      <c r="F93" t="s">
        <v>26</v>
      </c>
    </row>
    <row r="94" spans="1:11" x14ac:dyDescent="0.25">
      <c r="A94" t="s">
        <v>27</v>
      </c>
      <c r="B94" t="s">
        <v>31</v>
      </c>
      <c r="C94" t="s">
        <v>67</v>
      </c>
      <c r="D94" t="s">
        <v>68</v>
      </c>
      <c r="E94" t="s">
        <v>31</v>
      </c>
      <c r="F94" t="s">
        <v>69</v>
      </c>
    </row>
    <row r="95" spans="1:11" x14ac:dyDescent="0.25">
      <c r="D95" t="s">
        <v>16</v>
      </c>
      <c r="E95">
        <v>2457595.4380000001</v>
      </c>
      <c r="F95" t="s">
        <v>1740</v>
      </c>
      <c r="G95">
        <v>9.74</v>
      </c>
      <c r="H95">
        <v>0.05</v>
      </c>
      <c r="I95" t="s">
        <v>65</v>
      </c>
      <c r="J95" t="s">
        <v>66</v>
      </c>
      <c r="K95" t="s">
        <v>20</v>
      </c>
    </row>
    <row r="96" spans="1:11" x14ac:dyDescent="0.25">
      <c r="A96" t="s">
        <v>21</v>
      </c>
      <c r="B96" t="s">
        <v>22</v>
      </c>
      <c r="C96" t="s">
        <v>23</v>
      </c>
      <c r="D96" t="s">
        <v>24</v>
      </c>
      <c r="E96" t="s">
        <v>25</v>
      </c>
      <c r="F96" t="s">
        <v>26</v>
      </c>
    </row>
    <row r="97" spans="1:11" x14ac:dyDescent="0.25">
      <c r="A97" t="s">
        <v>27</v>
      </c>
      <c r="B97" t="s">
        <v>31</v>
      </c>
      <c r="C97" t="s">
        <v>67</v>
      </c>
      <c r="D97" t="s">
        <v>68</v>
      </c>
      <c r="E97" t="s">
        <v>31</v>
      </c>
      <c r="F97" t="s">
        <v>69</v>
      </c>
    </row>
    <row r="98" spans="1:11" x14ac:dyDescent="0.25">
      <c r="D98" t="s">
        <v>16</v>
      </c>
      <c r="E98">
        <v>2457589.4300000002</v>
      </c>
      <c r="F98" t="s">
        <v>1741</v>
      </c>
      <c r="G98">
        <v>9.44</v>
      </c>
      <c r="H98">
        <v>0.05</v>
      </c>
      <c r="I98" t="s">
        <v>65</v>
      </c>
      <c r="J98" t="s">
        <v>66</v>
      </c>
      <c r="K98" t="s">
        <v>20</v>
      </c>
    </row>
    <row r="99" spans="1:11" x14ac:dyDescent="0.25">
      <c r="A99" t="s">
        <v>21</v>
      </c>
      <c r="B99" t="s">
        <v>22</v>
      </c>
      <c r="C99" t="s">
        <v>23</v>
      </c>
      <c r="D99" t="s">
        <v>24</v>
      </c>
      <c r="E99" t="s">
        <v>25</v>
      </c>
      <c r="F99" t="s">
        <v>26</v>
      </c>
    </row>
    <row r="100" spans="1:11" x14ac:dyDescent="0.25">
      <c r="A100" t="s">
        <v>27</v>
      </c>
      <c r="B100" t="s">
        <v>31</v>
      </c>
      <c r="C100" t="s">
        <v>67</v>
      </c>
      <c r="D100" t="s">
        <v>68</v>
      </c>
      <c r="E100" t="s">
        <v>31</v>
      </c>
      <c r="F100" t="s">
        <v>69</v>
      </c>
    </row>
    <row r="101" spans="1:11" x14ac:dyDescent="0.25">
      <c r="D101" t="s">
        <v>16</v>
      </c>
      <c r="E101">
        <v>2457588.432</v>
      </c>
      <c r="F101" t="s">
        <v>1742</v>
      </c>
      <c r="G101">
        <v>9.74</v>
      </c>
      <c r="H101">
        <v>0.05</v>
      </c>
      <c r="I101" t="s">
        <v>65</v>
      </c>
      <c r="J101" t="s">
        <v>66</v>
      </c>
      <c r="K101" t="s">
        <v>20</v>
      </c>
    </row>
    <row r="102" spans="1:11" x14ac:dyDescent="0.25">
      <c r="A102" t="s">
        <v>21</v>
      </c>
      <c r="B102" t="s">
        <v>22</v>
      </c>
      <c r="C102" t="s">
        <v>23</v>
      </c>
      <c r="D102" t="s">
        <v>24</v>
      </c>
      <c r="E102" t="s">
        <v>25</v>
      </c>
      <c r="F102" t="s">
        <v>26</v>
      </c>
    </row>
    <row r="103" spans="1:11" x14ac:dyDescent="0.25">
      <c r="A103" t="s">
        <v>27</v>
      </c>
      <c r="B103" t="s">
        <v>31</v>
      </c>
      <c r="C103" t="s">
        <v>67</v>
      </c>
      <c r="D103" t="s">
        <v>68</v>
      </c>
      <c r="E103" t="s">
        <v>31</v>
      </c>
      <c r="F103" t="s">
        <v>69</v>
      </c>
    </row>
    <row r="104" spans="1:11" x14ac:dyDescent="0.25">
      <c r="D104" t="s">
        <v>16</v>
      </c>
      <c r="E104">
        <v>2457587.44</v>
      </c>
      <c r="F104" t="s">
        <v>1743</v>
      </c>
      <c r="G104">
        <v>9.5500000000000007</v>
      </c>
      <c r="H104">
        <v>0.05</v>
      </c>
      <c r="I104" t="s">
        <v>65</v>
      </c>
      <c r="J104" t="s">
        <v>66</v>
      </c>
      <c r="K104" t="s">
        <v>20</v>
      </c>
    </row>
    <row r="105" spans="1:11" x14ac:dyDescent="0.25">
      <c r="A105" t="s">
        <v>21</v>
      </c>
      <c r="B105" t="s">
        <v>22</v>
      </c>
      <c r="C105" t="s">
        <v>23</v>
      </c>
      <c r="D105" t="s">
        <v>24</v>
      </c>
      <c r="E105" t="s">
        <v>25</v>
      </c>
      <c r="F105" t="s">
        <v>26</v>
      </c>
    </row>
    <row r="106" spans="1:11" x14ac:dyDescent="0.25">
      <c r="A106" t="s">
        <v>27</v>
      </c>
      <c r="B106" t="s">
        <v>31</v>
      </c>
      <c r="C106" t="s">
        <v>67</v>
      </c>
      <c r="D106" t="s">
        <v>68</v>
      </c>
      <c r="E106" t="s">
        <v>31</v>
      </c>
      <c r="F106" t="s">
        <v>69</v>
      </c>
    </row>
    <row r="107" spans="1:11" x14ac:dyDescent="0.25">
      <c r="D107" t="s">
        <v>16</v>
      </c>
      <c r="E107">
        <v>2457586.4380000001</v>
      </c>
      <c r="F107" t="s">
        <v>1744</v>
      </c>
      <c r="G107">
        <v>9.73</v>
      </c>
      <c r="H107">
        <v>0.05</v>
      </c>
      <c r="I107" t="s">
        <v>65</v>
      </c>
      <c r="J107" t="s">
        <v>66</v>
      </c>
      <c r="K107" t="s">
        <v>20</v>
      </c>
    </row>
    <row r="108" spans="1:11" x14ac:dyDescent="0.25">
      <c r="A108" t="s">
        <v>21</v>
      </c>
      <c r="B108" t="s">
        <v>22</v>
      </c>
      <c r="C108" t="s">
        <v>23</v>
      </c>
      <c r="D108" t="s">
        <v>24</v>
      </c>
      <c r="E108" t="s">
        <v>25</v>
      </c>
      <c r="F108" t="s">
        <v>26</v>
      </c>
    </row>
    <row r="109" spans="1:11" x14ac:dyDescent="0.25">
      <c r="A109" t="s">
        <v>27</v>
      </c>
      <c r="B109" t="s">
        <v>31</v>
      </c>
      <c r="C109" t="s">
        <v>67</v>
      </c>
      <c r="D109" t="s">
        <v>68</v>
      </c>
      <c r="E109" t="s">
        <v>31</v>
      </c>
      <c r="F109" t="s">
        <v>69</v>
      </c>
    </row>
    <row r="110" spans="1:11" x14ac:dyDescent="0.25">
      <c r="D110" t="s">
        <v>16</v>
      </c>
      <c r="E110">
        <v>2457585.5260000001</v>
      </c>
      <c r="F110" t="s">
        <v>1745</v>
      </c>
      <c r="G110">
        <v>9.73</v>
      </c>
      <c r="H110">
        <v>0.05</v>
      </c>
      <c r="I110" t="s">
        <v>65</v>
      </c>
      <c r="J110" t="s">
        <v>66</v>
      </c>
      <c r="K110" t="s">
        <v>20</v>
      </c>
    </row>
    <row r="111" spans="1:11" x14ac:dyDescent="0.25">
      <c r="A111" t="s">
        <v>21</v>
      </c>
      <c r="B111" t="s">
        <v>22</v>
      </c>
      <c r="C111" t="s">
        <v>23</v>
      </c>
      <c r="D111" t="s">
        <v>24</v>
      </c>
      <c r="E111" t="s">
        <v>25</v>
      </c>
      <c r="F111" t="s">
        <v>26</v>
      </c>
    </row>
    <row r="112" spans="1:11" x14ac:dyDescent="0.25">
      <c r="A112" t="s">
        <v>27</v>
      </c>
      <c r="B112" t="s">
        <v>31</v>
      </c>
      <c r="C112" t="s">
        <v>67</v>
      </c>
      <c r="D112" t="s">
        <v>68</v>
      </c>
      <c r="E112" t="s">
        <v>31</v>
      </c>
      <c r="F112" t="s">
        <v>69</v>
      </c>
    </row>
    <row r="113" spans="1:11" x14ac:dyDescent="0.25">
      <c r="D113" t="s">
        <v>16</v>
      </c>
      <c r="E113">
        <v>2457584.5649999999</v>
      </c>
      <c r="F113" t="s">
        <v>1746</v>
      </c>
      <c r="G113">
        <v>9.68</v>
      </c>
      <c r="H113">
        <v>0.05</v>
      </c>
      <c r="I113" t="s">
        <v>65</v>
      </c>
      <c r="J113" t="s">
        <v>66</v>
      </c>
      <c r="K113" t="s">
        <v>20</v>
      </c>
    </row>
    <row r="114" spans="1:11" x14ac:dyDescent="0.25">
      <c r="A114" t="s">
        <v>21</v>
      </c>
      <c r="B114" t="s">
        <v>22</v>
      </c>
      <c r="C114" t="s">
        <v>23</v>
      </c>
      <c r="D114" t="s">
        <v>24</v>
      </c>
      <c r="E114" t="s">
        <v>25</v>
      </c>
      <c r="F114" t="s">
        <v>26</v>
      </c>
    </row>
    <row r="115" spans="1:11" x14ac:dyDescent="0.25">
      <c r="A115" t="s">
        <v>27</v>
      </c>
      <c r="B115" t="s">
        <v>31</v>
      </c>
      <c r="C115" t="s">
        <v>67</v>
      </c>
      <c r="D115" t="s">
        <v>68</v>
      </c>
      <c r="E115" t="s">
        <v>31</v>
      </c>
      <c r="F115" t="s">
        <v>69</v>
      </c>
    </row>
    <row r="116" spans="1:11" x14ac:dyDescent="0.25">
      <c r="D116" t="s">
        <v>16</v>
      </c>
      <c r="E116">
        <v>2457575.4739999999</v>
      </c>
      <c r="F116" t="s">
        <v>1747</v>
      </c>
      <c r="G116">
        <v>9.7100000000000009</v>
      </c>
      <c r="H116">
        <v>0.05</v>
      </c>
      <c r="I116" t="s">
        <v>65</v>
      </c>
      <c r="J116" t="s">
        <v>66</v>
      </c>
      <c r="K116" t="s">
        <v>20</v>
      </c>
    </row>
    <row r="117" spans="1:11" x14ac:dyDescent="0.25">
      <c r="A117" t="s">
        <v>21</v>
      </c>
      <c r="B117" t="s">
        <v>22</v>
      </c>
      <c r="C117" t="s">
        <v>23</v>
      </c>
      <c r="D117" t="s">
        <v>24</v>
      </c>
      <c r="E117" t="s">
        <v>25</v>
      </c>
      <c r="F117" t="s">
        <v>26</v>
      </c>
    </row>
    <row r="118" spans="1:11" x14ac:dyDescent="0.25">
      <c r="A118" t="s">
        <v>27</v>
      </c>
      <c r="B118" t="s">
        <v>31</v>
      </c>
      <c r="C118" t="s">
        <v>67</v>
      </c>
      <c r="D118" t="s">
        <v>68</v>
      </c>
      <c r="E118" t="s">
        <v>31</v>
      </c>
      <c r="F118" t="s">
        <v>69</v>
      </c>
    </row>
    <row r="119" spans="1:11" x14ac:dyDescent="0.25">
      <c r="D119" t="s">
        <v>16</v>
      </c>
      <c r="E119">
        <v>2457574.4730000002</v>
      </c>
      <c r="F119" t="s">
        <v>1748</v>
      </c>
      <c r="G119">
        <v>9.7100000000000009</v>
      </c>
      <c r="H119">
        <v>0.05</v>
      </c>
      <c r="I119" t="s">
        <v>65</v>
      </c>
      <c r="J119" t="s">
        <v>66</v>
      </c>
      <c r="K119" t="s">
        <v>20</v>
      </c>
    </row>
    <row r="120" spans="1:11" x14ac:dyDescent="0.25">
      <c r="A120" t="s">
        <v>21</v>
      </c>
      <c r="B120" t="s">
        <v>22</v>
      </c>
      <c r="C120" t="s">
        <v>23</v>
      </c>
      <c r="D120" t="s">
        <v>24</v>
      </c>
      <c r="E120" t="s">
        <v>25</v>
      </c>
      <c r="F120" t="s">
        <v>26</v>
      </c>
    </row>
    <row r="121" spans="1:11" x14ac:dyDescent="0.25">
      <c r="A121" t="s">
        <v>27</v>
      </c>
      <c r="B121" t="s">
        <v>31</v>
      </c>
      <c r="C121" t="s">
        <v>67</v>
      </c>
      <c r="D121" t="s">
        <v>68</v>
      </c>
      <c r="E121" t="s">
        <v>31</v>
      </c>
      <c r="F121" t="s">
        <v>69</v>
      </c>
    </row>
    <row r="122" spans="1:11" x14ac:dyDescent="0.25">
      <c r="D122" t="s">
        <v>16</v>
      </c>
      <c r="E122">
        <v>2457573.4739999999</v>
      </c>
      <c r="F122" t="s">
        <v>1749</v>
      </c>
      <c r="G122">
        <v>9.6199999999999992</v>
      </c>
      <c r="H122">
        <v>0.05</v>
      </c>
      <c r="I122" t="s">
        <v>65</v>
      </c>
      <c r="J122" t="s">
        <v>66</v>
      </c>
      <c r="K122" t="s">
        <v>20</v>
      </c>
    </row>
    <row r="123" spans="1:11" x14ac:dyDescent="0.25">
      <c r="A123" t="s">
        <v>21</v>
      </c>
      <c r="B123" t="s">
        <v>22</v>
      </c>
      <c r="C123" t="s">
        <v>23</v>
      </c>
      <c r="D123" t="s">
        <v>24</v>
      </c>
      <c r="E123" t="s">
        <v>25</v>
      </c>
      <c r="F123" t="s">
        <v>26</v>
      </c>
    </row>
    <row r="124" spans="1:11" x14ac:dyDescent="0.25">
      <c r="A124" t="s">
        <v>27</v>
      </c>
      <c r="B124" t="s">
        <v>31</v>
      </c>
      <c r="C124" t="s">
        <v>67</v>
      </c>
      <c r="D124" t="s">
        <v>68</v>
      </c>
      <c r="E124" t="s">
        <v>31</v>
      </c>
      <c r="F124" t="s">
        <v>69</v>
      </c>
    </row>
    <row r="125" spans="1:11" x14ac:dyDescent="0.25">
      <c r="D125" t="s">
        <v>16</v>
      </c>
      <c r="E125">
        <v>2457573.4139899998</v>
      </c>
      <c r="F125" t="s">
        <v>1750</v>
      </c>
      <c r="G125">
        <v>9.6340000000000003</v>
      </c>
      <c r="H125">
        <v>8.0000000000000002E-3</v>
      </c>
      <c r="I125" t="s">
        <v>18</v>
      </c>
      <c r="J125" t="s">
        <v>19</v>
      </c>
      <c r="K125" t="s">
        <v>20</v>
      </c>
    </row>
    <row r="126" spans="1:11" x14ac:dyDescent="0.25">
      <c r="A126" t="s">
        <v>21</v>
      </c>
      <c r="B126" t="s">
        <v>22</v>
      </c>
      <c r="C126" t="s">
        <v>23</v>
      </c>
      <c r="D126" t="s">
        <v>24</v>
      </c>
      <c r="E126" t="s">
        <v>25</v>
      </c>
      <c r="F126" t="s">
        <v>26</v>
      </c>
    </row>
    <row r="127" spans="1:11" x14ac:dyDescent="0.25">
      <c r="A127" t="s">
        <v>27</v>
      </c>
      <c r="B127" t="s">
        <v>1751</v>
      </c>
      <c r="C127" t="s">
        <v>29</v>
      </c>
      <c r="D127" t="s">
        <v>30</v>
      </c>
      <c r="E127" t="s">
        <v>31</v>
      </c>
      <c r="F127" t="s">
        <v>32</v>
      </c>
    </row>
    <row r="128" spans="1:11" x14ac:dyDescent="0.25">
      <c r="D128" t="s">
        <v>16</v>
      </c>
      <c r="E128">
        <v>2457573.4138600002</v>
      </c>
      <c r="F128" t="s">
        <v>1752</v>
      </c>
      <c r="G128">
        <v>10.935</v>
      </c>
      <c r="H128">
        <v>1.0999999999999999E-2</v>
      </c>
      <c r="I128" t="s">
        <v>34</v>
      </c>
      <c r="J128" t="s">
        <v>19</v>
      </c>
      <c r="K128" t="s">
        <v>20</v>
      </c>
    </row>
    <row r="129" spans="1:11" x14ac:dyDescent="0.25">
      <c r="A129" t="s">
        <v>21</v>
      </c>
      <c r="B129" t="s">
        <v>22</v>
      </c>
      <c r="C129" t="s">
        <v>23</v>
      </c>
      <c r="D129" t="s">
        <v>24</v>
      </c>
      <c r="E129" t="s">
        <v>25</v>
      </c>
      <c r="F129" t="s">
        <v>26</v>
      </c>
    </row>
    <row r="130" spans="1:11" x14ac:dyDescent="0.25">
      <c r="A130" t="s">
        <v>27</v>
      </c>
      <c r="B130" t="s">
        <v>1753</v>
      </c>
      <c r="C130" t="s">
        <v>29</v>
      </c>
      <c r="D130" t="s">
        <v>30</v>
      </c>
      <c r="E130" t="s">
        <v>31</v>
      </c>
      <c r="F130" t="s">
        <v>32</v>
      </c>
    </row>
    <row r="131" spans="1:11" x14ac:dyDescent="0.25">
      <c r="D131" t="s">
        <v>16</v>
      </c>
      <c r="E131">
        <v>2457572.4840000002</v>
      </c>
      <c r="F131" t="s">
        <v>1754</v>
      </c>
      <c r="G131">
        <v>9.73</v>
      </c>
      <c r="H131">
        <v>0.05</v>
      </c>
      <c r="I131" t="s">
        <v>65</v>
      </c>
      <c r="J131" t="s">
        <v>66</v>
      </c>
      <c r="K131" t="s">
        <v>20</v>
      </c>
    </row>
    <row r="132" spans="1:11" x14ac:dyDescent="0.25">
      <c r="A132" t="s">
        <v>21</v>
      </c>
      <c r="B132" t="s">
        <v>22</v>
      </c>
      <c r="C132" t="s">
        <v>23</v>
      </c>
      <c r="D132" t="s">
        <v>24</v>
      </c>
      <c r="E132" t="s">
        <v>25</v>
      </c>
      <c r="F132" t="s">
        <v>26</v>
      </c>
    </row>
    <row r="133" spans="1:11" x14ac:dyDescent="0.25">
      <c r="A133" t="s">
        <v>27</v>
      </c>
      <c r="B133" t="s">
        <v>31</v>
      </c>
      <c r="C133" t="s">
        <v>67</v>
      </c>
      <c r="D133" t="s">
        <v>68</v>
      </c>
      <c r="E133" t="s">
        <v>31</v>
      </c>
      <c r="F133" t="s">
        <v>69</v>
      </c>
    </row>
    <row r="134" spans="1:11" x14ac:dyDescent="0.25">
      <c r="D134" t="s">
        <v>16</v>
      </c>
      <c r="E134">
        <v>2457568.4550000001</v>
      </c>
      <c r="F134" t="s">
        <v>1537</v>
      </c>
      <c r="G134">
        <v>9.73</v>
      </c>
      <c r="H134">
        <v>0.05</v>
      </c>
      <c r="I134" t="s">
        <v>65</v>
      </c>
      <c r="J134" t="s">
        <v>66</v>
      </c>
      <c r="K134" t="s">
        <v>20</v>
      </c>
    </row>
    <row r="135" spans="1:11" x14ac:dyDescent="0.25">
      <c r="A135" t="s">
        <v>21</v>
      </c>
      <c r="B135" t="s">
        <v>22</v>
      </c>
      <c r="C135" t="s">
        <v>23</v>
      </c>
      <c r="D135" t="s">
        <v>24</v>
      </c>
      <c r="E135" t="s">
        <v>25</v>
      </c>
      <c r="F135" t="s">
        <v>26</v>
      </c>
    </row>
    <row r="136" spans="1:11" x14ac:dyDescent="0.25">
      <c r="A136" t="s">
        <v>27</v>
      </c>
      <c r="B136" t="s">
        <v>31</v>
      </c>
      <c r="C136" t="s">
        <v>67</v>
      </c>
      <c r="D136" t="s">
        <v>68</v>
      </c>
      <c r="E136" t="s">
        <v>31</v>
      </c>
      <c r="F136" t="s">
        <v>69</v>
      </c>
    </row>
    <row r="137" spans="1:11" x14ac:dyDescent="0.25">
      <c r="D137" t="s">
        <v>16</v>
      </c>
      <c r="E137">
        <v>2457567.4909999999</v>
      </c>
      <c r="F137" t="s">
        <v>1538</v>
      </c>
      <c r="G137">
        <v>9.77</v>
      </c>
      <c r="H137">
        <v>0.05</v>
      </c>
      <c r="I137" t="s">
        <v>65</v>
      </c>
      <c r="J137" t="s">
        <v>66</v>
      </c>
      <c r="K137" t="s">
        <v>20</v>
      </c>
    </row>
    <row r="138" spans="1:11" x14ac:dyDescent="0.25">
      <c r="A138" t="s">
        <v>21</v>
      </c>
      <c r="B138" t="s">
        <v>22</v>
      </c>
      <c r="C138" t="s">
        <v>23</v>
      </c>
      <c r="D138" t="s">
        <v>24</v>
      </c>
      <c r="E138" t="s">
        <v>25</v>
      </c>
      <c r="F138" t="s">
        <v>26</v>
      </c>
    </row>
    <row r="139" spans="1:11" x14ac:dyDescent="0.25">
      <c r="A139" t="s">
        <v>27</v>
      </c>
      <c r="B139" t="s">
        <v>31</v>
      </c>
      <c r="C139" t="s">
        <v>67</v>
      </c>
      <c r="D139" t="s">
        <v>68</v>
      </c>
      <c r="E139" t="s">
        <v>31</v>
      </c>
      <c r="F139" t="s">
        <v>69</v>
      </c>
    </row>
    <row r="140" spans="1:11" x14ac:dyDescent="0.25">
      <c r="D140" t="s">
        <v>16</v>
      </c>
      <c r="E140">
        <v>2457559.77507</v>
      </c>
      <c r="F140" t="s">
        <v>1755</v>
      </c>
      <c r="G140">
        <v>9.6020000000000003</v>
      </c>
      <c r="H140">
        <v>2E-3</v>
      </c>
      <c r="I140" t="s">
        <v>18</v>
      </c>
      <c r="J140" t="s">
        <v>72</v>
      </c>
      <c r="K140" t="s">
        <v>20</v>
      </c>
    </row>
    <row r="141" spans="1:11" x14ac:dyDescent="0.25">
      <c r="A141" t="s">
        <v>21</v>
      </c>
      <c r="B141" t="s">
        <v>22</v>
      </c>
      <c r="C141" t="s">
        <v>23</v>
      </c>
      <c r="D141" t="s">
        <v>24</v>
      </c>
      <c r="E141" t="s">
        <v>25</v>
      </c>
      <c r="F141" t="s">
        <v>26</v>
      </c>
    </row>
    <row r="142" spans="1:11" x14ac:dyDescent="0.25">
      <c r="A142" t="s">
        <v>27</v>
      </c>
      <c r="B142" t="s">
        <v>1756</v>
      </c>
      <c r="C142" t="s">
        <v>67</v>
      </c>
      <c r="D142">
        <v>160725</v>
      </c>
      <c r="E142" t="s">
        <v>31</v>
      </c>
      <c r="F142" t="s">
        <v>31</v>
      </c>
    </row>
    <row r="143" spans="1:11" x14ac:dyDescent="0.25">
      <c r="D143" t="s">
        <v>16</v>
      </c>
      <c r="E143">
        <v>2457559.7741200002</v>
      </c>
      <c r="F143" t="s">
        <v>1757</v>
      </c>
      <c r="G143">
        <v>10.884</v>
      </c>
      <c r="H143">
        <v>3.0000000000000001E-3</v>
      </c>
      <c r="I143" t="s">
        <v>34</v>
      </c>
      <c r="J143" t="s">
        <v>72</v>
      </c>
      <c r="K143" t="s">
        <v>20</v>
      </c>
    </row>
    <row r="144" spans="1:11" x14ac:dyDescent="0.25">
      <c r="A144" t="s">
        <v>21</v>
      </c>
      <c r="B144" t="s">
        <v>22</v>
      </c>
      <c r="C144" t="s">
        <v>23</v>
      </c>
      <c r="D144" t="s">
        <v>24</v>
      </c>
      <c r="E144" t="s">
        <v>25</v>
      </c>
      <c r="F144" t="s">
        <v>26</v>
      </c>
    </row>
    <row r="145" spans="1:11" x14ac:dyDescent="0.25">
      <c r="A145" t="s">
        <v>27</v>
      </c>
      <c r="B145" t="s">
        <v>1758</v>
      </c>
      <c r="C145" t="s">
        <v>67</v>
      </c>
      <c r="D145">
        <v>160725</v>
      </c>
      <c r="E145" t="s">
        <v>31</v>
      </c>
      <c r="F145" t="s">
        <v>31</v>
      </c>
    </row>
    <row r="146" spans="1:11" x14ac:dyDescent="0.25">
      <c r="D146" t="s">
        <v>16</v>
      </c>
      <c r="E146">
        <v>2457559.77311</v>
      </c>
      <c r="F146" t="s">
        <v>1759</v>
      </c>
      <c r="G146">
        <v>10.885999999999999</v>
      </c>
      <c r="H146">
        <v>3.0000000000000001E-3</v>
      </c>
      <c r="I146" t="s">
        <v>34</v>
      </c>
      <c r="J146" t="s">
        <v>72</v>
      </c>
      <c r="K146" t="s">
        <v>20</v>
      </c>
    </row>
    <row r="147" spans="1:11" x14ac:dyDescent="0.25">
      <c r="A147" t="s">
        <v>21</v>
      </c>
      <c r="B147" t="s">
        <v>22</v>
      </c>
      <c r="C147" t="s">
        <v>23</v>
      </c>
      <c r="D147" t="s">
        <v>24</v>
      </c>
      <c r="E147" t="s">
        <v>25</v>
      </c>
      <c r="F147" t="s">
        <v>26</v>
      </c>
    </row>
    <row r="148" spans="1:11" x14ac:dyDescent="0.25">
      <c r="A148" t="s">
        <v>27</v>
      </c>
      <c r="B148" t="s">
        <v>1760</v>
      </c>
      <c r="C148" t="s">
        <v>67</v>
      </c>
      <c r="D148">
        <v>160725</v>
      </c>
      <c r="E148" t="s">
        <v>31</v>
      </c>
      <c r="F148" t="s">
        <v>31</v>
      </c>
    </row>
    <row r="149" spans="1:11" x14ac:dyDescent="0.25">
      <c r="D149" t="s">
        <v>16</v>
      </c>
      <c r="E149">
        <v>2457559.7720300001</v>
      </c>
      <c r="F149" t="s">
        <v>1761</v>
      </c>
      <c r="G149">
        <v>9.5990000000000002</v>
      </c>
      <c r="H149">
        <v>1E-3</v>
      </c>
      <c r="I149" t="s">
        <v>18</v>
      </c>
      <c r="J149" t="s">
        <v>72</v>
      </c>
      <c r="K149" t="s">
        <v>20</v>
      </c>
    </row>
    <row r="150" spans="1:11" x14ac:dyDescent="0.25">
      <c r="A150" t="s">
        <v>21</v>
      </c>
      <c r="B150" t="s">
        <v>22</v>
      </c>
      <c r="C150" t="s">
        <v>23</v>
      </c>
      <c r="D150" t="s">
        <v>24</v>
      </c>
      <c r="E150" t="s">
        <v>25</v>
      </c>
      <c r="F150" t="s">
        <v>26</v>
      </c>
    </row>
    <row r="151" spans="1:11" x14ac:dyDescent="0.25">
      <c r="A151" t="s">
        <v>27</v>
      </c>
      <c r="B151" t="s">
        <v>1762</v>
      </c>
      <c r="C151" t="s">
        <v>67</v>
      </c>
      <c r="D151">
        <v>160725</v>
      </c>
      <c r="E151" t="s">
        <v>31</v>
      </c>
      <c r="F151" t="s">
        <v>31</v>
      </c>
    </row>
    <row r="152" spans="1:11" x14ac:dyDescent="0.25">
      <c r="D152" t="s">
        <v>16</v>
      </c>
      <c r="E152">
        <v>2457558.8068300001</v>
      </c>
      <c r="F152" t="s">
        <v>1763</v>
      </c>
      <c r="G152">
        <v>9.5690000000000008</v>
      </c>
      <c r="H152">
        <v>1E-3</v>
      </c>
      <c r="I152" t="s">
        <v>18</v>
      </c>
      <c r="J152" t="s">
        <v>72</v>
      </c>
      <c r="K152" t="s">
        <v>20</v>
      </c>
    </row>
    <row r="153" spans="1:11" x14ac:dyDescent="0.25">
      <c r="A153" t="s">
        <v>21</v>
      </c>
      <c r="B153" t="s">
        <v>22</v>
      </c>
      <c r="C153" t="s">
        <v>23</v>
      </c>
      <c r="D153" t="s">
        <v>24</v>
      </c>
      <c r="E153" t="s">
        <v>25</v>
      </c>
      <c r="F153" t="s">
        <v>26</v>
      </c>
    </row>
    <row r="154" spans="1:11" x14ac:dyDescent="0.25">
      <c r="A154" t="s">
        <v>27</v>
      </c>
      <c r="B154" t="s">
        <v>1764</v>
      </c>
      <c r="C154" t="s">
        <v>67</v>
      </c>
      <c r="D154">
        <v>160725</v>
      </c>
      <c r="E154" t="s">
        <v>31</v>
      </c>
      <c r="F154" t="s">
        <v>31</v>
      </c>
    </row>
    <row r="155" spans="1:11" x14ac:dyDescent="0.25">
      <c r="D155" t="s">
        <v>16</v>
      </c>
      <c r="E155">
        <v>2457558.8058699998</v>
      </c>
      <c r="F155" t="s">
        <v>1765</v>
      </c>
      <c r="G155">
        <v>10.842000000000001</v>
      </c>
      <c r="H155">
        <v>2E-3</v>
      </c>
      <c r="I155" t="s">
        <v>34</v>
      </c>
      <c r="J155" t="s">
        <v>72</v>
      </c>
      <c r="K155" t="s">
        <v>20</v>
      </c>
    </row>
    <row r="156" spans="1:11" x14ac:dyDescent="0.25">
      <c r="A156" t="s">
        <v>21</v>
      </c>
      <c r="B156" t="s">
        <v>22</v>
      </c>
      <c r="C156" t="s">
        <v>23</v>
      </c>
      <c r="D156" t="s">
        <v>24</v>
      </c>
      <c r="E156" t="s">
        <v>25</v>
      </c>
      <c r="F156" t="s">
        <v>26</v>
      </c>
    </row>
    <row r="157" spans="1:11" x14ac:dyDescent="0.25">
      <c r="A157" t="s">
        <v>27</v>
      </c>
      <c r="B157" t="s">
        <v>1766</v>
      </c>
      <c r="C157" t="s">
        <v>67</v>
      </c>
      <c r="D157">
        <v>160725</v>
      </c>
      <c r="E157" t="s">
        <v>31</v>
      </c>
      <c r="F157" t="s">
        <v>31</v>
      </c>
    </row>
    <row r="158" spans="1:11" x14ac:dyDescent="0.25">
      <c r="D158" t="s">
        <v>16</v>
      </c>
      <c r="E158">
        <v>2457558.80485</v>
      </c>
      <c r="F158" t="s">
        <v>1767</v>
      </c>
      <c r="G158">
        <v>10.846</v>
      </c>
      <c r="H158">
        <v>2E-3</v>
      </c>
      <c r="I158" t="s">
        <v>34</v>
      </c>
      <c r="J158" t="s">
        <v>72</v>
      </c>
      <c r="K158" t="s">
        <v>20</v>
      </c>
    </row>
    <row r="159" spans="1:11" x14ac:dyDescent="0.25">
      <c r="A159" t="s">
        <v>21</v>
      </c>
      <c r="B159" t="s">
        <v>22</v>
      </c>
      <c r="C159" t="s">
        <v>23</v>
      </c>
      <c r="D159" t="s">
        <v>24</v>
      </c>
      <c r="E159" t="s">
        <v>25</v>
      </c>
      <c r="F159" t="s">
        <v>26</v>
      </c>
    </row>
    <row r="160" spans="1:11" x14ac:dyDescent="0.25">
      <c r="A160" t="s">
        <v>27</v>
      </c>
      <c r="B160" t="s">
        <v>1548</v>
      </c>
      <c r="C160" t="s">
        <v>67</v>
      </c>
      <c r="D160">
        <v>160725</v>
      </c>
      <c r="E160" t="s">
        <v>31</v>
      </c>
      <c r="F160" t="s">
        <v>31</v>
      </c>
    </row>
    <row r="161" spans="1:11" x14ac:dyDescent="0.25">
      <c r="D161" t="s">
        <v>16</v>
      </c>
      <c r="E161">
        <v>2457558.8038300001</v>
      </c>
      <c r="F161" t="s">
        <v>1768</v>
      </c>
      <c r="G161">
        <v>9.5879999999999992</v>
      </c>
      <c r="H161">
        <v>1E-3</v>
      </c>
      <c r="I161" t="s">
        <v>18</v>
      </c>
      <c r="J161" t="s">
        <v>72</v>
      </c>
      <c r="K161" t="s">
        <v>20</v>
      </c>
    </row>
    <row r="162" spans="1:11" x14ac:dyDescent="0.25">
      <c r="A162" t="s">
        <v>21</v>
      </c>
      <c r="B162" t="s">
        <v>22</v>
      </c>
      <c r="C162" t="s">
        <v>23</v>
      </c>
      <c r="D162" t="s">
        <v>24</v>
      </c>
      <c r="E162" t="s">
        <v>25</v>
      </c>
      <c r="F162" t="s">
        <v>26</v>
      </c>
    </row>
    <row r="163" spans="1:11" x14ac:dyDescent="0.25">
      <c r="A163" t="s">
        <v>27</v>
      </c>
      <c r="B163" t="s">
        <v>1556</v>
      </c>
      <c r="C163" t="s">
        <v>67</v>
      </c>
      <c r="D163">
        <v>160725</v>
      </c>
      <c r="E163" t="s">
        <v>31</v>
      </c>
      <c r="F163" t="s">
        <v>31</v>
      </c>
    </row>
    <row r="164" spans="1:11" x14ac:dyDescent="0.25">
      <c r="D164" t="s">
        <v>16</v>
      </c>
      <c r="E164">
        <v>2457557.8059</v>
      </c>
      <c r="F164" t="s">
        <v>1769</v>
      </c>
      <c r="G164">
        <v>9.5719999999999992</v>
      </c>
      <c r="H164">
        <v>1E-3</v>
      </c>
      <c r="I164" t="s">
        <v>18</v>
      </c>
      <c r="J164" t="s">
        <v>72</v>
      </c>
      <c r="K164" t="s">
        <v>20</v>
      </c>
    </row>
    <row r="165" spans="1:11" x14ac:dyDescent="0.25">
      <c r="A165" t="s">
        <v>21</v>
      </c>
      <c r="B165" t="s">
        <v>22</v>
      </c>
      <c r="C165" t="s">
        <v>23</v>
      </c>
      <c r="D165" t="s">
        <v>24</v>
      </c>
      <c r="E165" t="s">
        <v>25</v>
      </c>
      <c r="F165" t="s">
        <v>26</v>
      </c>
    </row>
    <row r="166" spans="1:11" x14ac:dyDescent="0.25">
      <c r="A166" t="s">
        <v>27</v>
      </c>
      <c r="B166" t="s">
        <v>1770</v>
      </c>
      <c r="C166" t="s">
        <v>67</v>
      </c>
      <c r="D166">
        <v>160725</v>
      </c>
      <c r="E166" t="s">
        <v>31</v>
      </c>
      <c r="F166" t="s">
        <v>31</v>
      </c>
    </row>
    <row r="167" spans="1:11" x14ac:dyDescent="0.25">
      <c r="D167" t="s">
        <v>16</v>
      </c>
      <c r="E167">
        <v>2457557.8049400002</v>
      </c>
      <c r="F167" t="s">
        <v>1771</v>
      </c>
      <c r="G167">
        <v>10.832000000000001</v>
      </c>
      <c r="H167">
        <v>2E-3</v>
      </c>
      <c r="I167" t="s">
        <v>34</v>
      </c>
      <c r="J167" t="s">
        <v>72</v>
      </c>
      <c r="K167" t="s">
        <v>20</v>
      </c>
    </row>
    <row r="168" spans="1:11" x14ac:dyDescent="0.25">
      <c r="A168" t="s">
        <v>21</v>
      </c>
      <c r="B168" t="s">
        <v>22</v>
      </c>
      <c r="C168" t="s">
        <v>23</v>
      </c>
      <c r="D168" t="s">
        <v>24</v>
      </c>
      <c r="E168" t="s">
        <v>25</v>
      </c>
      <c r="F168" t="s">
        <v>26</v>
      </c>
    </row>
    <row r="169" spans="1:11" x14ac:dyDescent="0.25">
      <c r="A169" t="s">
        <v>27</v>
      </c>
      <c r="B169" t="s">
        <v>1772</v>
      </c>
      <c r="C169" t="s">
        <v>67</v>
      </c>
      <c r="D169">
        <v>160725</v>
      </c>
      <c r="E169" t="s">
        <v>31</v>
      </c>
      <c r="F169" t="s">
        <v>31</v>
      </c>
    </row>
    <row r="170" spans="1:11" x14ac:dyDescent="0.25">
      <c r="D170" t="s">
        <v>16</v>
      </c>
      <c r="E170">
        <v>2457557.8039199999</v>
      </c>
      <c r="F170" t="s">
        <v>1773</v>
      </c>
      <c r="G170">
        <v>10.819000000000001</v>
      </c>
      <c r="H170">
        <v>3.0000000000000001E-3</v>
      </c>
      <c r="I170" t="s">
        <v>34</v>
      </c>
      <c r="J170" t="s">
        <v>72</v>
      </c>
      <c r="K170" t="s">
        <v>20</v>
      </c>
    </row>
    <row r="171" spans="1:11" x14ac:dyDescent="0.25">
      <c r="A171" t="s">
        <v>21</v>
      </c>
      <c r="B171" t="s">
        <v>22</v>
      </c>
      <c r="C171" t="s">
        <v>23</v>
      </c>
      <c r="D171" t="s">
        <v>24</v>
      </c>
      <c r="E171" t="s">
        <v>25</v>
      </c>
      <c r="F171" t="s">
        <v>26</v>
      </c>
    </row>
    <row r="172" spans="1:11" x14ac:dyDescent="0.25">
      <c r="A172" t="s">
        <v>27</v>
      </c>
      <c r="B172" t="s">
        <v>1774</v>
      </c>
      <c r="C172" t="s">
        <v>67</v>
      </c>
      <c r="D172">
        <v>160725</v>
      </c>
      <c r="E172" t="s">
        <v>31</v>
      </c>
      <c r="F172" t="s">
        <v>31</v>
      </c>
    </row>
    <row r="173" spans="1:11" x14ac:dyDescent="0.25">
      <c r="D173" t="s">
        <v>16</v>
      </c>
      <c r="E173">
        <v>2457557.8029100001</v>
      </c>
      <c r="F173" t="s">
        <v>1775</v>
      </c>
      <c r="G173">
        <v>9.5850000000000009</v>
      </c>
      <c r="H173">
        <v>1E-3</v>
      </c>
      <c r="I173" t="s">
        <v>18</v>
      </c>
      <c r="J173" t="s">
        <v>72</v>
      </c>
      <c r="K173" t="s">
        <v>20</v>
      </c>
    </row>
    <row r="174" spans="1:11" x14ac:dyDescent="0.25">
      <c r="A174" t="s">
        <v>21</v>
      </c>
      <c r="B174" t="s">
        <v>22</v>
      </c>
      <c r="C174" t="s">
        <v>23</v>
      </c>
      <c r="D174" t="s">
        <v>24</v>
      </c>
      <c r="E174" t="s">
        <v>25</v>
      </c>
      <c r="F174" t="s">
        <v>26</v>
      </c>
    </row>
    <row r="175" spans="1:11" x14ac:dyDescent="0.25">
      <c r="A175" t="s">
        <v>27</v>
      </c>
      <c r="B175" t="s">
        <v>1568</v>
      </c>
      <c r="C175" t="s">
        <v>67</v>
      </c>
      <c r="D175">
        <v>160725</v>
      </c>
      <c r="E175" t="s">
        <v>31</v>
      </c>
      <c r="F175" t="s">
        <v>31</v>
      </c>
    </row>
    <row r="176" spans="1:11" x14ac:dyDescent="0.25">
      <c r="D176" t="s">
        <v>16</v>
      </c>
      <c r="E176">
        <v>2457556.78944</v>
      </c>
      <c r="F176" t="s">
        <v>1776</v>
      </c>
      <c r="G176">
        <v>9.593</v>
      </c>
      <c r="H176">
        <v>1E-3</v>
      </c>
      <c r="I176" t="s">
        <v>18</v>
      </c>
      <c r="J176" t="s">
        <v>72</v>
      </c>
      <c r="K176" t="s">
        <v>20</v>
      </c>
    </row>
    <row r="177" spans="1:11" x14ac:dyDescent="0.25">
      <c r="A177" t="s">
        <v>21</v>
      </c>
      <c r="B177" t="s">
        <v>22</v>
      </c>
      <c r="C177" t="s">
        <v>23</v>
      </c>
      <c r="D177" t="s">
        <v>24</v>
      </c>
      <c r="E177" t="s">
        <v>25</v>
      </c>
      <c r="F177" t="s">
        <v>26</v>
      </c>
    </row>
    <row r="178" spans="1:11" x14ac:dyDescent="0.25">
      <c r="A178" t="s">
        <v>27</v>
      </c>
      <c r="B178" t="s">
        <v>1777</v>
      </c>
      <c r="C178" t="s">
        <v>67</v>
      </c>
      <c r="D178">
        <v>160725</v>
      </c>
      <c r="E178" t="s">
        <v>31</v>
      </c>
      <c r="F178" t="s">
        <v>31</v>
      </c>
    </row>
    <row r="179" spans="1:11" x14ac:dyDescent="0.25">
      <c r="D179" t="s">
        <v>16</v>
      </c>
      <c r="E179">
        <v>2457556.7884999998</v>
      </c>
      <c r="F179" t="s">
        <v>1778</v>
      </c>
      <c r="G179">
        <v>10.842000000000001</v>
      </c>
      <c r="H179">
        <v>2E-3</v>
      </c>
      <c r="I179" t="s">
        <v>34</v>
      </c>
      <c r="J179" t="s">
        <v>72</v>
      </c>
      <c r="K179" t="s">
        <v>20</v>
      </c>
    </row>
    <row r="180" spans="1:11" x14ac:dyDescent="0.25">
      <c r="A180" t="s">
        <v>21</v>
      </c>
      <c r="B180" t="s">
        <v>22</v>
      </c>
      <c r="C180" t="s">
        <v>23</v>
      </c>
      <c r="D180" t="s">
        <v>24</v>
      </c>
      <c r="E180" t="s">
        <v>25</v>
      </c>
      <c r="F180" t="s">
        <v>26</v>
      </c>
    </row>
    <row r="181" spans="1:11" x14ac:dyDescent="0.25">
      <c r="A181" t="s">
        <v>27</v>
      </c>
      <c r="B181" t="s">
        <v>1779</v>
      </c>
      <c r="C181" t="s">
        <v>67</v>
      </c>
      <c r="D181">
        <v>160725</v>
      </c>
      <c r="E181" t="s">
        <v>31</v>
      </c>
      <c r="F181" t="s">
        <v>31</v>
      </c>
    </row>
    <row r="182" spans="1:11" x14ac:dyDescent="0.25">
      <c r="D182" t="s">
        <v>16</v>
      </c>
      <c r="E182">
        <v>2457556.7874799999</v>
      </c>
      <c r="F182" t="s">
        <v>1780</v>
      </c>
      <c r="G182">
        <v>10.86</v>
      </c>
      <c r="H182">
        <v>2E-3</v>
      </c>
      <c r="I182" t="s">
        <v>34</v>
      </c>
      <c r="J182" t="s">
        <v>72</v>
      </c>
      <c r="K182" t="s">
        <v>20</v>
      </c>
    </row>
    <row r="183" spans="1:11" x14ac:dyDescent="0.25">
      <c r="A183" t="s">
        <v>21</v>
      </c>
      <c r="B183" t="s">
        <v>22</v>
      </c>
      <c r="C183" t="s">
        <v>23</v>
      </c>
      <c r="D183" t="s">
        <v>24</v>
      </c>
      <c r="E183" t="s">
        <v>25</v>
      </c>
      <c r="F183" t="s">
        <v>26</v>
      </c>
    </row>
    <row r="184" spans="1:11" x14ac:dyDescent="0.25">
      <c r="A184" t="s">
        <v>27</v>
      </c>
      <c r="B184" t="s">
        <v>1781</v>
      </c>
      <c r="C184" t="s">
        <v>67</v>
      </c>
      <c r="D184">
        <v>160725</v>
      </c>
      <c r="E184" t="s">
        <v>31</v>
      </c>
      <c r="F184" t="s">
        <v>31</v>
      </c>
    </row>
    <row r="185" spans="1:11" x14ac:dyDescent="0.25">
      <c r="D185" t="s">
        <v>16</v>
      </c>
      <c r="E185">
        <v>2457556.7864700002</v>
      </c>
      <c r="F185" t="s">
        <v>1782</v>
      </c>
      <c r="G185">
        <v>9.5679999999999996</v>
      </c>
      <c r="H185">
        <v>1E-3</v>
      </c>
      <c r="I185" t="s">
        <v>18</v>
      </c>
      <c r="J185" t="s">
        <v>72</v>
      </c>
      <c r="K185" t="s">
        <v>20</v>
      </c>
    </row>
    <row r="186" spans="1:11" x14ac:dyDescent="0.25">
      <c r="A186" t="s">
        <v>21</v>
      </c>
      <c r="B186" t="s">
        <v>22</v>
      </c>
      <c r="C186" t="s">
        <v>23</v>
      </c>
      <c r="D186" t="s">
        <v>24</v>
      </c>
      <c r="E186" t="s">
        <v>25</v>
      </c>
      <c r="F186" t="s">
        <v>26</v>
      </c>
    </row>
    <row r="187" spans="1:11" x14ac:dyDescent="0.25">
      <c r="A187" t="s">
        <v>27</v>
      </c>
      <c r="B187" t="s">
        <v>1783</v>
      </c>
      <c r="C187" t="s">
        <v>67</v>
      </c>
      <c r="D187">
        <v>160725</v>
      </c>
      <c r="E187" t="s">
        <v>31</v>
      </c>
      <c r="F187" t="s">
        <v>31</v>
      </c>
    </row>
    <row r="188" spans="1:11" x14ac:dyDescent="0.25">
      <c r="D188" t="s">
        <v>16</v>
      </c>
      <c r="E188">
        <v>2457555.7805900001</v>
      </c>
      <c r="F188" t="s">
        <v>1784</v>
      </c>
      <c r="G188">
        <v>9.5830000000000002</v>
      </c>
      <c r="H188">
        <v>1E-3</v>
      </c>
      <c r="I188" t="s">
        <v>18</v>
      </c>
      <c r="J188" t="s">
        <v>72</v>
      </c>
      <c r="K188" t="s">
        <v>20</v>
      </c>
    </row>
    <row r="189" spans="1:11" x14ac:dyDescent="0.25">
      <c r="A189" t="s">
        <v>21</v>
      </c>
      <c r="B189" t="s">
        <v>22</v>
      </c>
      <c r="C189" t="s">
        <v>23</v>
      </c>
      <c r="D189" t="s">
        <v>24</v>
      </c>
      <c r="E189" t="s">
        <v>25</v>
      </c>
      <c r="F189" t="s">
        <v>26</v>
      </c>
    </row>
    <row r="190" spans="1:11" x14ac:dyDescent="0.25">
      <c r="A190" t="s">
        <v>27</v>
      </c>
      <c r="B190" t="s">
        <v>1785</v>
      </c>
      <c r="C190" t="s">
        <v>67</v>
      </c>
      <c r="D190">
        <v>160725</v>
      </c>
      <c r="E190" t="s">
        <v>31</v>
      </c>
      <c r="F190" t="s">
        <v>31</v>
      </c>
    </row>
    <row r="191" spans="1:11" x14ac:dyDescent="0.25">
      <c r="D191" t="s">
        <v>16</v>
      </c>
      <c r="E191">
        <v>2457555.7796299998</v>
      </c>
      <c r="F191" t="s">
        <v>1786</v>
      </c>
      <c r="G191">
        <v>10.842000000000001</v>
      </c>
      <c r="H191">
        <v>2E-3</v>
      </c>
      <c r="I191" t="s">
        <v>34</v>
      </c>
      <c r="J191" t="s">
        <v>72</v>
      </c>
      <c r="K191" t="s">
        <v>20</v>
      </c>
    </row>
    <row r="192" spans="1:11" x14ac:dyDescent="0.25">
      <c r="A192" t="s">
        <v>21</v>
      </c>
      <c r="B192" t="s">
        <v>22</v>
      </c>
      <c r="C192" t="s">
        <v>23</v>
      </c>
      <c r="D192" t="s">
        <v>24</v>
      </c>
      <c r="E192" t="s">
        <v>25</v>
      </c>
      <c r="F192" t="s">
        <v>26</v>
      </c>
    </row>
    <row r="193" spans="1:11" x14ac:dyDescent="0.25">
      <c r="A193" t="s">
        <v>27</v>
      </c>
      <c r="B193" t="s">
        <v>1787</v>
      </c>
      <c r="C193" t="s">
        <v>67</v>
      </c>
      <c r="D193">
        <v>160725</v>
      </c>
      <c r="E193" t="s">
        <v>31</v>
      </c>
      <c r="F193" t="s">
        <v>31</v>
      </c>
    </row>
    <row r="194" spans="1:11" x14ac:dyDescent="0.25">
      <c r="D194" t="s">
        <v>16</v>
      </c>
      <c r="E194">
        <v>2457555.77862</v>
      </c>
      <c r="F194" t="s">
        <v>1788</v>
      </c>
      <c r="G194">
        <v>10.851000000000001</v>
      </c>
      <c r="H194">
        <v>2E-3</v>
      </c>
      <c r="I194" t="s">
        <v>34</v>
      </c>
      <c r="J194" t="s">
        <v>72</v>
      </c>
      <c r="K194" t="s">
        <v>20</v>
      </c>
    </row>
    <row r="195" spans="1:11" x14ac:dyDescent="0.25">
      <c r="A195" t="s">
        <v>21</v>
      </c>
      <c r="B195" t="s">
        <v>22</v>
      </c>
      <c r="C195" t="s">
        <v>23</v>
      </c>
      <c r="D195" t="s">
        <v>24</v>
      </c>
      <c r="E195" t="s">
        <v>25</v>
      </c>
      <c r="F195" t="s">
        <v>26</v>
      </c>
    </row>
    <row r="196" spans="1:11" x14ac:dyDescent="0.25">
      <c r="A196" t="s">
        <v>27</v>
      </c>
      <c r="B196" t="s">
        <v>92</v>
      </c>
      <c r="C196" t="s">
        <v>67</v>
      </c>
      <c r="D196">
        <v>160725</v>
      </c>
      <c r="E196" t="s">
        <v>31</v>
      </c>
      <c r="F196" t="s">
        <v>31</v>
      </c>
    </row>
    <row r="197" spans="1:11" x14ac:dyDescent="0.25">
      <c r="D197" t="s">
        <v>16</v>
      </c>
      <c r="E197">
        <v>2457555.7776199998</v>
      </c>
      <c r="F197" t="s">
        <v>1789</v>
      </c>
      <c r="G197">
        <v>9.5790000000000006</v>
      </c>
      <c r="H197">
        <v>1E-3</v>
      </c>
      <c r="I197" t="s">
        <v>18</v>
      </c>
      <c r="J197" t="s">
        <v>72</v>
      </c>
      <c r="K197" t="s">
        <v>20</v>
      </c>
    </row>
    <row r="198" spans="1:11" x14ac:dyDescent="0.25">
      <c r="A198" t="s">
        <v>21</v>
      </c>
      <c r="B198" t="s">
        <v>22</v>
      </c>
      <c r="C198" t="s">
        <v>23</v>
      </c>
      <c r="D198" t="s">
        <v>24</v>
      </c>
      <c r="E198" t="s">
        <v>25</v>
      </c>
      <c r="F198" t="s">
        <v>26</v>
      </c>
    </row>
    <row r="199" spans="1:11" x14ac:dyDescent="0.25">
      <c r="A199" t="s">
        <v>27</v>
      </c>
      <c r="B199" t="s">
        <v>1790</v>
      </c>
      <c r="C199" t="s">
        <v>67</v>
      </c>
      <c r="D199">
        <v>160725</v>
      </c>
      <c r="E199" t="s">
        <v>31</v>
      </c>
      <c r="F199" t="s">
        <v>31</v>
      </c>
    </row>
    <row r="200" spans="1:11" x14ac:dyDescent="0.25">
      <c r="D200" t="s">
        <v>16</v>
      </c>
      <c r="E200">
        <v>2457554.7808099999</v>
      </c>
      <c r="F200" t="s">
        <v>1791</v>
      </c>
      <c r="G200">
        <v>9.5440000000000005</v>
      </c>
      <c r="H200">
        <v>1E-3</v>
      </c>
      <c r="I200" t="s">
        <v>18</v>
      </c>
      <c r="J200" t="s">
        <v>72</v>
      </c>
      <c r="K200" t="s">
        <v>20</v>
      </c>
    </row>
    <row r="201" spans="1:11" x14ac:dyDescent="0.25">
      <c r="A201" t="s">
        <v>21</v>
      </c>
      <c r="B201" t="s">
        <v>22</v>
      </c>
      <c r="C201" t="s">
        <v>23</v>
      </c>
      <c r="D201" t="s">
        <v>24</v>
      </c>
      <c r="E201" t="s">
        <v>25</v>
      </c>
      <c r="F201" t="s">
        <v>26</v>
      </c>
    </row>
    <row r="202" spans="1:11" x14ac:dyDescent="0.25">
      <c r="A202" t="s">
        <v>27</v>
      </c>
      <c r="B202" t="s">
        <v>1792</v>
      </c>
      <c r="C202" t="s">
        <v>67</v>
      </c>
      <c r="D202">
        <v>160725</v>
      </c>
      <c r="E202" t="s">
        <v>31</v>
      </c>
      <c r="F202" t="s">
        <v>31</v>
      </c>
    </row>
    <row r="203" spans="1:11" x14ac:dyDescent="0.25">
      <c r="D203" t="s">
        <v>16</v>
      </c>
      <c r="E203">
        <v>2457554.77985</v>
      </c>
      <c r="F203" t="s">
        <v>1793</v>
      </c>
      <c r="G203">
        <v>10.818</v>
      </c>
      <c r="H203">
        <v>2E-3</v>
      </c>
      <c r="I203" t="s">
        <v>34</v>
      </c>
      <c r="J203" t="s">
        <v>72</v>
      </c>
      <c r="K203" t="s">
        <v>20</v>
      </c>
    </row>
    <row r="204" spans="1:11" x14ac:dyDescent="0.25">
      <c r="A204" t="s">
        <v>21</v>
      </c>
      <c r="B204" t="s">
        <v>22</v>
      </c>
      <c r="C204" t="s">
        <v>23</v>
      </c>
      <c r="D204" t="s">
        <v>24</v>
      </c>
      <c r="E204" t="s">
        <v>25</v>
      </c>
      <c r="F204" t="s">
        <v>26</v>
      </c>
    </row>
    <row r="205" spans="1:11" x14ac:dyDescent="0.25">
      <c r="A205" t="s">
        <v>27</v>
      </c>
      <c r="B205" t="s">
        <v>1794</v>
      </c>
      <c r="C205" t="s">
        <v>67</v>
      </c>
      <c r="D205">
        <v>160725</v>
      </c>
      <c r="E205" t="s">
        <v>31</v>
      </c>
      <c r="F205" t="s">
        <v>31</v>
      </c>
    </row>
    <row r="206" spans="1:11" x14ac:dyDescent="0.25">
      <c r="D206" t="s">
        <v>16</v>
      </c>
      <c r="E206">
        <v>2457554.7788399998</v>
      </c>
      <c r="F206" t="s">
        <v>1795</v>
      </c>
      <c r="G206">
        <v>10.833</v>
      </c>
      <c r="H206">
        <v>2E-3</v>
      </c>
      <c r="I206" t="s">
        <v>34</v>
      </c>
      <c r="J206" t="s">
        <v>72</v>
      </c>
      <c r="K206" t="s">
        <v>20</v>
      </c>
    </row>
    <row r="207" spans="1:11" x14ac:dyDescent="0.25">
      <c r="A207" t="s">
        <v>21</v>
      </c>
      <c r="B207" t="s">
        <v>22</v>
      </c>
      <c r="C207" t="s">
        <v>23</v>
      </c>
      <c r="D207" t="s">
        <v>24</v>
      </c>
      <c r="E207" t="s">
        <v>25</v>
      </c>
      <c r="F207" t="s">
        <v>26</v>
      </c>
    </row>
    <row r="208" spans="1:11" x14ac:dyDescent="0.25">
      <c r="A208" t="s">
        <v>27</v>
      </c>
      <c r="B208" t="s">
        <v>1544</v>
      </c>
      <c r="C208" t="s">
        <v>67</v>
      </c>
      <c r="D208">
        <v>160725</v>
      </c>
      <c r="E208" t="s">
        <v>31</v>
      </c>
      <c r="F208" t="s">
        <v>31</v>
      </c>
    </row>
    <row r="209" spans="1:11" x14ac:dyDescent="0.25">
      <c r="D209" t="s">
        <v>16</v>
      </c>
      <c r="E209">
        <v>2457554.7778400001</v>
      </c>
      <c r="F209" t="s">
        <v>1796</v>
      </c>
      <c r="G209">
        <v>9.5579999999999998</v>
      </c>
      <c r="H209">
        <v>1E-3</v>
      </c>
      <c r="I209" t="s">
        <v>18</v>
      </c>
      <c r="J209" t="s">
        <v>72</v>
      </c>
      <c r="K209" t="s">
        <v>20</v>
      </c>
    </row>
    <row r="210" spans="1:11" x14ac:dyDescent="0.25">
      <c r="A210" t="s">
        <v>21</v>
      </c>
      <c r="B210" t="s">
        <v>22</v>
      </c>
      <c r="C210" t="s">
        <v>23</v>
      </c>
      <c r="D210" t="s">
        <v>24</v>
      </c>
      <c r="E210" t="s">
        <v>25</v>
      </c>
      <c r="F210" t="s">
        <v>26</v>
      </c>
    </row>
    <row r="211" spans="1:11" x14ac:dyDescent="0.25">
      <c r="A211" t="s">
        <v>27</v>
      </c>
      <c r="B211" t="s">
        <v>1797</v>
      </c>
      <c r="C211" t="s">
        <v>67</v>
      </c>
      <c r="D211">
        <v>160725</v>
      </c>
      <c r="E211" t="s">
        <v>31</v>
      </c>
      <c r="F211" t="s">
        <v>31</v>
      </c>
    </row>
    <row r="212" spans="1:11" x14ac:dyDescent="0.25">
      <c r="D212" t="s">
        <v>16</v>
      </c>
      <c r="E212">
        <v>2457553.8113199999</v>
      </c>
      <c r="F212" t="s">
        <v>1798</v>
      </c>
      <c r="G212">
        <v>9.5540000000000003</v>
      </c>
      <c r="H212">
        <v>1E-3</v>
      </c>
      <c r="I212" t="s">
        <v>18</v>
      </c>
      <c r="J212" t="s">
        <v>72</v>
      </c>
      <c r="K212" t="s">
        <v>20</v>
      </c>
    </row>
    <row r="213" spans="1:11" x14ac:dyDescent="0.25">
      <c r="A213" t="s">
        <v>21</v>
      </c>
      <c r="B213" t="s">
        <v>22</v>
      </c>
      <c r="C213" t="s">
        <v>23</v>
      </c>
      <c r="D213" t="s">
        <v>24</v>
      </c>
      <c r="E213" t="s">
        <v>25</v>
      </c>
      <c r="F213" t="s">
        <v>26</v>
      </c>
    </row>
    <row r="214" spans="1:11" x14ac:dyDescent="0.25">
      <c r="A214" t="s">
        <v>27</v>
      </c>
      <c r="B214" t="s">
        <v>1790</v>
      </c>
      <c r="C214" t="s">
        <v>67</v>
      </c>
      <c r="D214">
        <v>160725</v>
      </c>
      <c r="E214" t="s">
        <v>31</v>
      </c>
      <c r="F214" t="s">
        <v>31</v>
      </c>
    </row>
    <row r="215" spans="1:11" x14ac:dyDescent="0.25">
      <c r="D215" t="s">
        <v>16</v>
      </c>
      <c r="E215">
        <v>2457553.8103700001</v>
      </c>
      <c r="F215" t="s">
        <v>1799</v>
      </c>
      <c r="G215">
        <v>10.82</v>
      </c>
      <c r="H215">
        <v>2E-3</v>
      </c>
      <c r="I215" t="s">
        <v>34</v>
      </c>
      <c r="J215" t="s">
        <v>72</v>
      </c>
      <c r="K215" t="s">
        <v>20</v>
      </c>
    </row>
    <row r="216" spans="1:11" x14ac:dyDescent="0.25">
      <c r="A216" t="s">
        <v>21</v>
      </c>
      <c r="B216" t="s">
        <v>22</v>
      </c>
      <c r="C216" t="s">
        <v>23</v>
      </c>
      <c r="D216" t="s">
        <v>24</v>
      </c>
      <c r="E216" t="s">
        <v>25</v>
      </c>
      <c r="F216" t="s">
        <v>26</v>
      </c>
    </row>
    <row r="217" spans="1:11" x14ac:dyDescent="0.25">
      <c r="A217" t="s">
        <v>27</v>
      </c>
      <c r="B217" t="s">
        <v>1540</v>
      </c>
      <c r="C217" t="s">
        <v>67</v>
      </c>
      <c r="D217">
        <v>160725</v>
      </c>
      <c r="E217" t="s">
        <v>31</v>
      </c>
      <c r="F217" t="s">
        <v>31</v>
      </c>
    </row>
    <row r="218" spans="1:11" x14ac:dyDescent="0.25">
      <c r="D218" t="s">
        <v>16</v>
      </c>
      <c r="E218">
        <v>2457553.8093599998</v>
      </c>
      <c r="F218" t="s">
        <v>1800</v>
      </c>
      <c r="G218">
        <v>10.823</v>
      </c>
      <c r="H218">
        <v>2E-3</v>
      </c>
      <c r="I218" t="s">
        <v>34</v>
      </c>
      <c r="J218" t="s">
        <v>72</v>
      </c>
      <c r="K218" t="s">
        <v>20</v>
      </c>
    </row>
    <row r="219" spans="1:11" x14ac:dyDescent="0.25">
      <c r="A219" t="s">
        <v>21</v>
      </c>
      <c r="B219" t="s">
        <v>22</v>
      </c>
      <c r="C219" t="s">
        <v>23</v>
      </c>
      <c r="D219" t="s">
        <v>24</v>
      </c>
      <c r="E219" t="s">
        <v>25</v>
      </c>
      <c r="F219" t="s">
        <v>26</v>
      </c>
    </row>
    <row r="220" spans="1:11" x14ac:dyDescent="0.25">
      <c r="A220" t="s">
        <v>27</v>
      </c>
      <c r="B220" t="s">
        <v>1801</v>
      </c>
      <c r="C220" t="s">
        <v>67</v>
      </c>
      <c r="D220">
        <v>160725</v>
      </c>
      <c r="E220" t="s">
        <v>31</v>
      </c>
      <c r="F220" t="s">
        <v>31</v>
      </c>
    </row>
    <row r="221" spans="1:11" x14ac:dyDescent="0.25">
      <c r="D221" t="s">
        <v>16</v>
      </c>
      <c r="E221">
        <v>2457553.80834</v>
      </c>
      <c r="F221" t="s">
        <v>1802</v>
      </c>
      <c r="G221">
        <v>9.5579999999999998</v>
      </c>
      <c r="H221">
        <v>1E-3</v>
      </c>
      <c r="I221" t="s">
        <v>18</v>
      </c>
      <c r="J221" t="s">
        <v>72</v>
      </c>
      <c r="K221" t="s">
        <v>20</v>
      </c>
    </row>
    <row r="222" spans="1:11" x14ac:dyDescent="0.25">
      <c r="A222" t="s">
        <v>21</v>
      </c>
      <c r="B222" t="s">
        <v>22</v>
      </c>
      <c r="C222" t="s">
        <v>23</v>
      </c>
      <c r="D222" t="s">
        <v>24</v>
      </c>
      <c r="E222" t="s">
        <v>25</v>
      </c>
      <c r="F222" t="s">
        <v>26</v>
      </c>
    </row>
    <row r="223" spans="1:11" x14ac:dyDescent="0.25">
      <c r="A223" t="s">
        <v>27</v>
      </c>
      <c r="B223" t="s">
        <v>1803</v>
      </c>
      <c r="C223" t="s">
        <v>67</v>
      </c>
      <c r="D223">
        <v>160725</v>
      </c>
      <c r="E223" t="s">
        <v>31</v>
      </c>
      <c r="F223" t="s">
        <v>31</v>
      </c>
    </row>
    <row r="224" spans="1:11" x14ac:dyDescent="0.25">
      <c r="D224" t="s">
        <v>16</v>
      </c>
      <c r="E224">
        <v>2457551.8237700001</v>
      </c>
      <c r="F224" t="s">
        <v>1804</v>
      </c>
      <c r="G224">
        <v>9.5549999999999997</v>
      </c>
      <c r="H224">
        <v>1E-3</v>
      </c>
      <c r="I224" t="s">
        <v>18</v>
      </c>
      <c r="J224" t="s">
        <v>72</v>
      </c>
      <c r="K224" t="s">
        <v>20</v>
      </c>
    </row>
    <row r="225" spans="1:11" x14ac:dyDescent="0.25">
      <c r="A225" t="s">
        <v>21</v>
      </c>
      <c r="B225" t="s">
        <v>22</v>
      </c>
      <c r="C225" t="s">
        <v>23</v>
      </c>
      <c r="D225" t="s">
        <v>24</v>
      </c>
      <c r="E225" t="s">
        <v>25</v>
      </c>
      <c r="F225" t="s">
        <v>26</v>
      </c>
    </row>
    <row r="226" spans="1:11" x14ac:dyDescent="0.25">
      <c r="A226" t="s">
        <v>27</v>
      </c>
      <c r="B226" t="s">
        <v>1770</v>
      </c>
      <c r="C226" t="s">
        <v>67</v>
      </c>
      <c r="D226">
        <v>160725</v>
      </c>
      <c r="E226" t="s">
        <v>31</v>
      </c>
      <c r="F226" t="s">
        <v>31</v>
      </c>
    </row>
    <row r="227" spans="1:11" x14ac:dyDescent="0.25">
      <c r="D227" t="s">
        <v>16</v>
      </c>
      <c r="E227">
        <v>2457551.8228099998</v>
      </c>
      <c r="F227" t="s">
        <v>1805</v>
      </c>
      <c r="G227">
        <v>10.773999999999999</v>
      </c>
      <c r="H227">
        <v>2E-3</v>
      </c>
      <c r="I227" t="s">
        <v>34</v>
      </c>
      <c r="J227" t="s">
        <v>72</v>
      </c>
      <c r="K227" t="s">
        <v>20</v>
      </c>
    </row>
    <row r="228" spans="1:11" x14ac:dyDescent="0.25">
      <c r="A228" t="s">
        <v>21</v>
      </c>
      <c r="B228" t="s">
        <v>22</v>
      </c>
      <c r="C228" t="s">
        <v>23</v>
      </c>
      <c r="D228" t="s">
        <v>24</v>
      </c>
      <c r="E228" t="s">
        <v>25</v>
      </c>
      <c r="F228" t="s">
        <v>26</v>
      </c>
    </row>
    <row r="229" spans="1:11" x14ac:dyDescent="0.25">
      <c r="A229" t="s">
        <v>27</v>
      </c>
      <c r="B229" t="s">
        <v>1806</v>
      </c>
      <c r="C229" t="s">
        <v>67</v>
      </c>
      <c r="D229">
        <v>160725</v>
      </c>
      <c r="E229" t="s">
        <v>31</v>
      </c>
      <c r="F229" t="s">
        <v>31</v>
      </c>
    </row>
    <row r="230" spans="1:11" x14ac:dyDescent="0.25">
      <c r="D230" t="s">
        <v>16</v>
      </c>
      <c r="E230">
        <v>2457551.82179</v>
      </c>
      <c r="F230" t="s">
        <v>1807</v>
      </c>
      <c r="G230">
        <v>10.789</v>
      </c>
      <c r="H230">
        <v>2E-3</v>
      </c>
      <c r="I230" t="s">
        <v>34</v>
      </c>
      <c r="J230" t="s">
        <v>72</v>
      </c>
      <c r="K230" t="s">
        <v>20</v>
      </c>
    </row>
    <row r="231" spans="1:11" x14ac:dyDescent="0.25">
      <c r="A231" t="s">
        <v>21</v>
      </c>
      <c r="B231" t="s">
        <v>22</v>
      </c>
      <c r="C231" t="s">
        <v>23</v>
      </c>
      <c r="D231" t="s">
        <v>24</v>
      </c>
      <c r="E231" t="s">
        <v>25</v>
      </c>
      <c r="F231" t="s">
        <v>26</v>
      </c>
    </row>
    <row r="232" spans="1:11" x14ac:dyDescent="0.25">
      <c r="A232" t="s">
        <v>27</v>
      </c>
      <c r="B232" t="s">
        <v>1758</v>
      </c>
      <c r="C232" t="s">
        <v>67</v>
      </c>
      <c r="D232">
        <v>160725</v>
      </c>
      <c r="E232" t="s">
        <v>31</v>
      </c>
      <c r="F232" t="s">
        <v>31</v>
      </c>
    </row>
    <row r="233" spans="1:11" x14ac:dyDescent="0.25">
      <c r="D233" t="s">
        <v>16</v>
      </c>
      <c r="E233">
        <v>2457551.8207800002</v>
      </c>
      <c r="F233" t="s">
        <v>1808</v>
      </c>
      <c r="G233">
        <v>9.5640000000000001</v>
      </c>
      <c r="H233">
        <v>1E-3</v>
      </c>
      <c r="I233" t="s">
        <v>18</v>
      </c>
      <c r="J233" t="s">
        <v>72</v>
      </c>
      <c r="K233" t="s">
        <v>20</v>
      </c>
    </row>
    <row r="234" spans="1:11" x14ac:dyDescent="0.25">
      <c r="A234" t="s">
        <v>21</v>
      </c>
      <c r="B234" t="s">
        <v>22</v>
      </c>
      <c r="C234" t="s">
        <v>23</v>
      </c>
      <c r="D234" t="s">
        <v>24</v>
      </c>
      <c r="E234" t="s">
        <v>25</v>
      </c>
      <c r="F234" t="s">
        <v>26</v>
      </c>
    </row>
    <row r="235" spans="1:11" x14ac:dyDescent="0.25">
      <c r="A235" t="s">
        <v>27</v>
      </c>
      <c r="B235" t="s">
        <v>1809</v>
      </c>
      <c r="C235" t="s">
        <v>67</v>
      </c>
      <c r="D235">
        <v>160725</v>
      </c>
      <c r="E235" t="s">
        <v>31</v>
      </c>
      <c r="F235" t="s">
        <v>31</v>
      </c>
    </row>
    <row r="236" spans="1:11" x14ac:dyDescent="0.25">
      <c r="D236" t="s">
        <v>16</v>
      </c>
      <c r="E236">
        <v>2457545.8437800002</v>
      </c>
      <c r="F236" t="s">
        <v>1810</v>
      </c>
      <c r="G236">
        <v>9.532</v>
      </c>
      <c r="H236">
        <v>1E-3</v>
      </c>
      <c r="I236" t="s">
        <v>18</v>
      </c>
      <c r="J236" t="s">
        <v>72</v>
      </c>
      <c r="K236" t="s">
        <v>20</v>
      </c>
    </row>
    <row r="237" spans="1:11" x14ac:dyDescent="0.25">
      <c r="A237" t="s">
        <v>21</v>
      </c>
      <c r="B237" t="s">
        <v>22</v>
      </c>
      <c r="C237" t="s">
        <v>23</v>
      </c>
      <c r="D237" t="s">
        <v>24</v>
      </c>
      <c r="E237" t="s">
        <v>25</v>
      </c>
      <c r="F237" t="s">
        <v>26</v>
      </c>
    </row>
    <row r="238" spans="1:11" x14ac:dyDescent="0.25">
      <c r="A238" t="s">
        <v>27</v>
      </c>
      <c r="B238" t="s">
        <v>1811</v>
      </c>
      <c r="C238" t="s">
        <v>67</v>
      </c>
      <c r="D238">
        <v>160725</v>
      </c>
      <c r="E238" t="s">
        <v>31</v>
      </c>
      <c r="F238" t="s">
        <v>31</v>
      </c>
    </row>
    <row r="239" spans="1:11" x14ac:dyDescent="0.25">
      <c r="D239" t="s">
        <v>16</v>
      </c>
      <c r="E239">
        <v>2457545.8428400001</v>
      </c>
      <c r="F239" t="s">
        <v>1812</v>
      </c>
      <c r="G239">
        <v>10.747</v>
      </c>
      <c r="H239">
        <v>2E-3</v>
      </c>
      <c r="I239" t="s">
        <v>34</v>
      </c>
      <c r="J239" t="s">
        <v>72</v>
      </c>
      <c r="K239" t="s">
        <v>20</v>
      </c>
    </row>
    <row r="240" spans="1:11" x14ac:dyDescent="0.25">
      <c r="A240" t="s">
        <v>21</v>
      </c>
      <c r="B240" t="s">
        <v>22</v>
      </c>
      <c r="C240" t="s">
        <v>23</v>
      </c>
      <c r="D240" t="s">
        <v>24</v>
      </c>
      <c r="E240" t="s">
        <v>25</v>
      </c>
      <c r="F240" t="s">
        <v>26</v>
      </c>
    </row>
    <row r="241" spans="1:11" x14ac:dyDescent="0.25">
      <c r="A241" t="s">
        <v>27</v>
      </c>
      <c r="B241" t="s">
        <v>1813</v>
      </c>
      <c r="C241" t="s">
        <v>67</v>
      </c>
      <c r="D241">
        <v>160725</v>
      </c>
      <c r="E241" t="s">
        <v>31</v>
      </c>
      <c r="F241" t="s">
        <v>31</v>
      </c>
    </row>
    <row r="242" spans="1:11" x14ac:dyDescent="0.25">
      <c r="D242" t="s">
        <v>16</v>
      </c>
      <c r="E242">
        <v>2457545.8418299998</v>
      </c>
      <c r="F242" t="s">
        <v>1814</v>
      </c>
      <c r="G242">
        <v>10.747999999999999</v>
      </c>
      <c r="H242">
        <v>2E-3</v>
      </c>
      <c r="I242" t="s">
        <v>34</v>
      </c>
      <c r="J242" t="s">
        <v>72</v>
      </c>
      <c r="K242" t="s">
        <v>20</v>
      </c>
    </row>
    <row r="243" spans="1:11" x14ac:dyDescent="0.25">
      <c r="A243" t="s">
        <v>21</v>
      </c>
      <c r="B243" t="s">
        <v>22</v>
      </c>
      <c r="C243" t="s">
        <v>23</v>
      </c>
      <c r="D243" t="s">
        <v>24</v>
      </c>
      <c r="E243" t="s">
        <v>25</v>
      </c>
      <c r="F243" t="s">
        <v>26</v>
      </c>
    </row>
    <row r="244" spans="1:11" x14ac:dyDescent="0.25">
      <c r="A244" t="s">
        <v>27</v>
      </c>
      <c r="B244" t="s">
        <v>1815</v>
      </c>
      <c r="C244" t="s">
        <v>67</v>
      </c>
      <c r="D244">
        <v>160725</v>
      </c>
      <c r="E244" t="s">
        <v>31</v>
      </c>
      <c r="F244" t="s">
        <v>31</v>
      </c>
    </row>
    <row r="245" spans="1:11" x14ac:dyDescent="0.25">
      <c r="D245" t="s">
        <v>16</v>
      </c>
      <c r="E245">
        <v>2457545.84082</v>
      </c>
      <c r="F245" t="s">
        <v>1816</v>
      </c>
      <c r="G245">
        <v>9.5329999999999995</v>
      </c>
      <c r="H245">
        <v>1E-3</v>
      </c>
      <c r="I245" t="s">
        <v>18</v>
      </c>
      <c r="J245" t="s">
        <v>72</v>
      </c>
      <c r="K245" t="s">
        <v>20</v>
      </c>
    </row>
    <row r="246" spans="1:11" x14ac:dyDescent="0.25">
      <c r="A246" t="s">
        <v>21</v>
      </c>
      <c r="B246" t="s">
        <v>22</v>
      </c>
      <c r="C246" t="s">
        <v>23</v>
      </c>
      <c r="D246" t="s">
        <v>24</v>
      </c>
      <c r="E246" t="s">
        <v>25</v>
      </c>
      <c r="F246" t="s">
        <v>26</v>
      </c>
    </row>
    <row r="247" spans="1:11" x14ac:dyDescent="0.25">
      <c r="A247" t="s">
        <v>27</v>
      </c>
      <c r="B247" t="s">
        <v>1817</v>
      </c>
      <c r="C247" t="s">
        <v>67</v>
      </c>
      <c r="D247">
        <v>160725</v>
      </c>
      <c r="E247" t="s">
        <v>31</v>
      </c>
      <c r="F247" t="s">
        <v>31</v>
      </c>
    </row>
    <row r="248" spans="1:11" x14ac:dyDescent="0.25">
      <c r="D248" t="s">
        <v>16</v>
      </c>
      <c r="E248">
        <v>2457545.4159599999</v>
      </c>
      <c r="F248" t="s">
        <v>17</v>
      </c>
      <c r="G248">
        <v>9.5690000000000008</v>
      </c>
      <c r="H248">
        <v>2.1000000000000001E-2</v>
      </c>
      <c r="I248" t="s">
        <v>18</v>
      </c>
      <c r="J248" t="s">
        <v>19</v>
      </c>
      <c r="K248" t="s">
        <v>20</v>
      </c>
    </row>
    <row r="249" spans="1:11" x14ac:dyDescent="0.25">
      <c r="A249" t="s">
        <v>21</v>
      </c>
      <c r="B249" t="s">
        <v>22</v>
      </c>
      <c r="C249" t="s">
        <v>23</v>
      </c>
      <c r="D249" t="s">
        <v>24</v>
      </c>
      <c r="E249" t="s">
        <v>25</v>
      </c>
      <c r="F249" t="s">
        <v>26</v>
      </c>
    </row>
    <row r="250" spans="1:11" x14ac:dyDescent="0.25">
      <c r="A250" t="s">
        <v>27</v>
      </c>
      <c r="B250" t="s">
        <v>28</v>
      </c>
      <c r="C250" t="s">
        <v>29</v>
      </c>
      <c r="D250" t="s">
        <v>30</v>
      </c>
      <c r="E250" t="s">
        <v>31</v>
      </c>
      <c r="F250" t="s">
        <v>32</v>
      </c>
    </row>
    <row r="251" spans="1:11" x14ac:dyDescent="0.25">
      <c r="D251" t="s">
        <v>16</v>
      </c>
      <c r="E251">
        <v>2457545.4158399999</v>
      </c>
      <c r="F251" t="s">
        <v>33</v>
      </c>
      <c r="G251">
        <v>10.778</v>
      </c>
      <c r="H251">
        <v>2.3E-2</v>
      </c>
      <c r="I251" t="s">
        <v>34</v>
      </c>
      <c r="J251" t="s">
        <v>19</v>
      </c>
      <c r="K251" t="s">
        <v>20</v>
      </c>
    </row>
    <row r="252" spans="1:11" x14ac:dyDescent="0.25">
      <c r="A252" t="s">
        <v>21</v>
      </c>
      <c r="B252" t="s">
        <v>22</v>
      </c>
      <c r="C252" t="s">
        <v>23</v>
      </c>
      <c r="D252" t="s">
        <v>24</v>
      </c>
      <c r="E252" t="s">
        <v>25</v>
      </c>
      <c r="F252" t="s">
        <v>26</v>
      </c>
    </row>
    <row r="253" spans="1:11" x14ac:dyDescent="0.25">
      <c r="A253" t="s">
        <v>27</v>
      </c>
      <c r="B253" t="s">
        <v>35</v>
      </c>
      <c r="C253" t="s">
        <v>29</v>
      </c>
      <c r="D253" t="s">
        <v>30</v>
      </c>
      <c r="E253" t="s">
        <v>31</v>
      </c>
      <c r="F253" t="s">
        <v>32</v>
      </c>
    </row>
    <row r="254" spans="1:11" x14ac:dyDescent="0.25">
      <c r="D254" t="s">
        <v>16</v>
      </c>
      <c r="E254">
        <v>2457543.7781099998</v>
      </c>
      <c r="F254" t="s">
        <v>1818</v>
      </c>
      <c r="G254">
        <v>9.5440000000000005</v>
      </c>
      <c r="H254">
        <v>1E-3</v>
      </c>
      <c r="I254" t="s">
        <v>18</v>
      </c>
      <c r="J254" t="s">
        <v>72</v>
      </c>
      <c r="K254" t="s">
        <v>20</v>
      </c>
    </row>
    <row r="255" spans="1:11" x14ac:dyDescent="0.25">
      <c r="A255" t="s">
        <v>21</v>
      </c>
      <c r="B255" t="s">
        <v>22</v>
      </c>
      <c r="C255" t="s">
        <v>23</v>
      </c>
      <c r="D255" t="s">
        <v>24</v>
      </c>
      <c r="E255" t="s">
        <v>25</v>
      </c>
      <c r="F255" t="s">
        <v>26</v>
      </c>
    </row>
    <row r="256" spans="1:11" x14ac:dyDescent="0.25">
      <c r="A256" t="s">
        <v>27</v>
      </c>
      <c r="B256" t="s">
        <v>1568</v>
      </c>
      <c r="C256" t="s">
        <v>67</v>
      </c>
      <c r="D256">
        <v>160725</v>
      </c>
      <c r="E256" t="s">
        <v>31</v>
      </c>
      <c r="F256" t="s">
        <v>31</v>
      </c>
    </row>
    <row r="257" spans="1:11" x14ac:dyDescent="0.25">
      <c r="D257" t="s">
        <v>16</v>
      </c>
      <c r="E257">
        <v>2457543.7771399999</v>
      </c>
      <c r="F257" t="s">
        <v>1819</v>
      </c>
      <c r="G257">
        <v>10.717000000000001</v>
      </c>
      <c r="H257">
        <v>2E-3</v>
      </c>
      <c r="I257" t="s">
        <v>34</v>
      </c>
      <c r="J257" t="s">
        <v>72</v>
      </c>
      <c r="K257" t="s">
        <v>20</v>
      </c>
    </row>
    <row r="258" spans="1:11" x14ac:dyDescent="0.25">
      <c r="A258" t="s">
        <v>21</v>
      </c>
      <c r="B258" t="s">
        <v>22</v>
      </c>
      <c r="C258" t="s">
        <v>23</v>
      </c>
      <c r="D258" t="s">
        <v>24</v>
      </c>
      <c r="E258" t="s">
        <v>25</v>
      </c>
      <c r="F258" t="s">
        <v>26</v>
      </c>
    </row>
    <row r="259" spans="1:11" x14ac:dyDescent="0.25">
      <c r="A259" t="s">
        <v>27</v>
      </c>
      <c r="B259" t="s">
        <v>1820</v>
      </c>
      <c r="C259" t="s">
        <v>67</v>
      </c>
      <c r="D259">
        <v>160725</v>
      </c>
      <c r="E259" t="s">
        <v>31</v>
      </c>
      <c r="F259" t="s">
        <v>31</v>
      </c>
    </row>
    <row r="260" spans="1:11" x14ac:dyDescent="0.25">
      <c r="D260" t="s">
        <v>16</v>
      </c>
      <c r="E260">
        <v>2457543.7761200001</v>
      </c>
      <c r="F260" t="s">
        <v>1821</v>
      </c>
      <c r="G260">
        <v>10.737</v>
      </c>
      <c r="H260">
        <v>2E-3</v>
      </c>
      <c r="I260" t="s">
        <v>34</v>
      </c>
      <c r="J260" t="s">
        <v>72</v>
      </c>
      <c r="K260" t="s">
        <v>20</v>
      </c>
    </row>
    <row r="261" spans="1:11" x14ac:dyDescent="0.25">
      <c r="A261" t="s">
        <v>21</v>
      </c>
      <c r="B261" t="s">
        <v>22</v>
      </c>
      <c r="C261" t="s">
        <v>23</v>
      </c>
      <c r="D261" t="s">
        <v>24</v>
      </c>
      <c r="E261" t="s">
        <v>25</v>
      </c>
      <c r="F261" t="s">
        <v>26</v>
      </c>
    </row>
    <row r="262" spans="1:11" x14ac:dyDescent="0.25">
      <c r="A262" t="s">
        <v>27</v>
      </c>
      <c r="B262" t="s">
        <v>1822</v>
      </c>
      <c r="C262" t="s">
        <v>67</v>
      </c>
      <c r="D262">
        <v>160725</v>
      </c>
      <c r="E262" t="s">
        <v>31</v>
      </c>
      <c r="F262" t="s">
        <v>31</v>
      </c>
    </row>
    <row r="263" spans="1:11" x14ac:dyDescent="0.25">
      <c r="D263" t="s">
        <v>16</v>
      </c>
      <c r="E263">
        <v>2457543.7751000002</v>
      </c>
      <c r="F263" t="s">
        <v>1823</v>
      </c>
      <c r="G263">
        <v>9.5210000000000008</v>
      </c>
      <c r="H263">
        <v>1E-3</v>
      </c>
      <c r="I263" t="s">
        <v>18</v>
      </c>
      <c r="J263" t="s">
        <v>72</v>
      </c>
      <c r="K263" t="s">
        <v>20</v>
      </c>
    </row>
    <row r="264" spans="1:11" x14ac:dyDescent="0.25">
      <c r="A264" t="s">
        <v>21</v>
      </c>
      <c r="B264" t="s">
        <v>22</v>
      </c>
      <c r="C264" t="s">
        <v>23</v>
      </c>
      <c r="D264" t="s">
        <v>24</v>
      </c>
      <c r="E264" t="s">
        <v>25</v>
      </c>
      <c r="F264" t="s">
        <v>26</v>
      </c>
    </row>
    <row r="265" spans="1:11" x14ac:dyDescent="0.25">
      <c r="A265" t="s">
        <v>27</v>
      </c>
      <c r="B265" t="s">
        <v>1824</v>
      </c>
      <c r="C265" t="s">
        <v>67</v>
      </c>
      <c r="D265">
        <v>160725</v>
      </c>
      <c r="E265" t="s">
        <v>31</v>
      </c>
      <c r="F265" t="s">
        <v>31</v>
      </c>
    </row>
    <row r="266" spans="1:11" x14ac:dyDescent="0.25">
      <c r="D266" t="s">
        <v>16</v>
      </c>
      <c r="E266">
        <v>2457542.8517100001</v>
      </c>
      <c r="F266" t="s">
        <v>1825</v>
      </c>
      <c r="G266">
        <v>9.5190000000000001</v>
      </c>
      <c r="H266">
        <v>1E-3</v>
      </c>
      <c r="I266" t="s">
        <v>18</v>
      </c>
      <c r="J266" t="s">
        <v>72</v>
      </c>
      <c r="K266" t="s">
        <v>20</v>
      </c>
    </row>
    <row r="267" spans="1:11" x14ac:dyDescent="0.25">
      <c r="A267" t="s">
        <v>21</v>
      </c>
      <c r="B267" t="s">
        <v>22</v>
      </c>
      <c r="C267" t="s">
        <v>23</v>
      </c>
      <c r="D267" t="s">
        <v>24</v>
      </c>
      <c r="E267" t="s">
        <v>25</v>
      </c>
      <c r="F267" t="s">
        <v>26</v>
      </c>
    </row>
    <row r="268" spans="1:11" x14ac:dyDescent="0.25">
      <c r="A268" t="s">
        <v>27</v>
      </c>
      <c r="B268" t="s">
        <v>1826</v>
      </c>
      <c r="C268" t="s">
        <v>67</v>
      </c>
      <c r="D268">
        <v>160725</v>
      </c>
      <c r="E268" t="s">
        <v>31</v>
      </c>
      <c r="F268" t="s">
        <v>31</v>
      </c>
    </row>
    <row r="269" spans="1:11" x14ac:dyDescent="0.25">
      <c r="D269" t="s">
        <v>16</v>
      </c>
      <c r="E269">
        <v>2457542.8507400001</v>
      </c>
      <c r="F269" t="s">
        <v>1827</v>
      </c>
      <c r="G269">
        <v>10.708</v>
      </c>
      <c r="H269">
        <v>2E-3</v>
      </c>
      <c r="I269" t="s">
        <v>34</v>
      </c>
      <c r="J269" t="s">
        <v>72</v>
      </c>
      <c r="K269" t="s">
        <v>20</v>
      </c>
    </row>
    <row r="270" spans="1:11" x14ac:dyDescent="0.25">
      <c r="A270" t="s">
        <v>21</v>
      </c>
      <c r="B270" t="s">
        <v>22</v>
      </c>
      <c r="C270" t="s">
        <v>23</v>
      </c>
      <c r="D270" t="s">
        <v>24</v>
      </c>
      <c r="E270" t="s">
        <v>25</v>
      </c>
      <c r="F270" t="s">
        <v>26</v>
      </c>
    </row>
    <row r="271" spans="1:11" x14ac:dyDescent="0.25">
      <c r="A271" t="s">
        <v>27</v>
      </c>
      <c r="B271" t="s">
        <v>1828</v>
      </c>
      <c r="C271" t="s">
        <v>67</v>
      </c>
      <c r="D271">
        <v>160725</v>
      </c>
      <c r="E271" t="s">
        <v>31</v>
      </c>
      <c r="F271" t="s">
        <v>31</v>
      </c>
    </row>
    <row r="272" spans="1:11" x14ac:dyDescent="0.25">
      <c r="D272" t="s">
        <v>16</v>
      </c>
      <c r="E272">
        <v>2457542.8497299999</v>
      </c>
      <c r="F272" t="s">
        <v>1829</v>
      </c>
      <c r="G272">
        <v>10.718</v>
      </c>
      <c r="H272">
        <v>2E-3</v>
      </c>
      <c r="I272" t="s">
        <v>34</v>
      </c>
      <c r="J272" t="s">
        <v>72</v>
      </c>
      <c r="K272" t="s">
        <v>20</v>
      </c>
    </row>
    <row r="273" spans="1:11" x14ac:dyDescent="0.25">
      <c r="A273" t="s">
        <v>21</v>
      </c>
      <c r="B273" t="s">
        <v>22</v>
      </c>
      <c r="C273" t="s">
        <v>23</v>
      </c>
      <c r="D273" t="s">
        <v>24</v>
      </c>
      <c r="E273" t="s">
        <v>25</v>
      </c>
      <c r="F273" t="s">
        <v>26</v>
      </c>
    </row>
    <row r="274" spans="1:11" x14ac:dyDescent="0.25">
      <c r="A274" t="s">
        <v>27</v>
      </c>
      <c r="B274" t="s">
        <v>1830</v>
      </c>
      <c r="C274" t="s">
        <v>67</v>
      </c>
      <c r="D274">
        <v>160725</v>
      </c>
      <c r="E274" t="s">
        <v>31</v>
      </c>
      <c r="F274" t="s">
        <v>31</v>
      </c>
    </row>
    <row r="275" spans="1:11" x14ac:dyDescent="0.25">
      <c r="D275" t="s">
        <v>16</v>
      </c>
      <c r="E275">
        <v>2457542.8487300002</v>
      </c>
      <c r="F275" t="s">
        <v>1831</v>
      </c>
      <c r="G275">
        <v>9.5210000000000008</v>
      </c>
      <c r="H275">
        <v>1E-3</v>
      </c>
      <c r="I275" t="s">
        <v>18</v>
      </c>
      <c r="J275" t="s">
        <v>72</v>
      </c>
      <c r="K275" t="s">
        <v>20</v>
      </c>
    </row>
    <row r="276" spans="1:11" x14ac:dyDescent="0.25">
      <c r="A276" t="s">
        <v>21</v>
      </c>
      <c r="B276" t="s">
        <v>22</v>
      </c>
      <c r="C276" t="s">
        <v>23</v>
      </c>
      <c r="D276" t="s">
        <v>24</v>
      </c>
      <c r="E276" t="s">
        <v>25</v>
      </c>
      <c r="F276" t="s">
        <v>26</v>
      </c>
    </row>
    <row r="277" spans="1:11" x14ac:dyDescent="0.25">
      <c r="A277" t="s">
        <v>27</v>
      </c>
      <c r="B277" t="s">
        <v>1832</v>
      </c>
      <c r="C277" t="s">
        <v>67</v>
      </c>
      <c r="D277">
        <v>160725</v>
      </c>
      <c r="E277" t="s">
        <v>31</v>
      </c>
      <c r="F277" t="s">
        <v>31</v>
      </c>
    </row>
    <row r="278" spans="1:11" x14ac:dyDescent="0.25">
      <c r="D278" t="s">
        <v>16</v>
      </c>
      <c r="E278">
        <v>2457541.78211</v>
      </c>
      <c r="F278" t="s">
        <v>1833</v>
      </c>
      <c r="G278">
        <v>9.5090000000000003</v>
      </c>
      <c r="H278">
        <v>1E-3</v>
      </c>
      <c r="I278" t="s">
        <v>18</v>
      </c>
      <c r="J278" t="s">
        <v>72</v>
      </c>
      <c r="K278" t="s">
        <v>20</v>
      </c>
    </row>
    <row r="279" spans="1:11" x14ac:dyDescent="0.25">
      <c r="A279" t="s">
        <v>21</v>
      </c>
      <c r="B279" t="s">
        <v>22</v>
      </c>
      <c r="C279" t="s">
        <v>23</v>
      </c>
      <c r="D279" t="s">
        <v>24</v>
      </c>
      <c r="E279" t="s">
        <v>25</v>
      </c>
      <c r="F279" t="s">
        <v>26</v>
      </c>
    </row>
    <row r="280" spans="1:11" x14ac:dyDescent="0.25">
      <c r="A280" t="s">
        <v>27</v>
      </c>
      <c r="B280" t="s">
        <v>79</v>
      </c>
      <c r="C280" t="s">
        <v>67</v>
      </c>
      <c r="D280">
        <v>160725</v>
      </c>
      <c r="E280" t="s">
        <v>31</v>
      </c>
      <c r="F280" t="s">
        <v>31</v>
      </c>
    </row>
    <row r="281" spans="1:11" x14ac:dyDescent="0.25">
      <c r="D281" t="s">
        <v>16</v>
      </c>
      <c r="E281">
        <v>2457541.7811500002</v>
      </c>
      <c r="F281" t="s">
        <v>1834</v>
      </c>
      <c r="G281">
        <v>10.705</v>
      </c>
      <c r="H281">
        <v>2E-3</v>
      </c>
      <c r="I281" t="s">
        <v>34</v>
      </c>
      <c r="J281" t="s">
        <v>72</v>
      </c>
      <c r="K281" t="s">
        <v>20</v>
      </c>
    </row>
    <row r="282" spans="1:11" x14ac:dyDescent="0.25">
      <c r="A282" t="s">
        <v>21</v>
      </c>
      <c r="B282" t="s">
        <v>22</v>
      </c>
      <c r="C282" t="s">
        <v>23</v>
      </c>
      <c r="D282" t="s">
        <v>24</v>
      </c>
      <c r="E282" t="s">
        <v>25</v>
      </c>
      <c r="F282" t="s">
        <v>26</v>
      </c>
    </row>
    <row r="283" spans="1:11" x14ac:dyDescent="0.25">
      <c r="A283" t="s">
        <v>27</v>
      </c>
      <c r="B283" t="s">
        <v>1794</v>
      </c>
      <c r="C283" t="s">
        <v>67</v>
      </c>
      <c r="D283">
        <v>160725</v>
      </c>
      <c r="E283" t="s">
        <v>31</v>
      </c>
      <c r="F283" t="s">
        <v>31</v>
      </c>
    </row>
    <row r="284" spans="1:11" x14ac:dyDescent="0.25">
      <c r="D284" t="s">
        <v>16</v>
      </c>
      <c r="E284">
        <v>2457541.7801299999</v>
      </c>
      <c r="F284" t="s">
        <v>1835</v>
      </c>
      <c r="G284">
        <v>10.701000000000001</v>
      </c>
      <c r="H284">
        <v>2E-3</v>
      </c>
      <c r="I284" t="s">
        <v>34</v>
      </c>
      <c r="J284" t="s">
        <v>72</v>
      </c>
      <c r="K284" t="s">
        <v>20</v>
      </c>
    </row>
    <row r="285" spans="1:11" x14ac:dyDescent="0.25">
      <c r="A285" t="s">
        <v>21</v>
      </c>
      <c r="B285" t="s">
        <v>22</v>
      </c>
      <c r="C285" t="s">
        <v>23</v>
      </c>
      <c r="D285" t="s">
        <v>24</v>
      </c>
      <c r="E285" t="s">
        <v>25</v>
      </c>
      <c r="F285" t="s">
        <v>26</v>
      </c>
    </row>
    <row r="286" spans="1:11" x14ac:dyDescent="0.25">
      <c r="A286" t="s">
        <v>27</v>
      </c>
      <c r="B286" t="s">
        <v>1836</v>
      </c>
      <c r="C286" t="s">
        <v>67</v>
      </c>
      <c r="D286">
        <v>160725</v>
      </c>
      <c r="E286" t="s">
        <v>31</v>
      </c>
      <c r="F286" t="s">
        <v>31</v>
      </c>
    </row>
    <row r="287" spans="1:11" x14ac:dyDescent="0.25">
      <c r="D287" t="s">
        <v>16</v>
      </c>
      <c r="E287">
        <v>2457541.77911</v>
      </c>
      <c r="F287" t="s">
        <v>1837</v>
      </c>
      <c r="G287">
        <v>9.5350000000000001</v>
      </c>
      <c r="H287">
        <v>1E-3</v>
      </c>
      <c r="I287" t="s">
        <v>18</v>
      </c>
      <c r="J287" t="s">
        <v>72</v>
      </c>
      <c r="K287" t="s">
        <v>20</v>
      </c>
    </row>
    <row r="288" spans="1:11" x14ac:dyDescent="0.25">
      <c r="A288" t="s">
        <v>21</v>
      </c>
      <c r="B288" t="s">
        <v>22</v>
      </c>
      <c r="C288" t="s">
        <v>23</v>
      </c>
      <c r="D288" t="s">
        <v>24</v>
      </c>
      <c r="E288" t="s">
        <v>25</v>
      </c>
      <c r="F288" t="s">
        <v>26</v>
      </c>
    </row>
    <row r="289" spans="1:11" x14ac:dyDescent="0.25">
      <c r="A289" t="s">
        <v>27</v>
      </c>
      <c r="B289" t="s">
        <v>1785</v>
      </c>
      <c r="C289" t="s">
        <v>67</v>
      </c>
      <c r="D289">
        <v>160725</v>
      </c>
      <c r="E289" t="s">
        <v>31</v>
      </c>
      <c r="F289" t="s">
        <v>31</v>
      </c>
    </row>
    <row r="290" spans="1:11" x14ac:dyDescent="0.25">
      <c r="D290" t="s">
        <v>16</v>
      </c>
      <c r="E290">
        <v>2457539.7507099998</v>
      </c>
      <c r="F290" t="s">
        <v>1838</v>
      </c>
      <c r="G290">
        <v>9.52</v>
      </c>
      <c r="H290">
        <v>1E-3</v>
      </c>
      <c r="I290" t="s">
        <v>18</v>
      </c>
      <c r="J290" t="s">
        <v>72</v>
      </c>
      <c r="K290" t="s">
        <v>20</v>
      </c>
    </row>
    <row r="291" spans="1:11" x14ac:dyDescent="0.25">
      <c r="A291" t="s">
        <v>21</v>
      </c>
      <c r="B291" t="s">
        <v>22</v>
      </c>
      <c r="C291" t="s">
        <v>23</v>
      </c>
      <c r="D291" t="s">
        <v>24</v>
      </c>
      <c r="E291" t="s">
        <v>25</v>
      </c>
      <c r="F291" t="s">
        <v>26</v>
      </c>
    </row>
    <row r="292" spans="1:11" x14ac:dyDescent="0.25">
      <c r="A292" t="s">
        <v>27</v>
      </c>
      <c r="B292" t="s">
        <v>1568</v>
      </c>
      <c r="C292" t="s">
        <v>67</v>
      </c>
      <c r="D292">
        <v>160725</v>
      </c>
      <c r="E292" t="s">
        <v>31</v>
      </c>
      <c r="F292" t="s">
        <v>31</v>
      </c>
    </row>
    <row r="293" spans="1:11" x14ac:dyDescent="0.25">
      <c r="D293" t="s">
        <v>16</v>
      </c>
      <c r="E293">
        <v>2457539.74975</v>
      </c>
      <c r="F293" t="s">
        <v>1839</v>
      </c>
      <c r="G293">
        <v>10.695</v>
      </c>
      <c r="H293">
        <v>2E-3</v>
      </c>
      <c r="I293" t="s">
        <v>34</v>
      </c>
      <c r="J293" t="s">
        <v>72</v>
      </c>
      <c r="K293" t="s">
        <v>20</v>
      </c>
    </row>
    <row r="294" spans="1:11" x14ac:dyDescent="0.25">
      <c r="A294" t="s">
        <v>21</v>
      </c>
      <c r="B294" t="s">
        <v>22</v>
      </c>
      <c r="C294" t="s">
        <v>23</v>
      </c>
      <c r="D294" t="s">
        <v>24</v>
      </c>
      <c r="E294" t="s">
        <v>25</v>
      </c>
      <c r="F294" t="s">
        <v>26</v>
      </c>
    </row>
    <row r="295" spans="1:11" x14ac:dyDescent="0.25">
      <c r="A295" t="s">
        <v>27</v>
      </c>
      <c r="B295" t="s">
        <v>1766</v>
      </c>
      <c r="C295" t="s">
        <v>67</v>
      </c>
      <c r="D295">
        <v>160725</v>
      </c>
      <c r="E295" t="s">
        <v>31</v>
      </c>
      <c r="F295" t="s">
        <v>31</v>
      </c>
    </row>
    <row r="296" spans="1:11" x14ac:dyDescent="0.25">
      <c r="D296" t="s">
        <v>16</v>
      </c>
      <c r="E296">
        <v>2457539.7487400002</v>
      </c>
      <c r="F296" t="s">
        <v>1840</v>
      </c>
      <c r="G296">
        <v>10.688000000000001</v>
      </c>
      <c r="H296">
        <v>2E-3</v>
      </c>
      <c r="I296" t="s">
        <v>34</v>
      </c>
      <c r="J296" t="s">
        <v>72</v>
      </c>
      <c r="K296" t="s">
        <v>20</v>
      </c>
    </row>
    <row r="297" spans="1:11" x14ac:dyDescent="0.25">
      <c r="A297" t="s">
        <v>21</v>
      </c>
      <c r="B297" t="s">
        <v>22</v>
      </c>
      <c r="C297" t="s">
        <v>23</v>
      </c>
      <c r="D297" t="s">
        <v>24</v>
      </c>
      <c r="E297" t="s">
        <v>25</v>
      </c>
      <c r="F297" t="s">
        <v>26</v>
      </c>
    </row>
    <row r="298" spans="1:11" x14ac:dyDescent="0.25">
      <c r="A298" t="s">
        <v>27</v>
      </c>
      <c r="B298" t="s">
        <v>1766</v>
      </c>
      <c r="C298" t="s">
        <v>67</v>
      </c>
      <c r="D298">
        <v>160725</v>
      </c>
      <c r="E298" t="s">
        <v>31</v>
      </c>
      <c r="F298" t="s">
        <v>31</v>
      </c>
    </row>
    <row r="299" spans="1:11" x14ac:dyDescent="0.25">
      <c r="D299" t="s">
        <v>16</v>
      </c>
      <c r="E299">
        <v>2457539.7477199999</v>
      </c>
      <c r="F299" t="s">
        <v>1841</v>
      </c>
      <c r="G299">
        <v>9.4920000000000009</v>
      </c>
      <c r="H299">
        <v>1E-3</v>
      </c>
      <c r="I299" t="s">
        <v>18</v>
      </c>
      <c r="J299" t="s">
        <v>72</v>
      </c>
      <c r="K299" t="s">
        <v>20</v>
      </c>
    </row>
    <row r="300" spans="1:11" x14ac:dyDescent="0.25">
      <c r="A300" t="s">
        <v>21</v>
      </c>
      <c r="B300" t="s">
        <v>22</v>
      </c>
      <c r="C300" t="s">
        <v>23</v>
      </c>
      <c r="D300" t="s">
        <v>24</v>
      </c>
      <c r="E300" t="s">
        <v>25</v>
      </c>
      <c r="F300" t="s">
        <v>26</v>
      </c>
    </row>
    <row r="301" spans="1:11" x14ac:dyDescent="0.25">
      <c r="A301" t="s">
        <v>27</v>
      </c>
      <c r="B301" t="s">
        <v>1842</v>
      </c>
      <c r="C301" t="s">
        <v>67</v>
      </c>
      <c r="D301">
        <v>160725</v>
      </c>
      <c r="E301" t="s">
        <v>31</v>
      </c>
      <c r="F301" t="s">
        <v>31</v>
      </c>
    </row>
    <row r="302" spans="1:11" x14ac:dyDescent="0.25">
      <c r="D302" t="s">
        <v>16</v>
      </c>
      <c r="E302">
        <v>2457538.7178600002</v>
      </c>
      <c r="F302" t="s">
        <v>1843</v>
      </c>
      <c r="G302">
        <v>9.4740000000000002</v>
      </c>
      <c r="H302">
        <v>1E-3</v>
      </c>
      <c r="I302" t="s">
        <v>18</v>
      </c>
      <c r="J302" t="s">
        <v>72</v>
      </c>
      <c r="K302" t="s">
        <v>20</v>
      </c>
    </row>
    <row r="303" spans="1:11" x14ac:dyDescent="0.25">
      <c r="A303" t="s">
        <v>21</v>
      </c>
      <c r="B303" t="s">
        <v>22</v>
      </c>
      <c r="C303" t="s">
        <v>23</v>
      </c>
      <c r="D303" t="s">
        <v>24</v>
      </c>
      <c r="E303" t="s">
        <v>25</v>
      </c>
      <c r="F303" t="s">
        <v>26</v>
      </c>
    </row>
    <row r="304" spans="1:11" x14ac:dyDescent="0.25">
      <c r="A304" t="s">
        <v>27</v>
      </c>
      <c r="B304" t="s">
        <v>1556</v>
      </c>
      <c r="C304" t="s">
        <v>67</v>
      </c>
      <c r="D304">
        <v>160725</v>
      </c>
      <c r="E304" t="s">
        <v>31</v>
      </c>
      <c r="F304" t="s">
        <v>31</v>
      </c>
    </row>
    <row r="305" spans="1:11" x14ac:dyDescent="0.25">
      <c r="D305" t="s">
        <v>16</v>
      </c>
      <c r="E305">
        <v>2457538.7168999999</v>
      </c>
      <c r="F305" t="s">
        <v>1844</v>
      </c>
      <c r="G305">
        <v>10.644</v>
      </c>
      <c r="H305">
        <v>2E-3</v>
      </c>
      <c r="I305" t="s">
        <v>34</v>
      </c>
      <c r="J305" t="s">
        <v>72</v>
      </c>
      <c r="K305" t="s">
        <v>20</v>
      </c>
    </row>
    <row r="306" spans="1:11" x14ac:dyDescent="0.25">
      <c r="A306" t="s">
        <v>21</v>
      </c>
      <c r="B306" t="s">
        <v>22</v>
      </c>
      <c r="C306" t="s">
        <v>23</v>
      </c>
      <c r="D306" t="s">
        <v>24</v>
      </c>
      <c r="E306" t="s">
        <v>25</v>
      </c>
      <c r="F306" t="s">
        <v>26</v>
      </c>
    </row>
    <row r="307" spans="1:11" x14ac:dyDescent="0.25">
      <c r="A307" t="s">
        <v>27</v>
      </c>
      <c r="B307" t="s">
        <v>1760</v>
      </c>
      <c r="C307" t="s">
        <v>67</v>
      </c>
      <c r="D307">
        <v>160725</v>
      </c>
      <c r="E307" t="s">
        <v>31</v>
      </c>
      <c r="F307" t="s">
        <v>31</v>
      </c>
    </row>
    <row r="308" spans="1:11" x14ac:dyDescent="0.25">
      <c r="D308" t="s">
        <v>16</v>
      </c>
      <c r="E308">
        <v>2457538.71588</v>
      </c>
      <c r="F308" t="s">
        <v>1845</v>
      </c>
      <c r="G308">
        <v>10.653</v>
      </c>
      <c r="H308">
        <v>2E-3</v>
      </c>
      <c r="I308" t="s">
        <v>34</v>
      </c>
      <c r="J308" t="s">
        <v>72</v>
      </c>
      <c r="K308" t="s">
        <v>20</v>
      </c>
    </row>
    <row r="309" spans="1:11" x14ac:dyDescent="0.25">
      <c r="A309" t="s">
        <v>21</v>
      </c>
      <c r="B309" t="s">
        <v>22</v>
      </c>
      <c r="C309" t="s">
        <v>23</v>
      </c>
      <c r="D309" t="s">
        <v>24</v>
      </c>
      <c r="E309" t="s">
        <v>25</v>
      </c>
      <c r="F309" t="s">
        <v>26</v>
      </c>
    </row>
    <row r="310" spans="1:11" x14ac:dyDescent="0.25">
      <c r="A310" t="s">
        <v>27</v>
      </c>
      <c r="B310" t="s">
        <v>1846</v>
      </c>
      <c r="C310" t="s">
        <v>67</v>
      </c>
      <c r="D310">
        <v>160725</v>
      </c>
      <c r="E310" t="s">
        <v>31</v>
      </c>
      <c r="F310" t="s">
        <v>31</v>
      </c>
    </row>
    <row r="311" spans="1:11" x14ac:dyDescent="0.25">
      <c r="D311" t="s">
        <v>16</v>
      </c>
      <c r="E311">
        <v>2457538.7148699998</v>
      </c>
      <c r="F311" t="s">
        <v>1847</v>
      </c>
      <c r="G311">
        <v>9.4879999999999995</v>
      </c>
      <c r="H311">
        <v>1E-3</v>
      </c>
      <c r="I311" t="s">
        <v>18</v>
      </c>
      <c r="J311" t="s">
        <v>72</v>
      </c>
      <c r="K311" t="s">
        <v>20</v>
      </c>
    </row>
    <row r="312" spans="1:11" x14ac:dyDescent="0.25">
      <c r="A312" t="s">
        <v>21</v>
      </c>
      <c r="B312" t="s">
        <v>22</v>
      </c>
      <c r="C312" t="s">
        <v>23</v>
      </c>
      <c r="D312" t="s">
        <v>24</v>
      </c>
      <c r="E312" t="s">
        <v>25</v>
      </c>
      <c r="F312" t="s">
        <v>26</v>
      </c>
    </row>
    <row r="313" spans="1:11" x14ac:dyDescent="0.25">
      <c r="A313" t="s">
        <v>27</v>
      </c>
      <c r="B313" t="s">
        <v>1777</v>
      </c>
      <c r="C313" t="s">
        <v>67</v>
      </c>
      <c r="D313">
        <v>160725</v>
      </c>
      <c r="E313" t="s">
        <v>31</v>
      </c>
      <c r="F313" t="s">
        <v>31</v>
      </c>
    </row>
    <row r="314" spans="1:11" x14ac:dyDescent="0.25">
      <c r="D314" t="s">
        <v>16</v>
      </c>
      <c r="E314">
        <v>2457538.4182899999</v>
      </c>
      <c r="F314" t="s">
        <v>36</v>
      </c>
      <c r="G314">
        <v>9.5020000000000007</v>
      </c>
      <c r="H314">
        <v>1.7000000000000001E-2</v>
      </c>
      <c r="I314" t="s">
        <v>18</v>
      </c>
      <c r="J314" t="s">
        <v>19</v>
      </c>
      <c r="K314" t="s">
        <v>20</v>
      </c>
    </row>
    <row r="315" spans="1:11" x14ac:dyDescent="0.25">
      <c r="A315" t="s">
        <v>21</v>
      </c>
      <c r="B315" t="s">
        <v>22</v>
      </c>
      <c r="C315" t="s">
        <v>23</v>
      </c>
      <c r="D315" t="s">
        <v>24</v>
      </c>
      <c r="E315" t="s">
        <v>25</v>
      </c>
      <c r="F315" t="s">
        <v>26</v>
      </c>
    </row>
    <row r="316" spans="1:11" x14ac:dyDescent="0.25">
      <c r="A316" t="s">
        <v>27</v>
      </c>
      <c r="B316" t="s">
        <v>37</v>
      </c>
      <c r="C316" t="s">
        <v>29</v>
      </c>
      <c r="D316" t="s">
        <v>30</v>
      </c>
      <c r="E316" t="s">
        <v>31</v>
      </c>
      <c r="F316" t="s">
        <v>32</v>
      </c>
    </row>
    <row r="317" spans="1:11" x14ac:dyDescent="0.25">
      <c r="D317" t="s">
        <v>16</v>
      </c>
      <c r="E317">
        <v>2457538.4181499998</v>
      </c>
      <c r="F317" t="s">
        <v>38</v>
      </c>
      <c r="G317">
        <v>10.651999999999999</v>
      </c>
      <c r="H317">
        <v>1.4999999999999999E-2</v>
      </c>
      <c r="I317" t="s">
        <v>34</v>
      </c>
      <c r="J317" t="s">
        <v>19</v>
      </c>
      <c r="K317" t="s">
        <v>20</v>
      </c>
    </row>
    <row r="318" spans="1:11" x14ac:dyDescent="0.25">
      <c r="A318" t="s">
        <v>21</v>
      </c>
      <c r="B318" t="s">
        <v>22</v>
      </c>
      <c r="C318" t="s">
        <v>23</v>
      </c>
      <c r="D318" t="s">
        <v>24</v>
      </c>
      <c r="E318" t="s">
        <v>25</v>
      </c>
      <c r="F318" t="s">
        <v>26</v>
      </c>
    </row>
    <row r="319" spans="1:11" x14ac:dyDescent="0.25">
      <c r="A319" t="s">
        <v>27</v>
      </c>
      <c r="B319" t="s">
        <v>39</v>
      </c>
      <c r="C319" t="s">
        <v>29</v>
      </c>
      <c r="D319" t="s">
        <v>30</v>
      </c>
      <c r="E319" t="s">
        <v>31</v>
      </c>
      <c r="F319" t="s">
        <v>32</v>
      </c>
    </row>
    <row r="320" spans="1:11" x14ac:dyDescent="0.25">
      <c r="D320" t="s">
        <v>16</v>
      </c>
      <c r="E320">
        <v>2457537.7392799999</v>
      </c>
      <c r="F320" t="s">
        <v>1848</v>
      </c>
      <c r="G320">
        <v>9.51</v>
      </c>
      <c r="H320">
        <v>1E-3</v>
      </c>
      <c r="I320" t="s">
        <v>18</v>
      </c>
      <c r="J320" t="s">
        <v>72</v>
      </c>
      <c r="K320" t="s">
        <v>20</v>
      </c>
    </row>
    <row r="321" spans="1:11" x14ac:dyDescent="0.25">
      <c r="A321" t="s">
        <v>21</v>
      </c>
      <c r="B321" t="s">
        <v>22</v>
      </c>
      <c r="C321" t="s">
        <v>23</v>
      </c>
      <c r="D321" t="s">
        <v>24</v>
      </c>
      <c r="E321" t="s">
        <v>25</v>
      </c>
      <c r="F321" t="s">
        <v>26</v>
      </c>
    </row>
    <row r="322" spans="1:11" x14ac:dyDescent="0.25">
      <c r="A322" t="s">
        <v>27</v>
      </c>
      <c r="B322" t="s">
        <v>1849</v>
      </c>
      <c r="C322" t="s">
        <v>67</v>
      </c>
      <c r="D322">
        <v>160725</v>
      </c>
      <c r="E322" t="s">
        <v>31</v>
      </c>
      <c r="F322" t="s">
        <v>31</v>
      </c>
    </row>
    <row r="323" spans="1:11" x14ac:dyDescent="0.25">
      <c r="D323" t="s">
        <v>16</v>
      </c>
      <c r="E323">
        <v>2457537.73832</v>
      </c>
      <c r="F323" t="s">
        <v>1850</v>
      </c>
      <c r="G323">
        <v>10.654</v>
      </c>
      <c r="H323">
        <v>2E-3</v>
      </c>
      <c r="I323" t="s">
        <v>34</v>
      </c>
      <c r="J323" t="s">
        <v>72</v>
      </c>
      <c r="K323" t="s">
        <v>20</v>
      </c>
    </row>
    <row r="324" spans="1:11" x14ac:dyDescent="0.25">
      <c r="A324" t="s">
        <v>21</v>
      </c>
      <c r="B324" t="s">
        <v>22</v>
      </c>
      <c r="C324" t="s">
        <v>23</v>
      </c>
      <c r="D324" t="s">
        <v>24</v>
      </c>
      <c r="E324" t="s">
        <v>25</v>
      </c>
      <c r="F324" t="s">
        <v>26</v>
      </c>
    </row>
    <row r="325" spans="1:11" x14ac:dyDescent="0.25">
      <c r="A325" t="s">
        <v>27</v>
      </c>
      <c r="B325" t="s">
        <v>1846</v>
      </c>
      <c r="C325" t="s">
        <v>67</v>
      </c>
      <c r="D325">
        <v>160725</v>
      </c>
      <c r="E325" t="s">
        <v>31</v>
      </c>
      <c r="F325" t="s">
        <v>31</v>
      </c>
    </row>
    <row r="326" spans="1:11" x14ac:dyDescent="0.25">
      <c r="D326" t="s">
        <v>16</v>
      </c>
      <c r="E326">
        <v>2457537.7373000002</v>
      </c>
      <c r="F326" t="s">
        <v>1851</v>
      </c>
      <c r="G326">
        <v>10.634</v>
      </c>
      <c r="H326">
        <v>2E-3</v>
      </c>
      <c r="I326" t="s">
        <v>34</v>
      </c>
      <c r="J326" t="s">
        <v>72</v>
      </c>
      <c r="K326" t="s">
        <v>20</v>
      </c>
    </row>
    <row r="327" spans="1:11" x14ac:dyDescent="0.25">
      <c r="A327" t="s">
        <v>21</v>
      </c>
      <c r="B327" t="s">
        <v>22</v>
      </c>
      <c r="C327" t="s">
        <v>23</v>
      </c>
      <c r="D327" t="s">
        <v>24</v>
      </c>
      <c r="E327" t="s">
        <v>25</v>
      </c>
      <c r="F327" t="s">
        <v>26</v>
      </c>
    </row>
    <row r="328" spans="1:11" x14ac:dyDescent="0.25">
      <c r="A328" t="s">
        <v>27</v>
      </c>
      <c r="B328" t="s">
        <v>1852</v>
      </c>
      <c r="C328" t="s">
        <v>67</v>
      </c>
      <c r="D328">
        <v>160725</v>
      </c>
      <c r="E328" t="s">
        <v>31</v>
      </c>
      <c r="F328" t="s">
        <v>31</v>
      </c>
    </row>
    <row r="329" spans="1:11" x14ac:dyDescent="0.25">
      <c r="D329" t="s">
        <v>16</v>
      </c>
      <c r="E329">
        <v>2457537.7363</v>
      </c>
      <c r="F329" t="s">
        <v>1853</v>
      </c>
      <c r="G329">
        <v>9.4969999999999999</v>
      </c>
      <c r="H329">
        <v>1E-3</v>
      </c>
      <c r="I329" t="s">
        <v>18</v>
      </c>
      <c r="J329" t="s">
        <v>72</v>
      </c>
      <c r="K329" t="s">
        <v>20</v>
      </c>
    </row>
    <row r="330" spans="1:11" x14ac:dyDescent="0.25">
      <c r="A330" t="s">
        <v>21</v>
      </c>
      <c r="B330" t="s">
        <v>22</v>
      </c>
      <c r="C330" t="s">
        <v>23</v>
      </c>
      <c r="D330" t="s">
        <v>24</v>
      </c>
      <c r="E330" t="s">
        <v>25</v>
      </c>
      <c r="F330" t="s">
        <v>26</v>
      </c>
    </row>
    <row r="331" spans="1:11" x14ac:dyDescent="0.25">
      <c r="A331" t="s">
        <v>27</v>
      </c>
      <c r="B331" t="s">
        <v>1790</v>
      </c>
      <c r="C331" t="s">
        <v>67</v>
      </c>
      <c r="D331">
        <v>160725</v>
      </c>
      <c r="E331" t="s">
        <v>31</v>
      </c>
      <c r="F331" t="s">
        <v>31</v>
      </c>
    </row>
    <row r="332" spans="1:11" x14ac:dyDescent="0.25">
      <c r="D332" t="s">
        <v>16</v>
      </c>
      <c r="E332">
        <v>2457535.73813</v>
      </c>
      <c r="F332" t="s">
        <v>1854</v>
      </c>
      <c r="G332">
        <v>9.4629999999999992</v>
      </c>
      <c r="H332">
        <v>1E-3</v>
      </c>
      <c r="I332" t="s">
        <v>18</v>
      </c>
      <c r="J332" t="s">
        <v>72</v>
      </c>
      <c r="K332" t="s">
        <v>20</v>
      </c>
    </row>
    <row r="333" spans="1:11" x14ac:dyDescent="0.25">
      <c r="A333" t="s">
        <v>21</v>
      </c>
      <c r="B333" t="s">
        <v>22</v>
      </c>
      <c r="C333" t="s">
        <v>23</v>
      </c>
      <c r="D333" t="s">
        <v>24</v>
      </c>
      <c r="E333" t="s">
        <v>25</v>
      </c>
      <c r="F333" t="s">
        <v>26</v>
      </c>
    </row>
    <row r="334" spans="1:11" x14ac:dyDescent="0.25">
      <c r="A334" t="s">
        <v>27</v>
      </c>
      <c r="B334" t="s">
        <v>1855</v>
      </c>
      <c r="C334" t="s">
        <v>67</v>
      </c>
      <c r="D334">
        <v>160725</v>
      </c>
      <c r="E334" t="s">
        <v>31</v>
      </c>
      <c r="F334" t="s">
        <v>31</v>
      </c>
    </row>
    <row r="335" spans="1:11" x14ac:dyDescent="0.25">
      <c r="D335" t="s">
        <v>16</v>
      </c>
      <c r="E335">
        <v>2457535.73716</v>
      </c>
      <c r="F335" t="s">
        <v>1856</v>
      </c>
      <c r="G335">
        <v>10.586</v>
      </c>
      <c r="H335">
        <v>2E-3</v>
      </c>
      <c r="I335" t="s">
        <v>34</v>
      </c>
      <c r="J335" t="s">
        <v>72</v>
      </c>
      <c r="K335" t="s">
        <v>20</v>
      </c>
    </row>
    <row r="336" spans="1:11" x14ac:dyDescent="0.25">
      <c r="A336" t="s">
        <v>21</v>
      </c>
      <c r="B336" t="s">
        <v>22</v>
      </c>
      <c r="C336" t="s">
        <v>23</v>
      </c>
      <c r="D336" t="s">
        <v>24</v>
      </c>
      <c r="E336" t="s">
        <v>25</v>
      </c>
      <c r="F336" t="s">
        <v>26</v>
      </c>
    </row>
    <row r="337" spans="1:11" x14ac:dyDescent="0.25">
      <c r="A337" t="s">
        <v>27</v>
      </c>
      <c r="B337" t="s">
        <v>1857</v>
      </c>
      <c r="C337" t="s">
        <v>67</v>
      </c>
      <c r="D337">
        <v>160725</v>
      </c>
      <c r="E337" t="s">
        <v>31</v>
      </c>
      <c r="F337" t="s">
        <v>31</v>
      </c>
    </row>
    <row r="338" spans="1:11" x14ac:dyDescent="0.25">
      <c r="D338" t="s">
        <v>16</v>
      </c>
      <c r="E338">
        <v>2457535.7361499998</v>
      </c>
      <c r="F338" t="s">
        <v>1858</v>
      </c>
      <c r="G338">
        <v>10.581</v>
      </c>
      <c r="H338">
        <v>2E-3</v>
      </c>
      <c r="I338" t="s">
        <v>34</v>
      </c>
      <c r="J338" t="s">
        <v>72</v>
      </c>
      <c r="K338" t="s">
        <v>20</v>
      </c>
    </row>
    <row r="339" spans="1:11" x14ac:dyDescent="0.25">
      <c r="A339" t="s">
        <v>21</v>
      </c>
      <c r="B339" t="s">
        <v>22</v>
      </c>
      <c r="C339" t="s">
        <v>23</v>
      </c>
      <c r="D339" t="s">
        <v>24</v>
      </c>
      <c r="E339" t="s">
        <v>25</v>
      </c>
      <c r="F339" t="s">
        <v>26</v>
      </c>
    </row>
    <row r="340" spans="1:11" x14ac:dyDescent="0.25">
      <c r="A340" t="s">
        <v>27</v>
      </c>
      <c r="B340" t="s">
        <v>1794</v>
      </c>
      <c r="C340" t="s">
        <v>67</v>
      </c>
      <c r="D340">
        <v>160725</v>
      </c>
      <c r="E340" t="s">
        <v>31</v>
      </c>
      <c r="F340" t="s">
        <v>31</v>
      </c>
    </row>
    <row r="341" spans="1:11" x14ac:dyDescent="0.25">
      <c r="D341" t="s">
        <v>16</v>
      </c>
      <c r="E341">
        <v>2457535.73514</v>
      </c>
      <c r="F341" t="s">
        <v>1859</v>
      </c>
      <c r="G341">
        <v>9.4390000000000001</v>
      </c>
      <c r="H341">
        <v>1E-3</v>
      </c>
      <c r="I341" t="s">
        <v>18</v>
      </c>
      <c r="J341" t="s">
        <v>72</v>
      </c>
      <c r="K341" t="s">
        <v>20</v>
      </c>
    </row>
    <row r="342" spans="1:11" x14ac:dyDescent="0.25">
      <c r="A342" t="s">
        <v>21</v>
      </c>
      <c r="B342" t="s">
        <v>22</v>
      </c>
      <c r="C342" t="s">
        <v>23</v>
      </c>
      <c r="D342" t="s">
        <v>24</v>
      </c>
      <c r="E342" t="s">
        <v>25</v>
      </c>
      <c r="F342" t="s">
        <v>26</v>
      </c>
    </row>
    <row r="343" spans="1:11" x14ac:dyDescent="0.25">
      <c r="A343" t="s">
        <v>27</v>
      </c>
      <c r="B343" t="s">
        <v>1762</v>
      </c>
      <c r="C343" t="s">
        <v>67</v>
      </c>
      <c r="D343">
        <v>160725</v>
      </c>
      <c r="E343" t="s">
        <v>31</v>
      </c>
      <c r="F343" t="s">
        <v>31</v>
      </c>
    </row>
    <row r="344" spans="1:11" x14ac:dyDescent="0.25">
      <c r="D344" t="s">
        <v>16</v>
      </c>
      <c r="E344">
        <v>2457534.86</v>
      </c>
      <c r="F344" t="s">
        <v>40</v>
      </c>
      <c r="G344">
        <v>10.545</v>
      </c>
      <c r="H344">
        <v>1.7000000000000001E-2</v>
      </c>
      <c r="I344" t="s">
        <v>34</v>
      </c>
      <c r="J344" t="s">
        <v>41</v>
      </c>
      <c r="K344" t="s">
        <v>20</v>
      </c>
    </row>
    <row r="345" spans="1:11" x14ac:dyDescent="0.25">
      <c r="A345" t="s">
        <v>21</v>
      </c>
      <c r="B345" t="s">
        <v>22</v>
      </c>
      <c r="C345" t="s">
        <v>23</v>
      </c>
      <c r="D345" t="s">
        <v>24</v>
      </c>
      <c r="E345" t="s">
        <v>25</v>
      </c>
      <c r="F345" t="s">
        <v>26</v>
      </c>
    </row>
    <row r="346" spans="1:11" x14ac:dyDescent="0.25">
      <c r="A346" t="s">
        <v>42</v>
      </c>
      <c r="B346" t="s">
        <v>43</v>
      </c>
      <c r="C346" t="s">
        <v>29</v>
      </c>
      <c r="D346" t="s">
        <v>44</v>
      </c>
      <c r="E346" t="s">
        <v>31</v>
      </c>
      <c r="F346" t="s">
        <v>45</v>
      </c>
    </row>
    <row r="347" spans="1:11" x14ac:dyDescent="0.25">
      <c r="D347" t="s">
        <v>16</v>
      </c>
      <c r="E347">
        <v>2457534.8596299998</v>
      </c>
      <c r="F347" t="s">
        <v>46</v>
      </c>
      <c r="G347">
        <v>9.4990000000000006</v>
      </c>
      <c r="H347">
        <v>2.5000000000000001E-2</v>
      </c>
      <c r="I347" t="s">
        <v>18</v>
      </c>
      <c r="J347" t="s">
        <v>41</v>
      </c>
      <c r="K347" t="s">
        <v>20</v>
      </c>
    </row>
    <row r="348" spans="1:11" x14ac:dyDescent="0.25">
      <c r="A348" t="s">
        <v>21</v>
      </c>
      <c r="B348" t="s">
        <v>22</v>
      </c>
      <c r="C348" t="s">
        <v>23</v>
      </c>
      <c r="D348" t="s">
        <v>24</v>
      </c>
      <c r="E348" t="s">
        <v>25</v>
      </c>
      <c r="F348" t="s">
        <v>26</v>
      </c>
    </row>
    <row r="349" spans="1:11" x14ac:dyDescent="0.25">
      <c r="A349" t="s">
        <v>47</v>
      </c>
      <c r="B349" t="s">
        <v>48</v>
      </c>
      <c r="C349" t="s">
        <v>29</v>
      </c>
      <c r="D349" t="s">
        <v>44</v>
      </c>
      <c r="E349" t="s">
        <v>31</v>
      </c>
      <c r="F349" t="s">
        <v>49</v>
      </c>
    </row>
    <row r="350" spans="1:11" x14ac:dyDescent="0.25">
      <c r="D350" t="s">
        <v>50</v>
      </c>
      <c r="E350">
        <v>2457534.6790999998</v>
      </c>
      <c r="F350" t="s">
        <v>51</v>
      </c>
      <c r="G350">
        <v>10.648</v>
      </c>
      <c r="H350">
        <v>8.0000000000000002E-3</v>
      </c>
      <c r="I350" t="s">
        <v>34</v>
      </c>
      <c r="J350" t="s">
        <v>52</v>
      </c>
      <c r="K350" t="s">
        <v>20</v>
      </c>
    </row>
    <row r="351" spans="1:11" x14ac:dyDescent="0.25">
      <c r="A351" t="s">
        <v>21</v>
      </c>
      <c r="B351" t="s">
        <v>22</v>
      </c>
      <c r="C351" t="s">
        <v>23</v>
      </c>
      <c r="D351" t="s">
        <v>24</v>
      </c>
      <c r="E351" t="s">
        <v>25</v>
      </c>
      <c r="F351" t="s">
        <v>26</v>
      </c>
    </row>
    <row r="352" spans="1:11" x14ac:dyDescent="0.25">
      <c r="A352" t="s">
        <v>53</v>
      </c>
      <c r="B352" t="s">
        <v>54</v>
      </c>
      <c r="C352" t="s">
        <v>29</v>
      </c>
      <c r="D352" t="s">
        <v>55</v>
      </c>
      <c r="E352" t="s">
        <v>34</v>
      </c>
      <c r="F352" t="s">
        <v>56</v>
      </c>
    </row>
    <row r="353" spans="1:11" x14ac:dyDescent="0.25">
      <c r="D353" t="s">
        <v>50</v>
      </c>
      <c r="E353">
        <v>2457534.6664999998</v>
      </c>
      <c r="F353" t="s">
        <v>57</v>
      </c>
      <c r="G353">
        <v>9.4879999999999995</v>
      </c>
      <c r="H353">
        <v>1.2E-2</v>
      </c>
      <c r="I353" t="s">
        <v>18</v>
      </c>
      <c r="J353" t="s">
        <v>52</v>
      </c>
      <c r="K353" t="s">
        <v>20</v>
      </c>
    </row>
    <row r="354" spans="1:11" x14ac:dyDescent="0.25">
      <c r="A354" t="s">
        <v>21</v>
      </c>
      <c r="B354" t="s">
        <v>22</v>
      </c>
      <c r="C354" t="s">
        <v>23</v>
      </c>
      <c r="D354" t="s">
        <v>24</v>
      </c>
      <c r="E354" t="s">
        <v>25</v>
      </c>
      <c r="F354" t="s">
        <v>26</v>
      </c>
    </row>
    <row r="355" spans="1:11" x14ac:dyDescent="0.25">
      <c r="A355" t="s">
        <v>58</v>
      </c>
      <c r="B355" t="s">
        <v>59</v>
      </c>
      <c r="C355" t="s">
        <v>29</v>
      </c>
      <c r="D355" t="s">
        <v>55</v>
      </c>
      <c r="E355" t="s">
        <v>34</v>
      </c>
      <c r="F355" t="s">
        <v>56</v>
      </c>
    </row>
    <row r="356" spans="1:11" x14ac:dyDescent="0.25">
      <c r="D356" t="s">
        <v>16</v>
      </c>
      <c r="E356">
        <v>2457533.73722</v>
      </c>
      <c r="F356" t="s">
        <v>1860</v>
      </c>
      <c r="G356">
        <v>9.5090000000000003</v>
      </c>
      <c r="H356">
        <v>1E-3</v>
      </c>
      <c r="I356" t="s">
        <v>18</v>
      </c>
      <c r="J356" t="s">
        <v>72</v>
      </c>
      <c r="K356" t="s">
        <v>20</v>
      </c>
    </row>
    <row r="357" spans="1:11" x14ac:dyDescent="0.25">
      <c r="A357" t="s">
        <v>21</v>
      </c>
      <c r="B357" t="s">
        <v>22</v>
      </c>
      <c r="C357" t="s">
        <v>23</v>
      </c>
      <c r="D357" t="s">
        <v>24</v>
      </c>
      <c r="E357" t="s">
        <v>25</v>
      </c>
      <c r="F357" t="s">
        <v>26</v>
      </c>
    </row>
    <row r="358" spans="1:11" x14ac:dyDescent="0.25">
      <c r="A358" t="s">
        <v>27</v>
      </c>
      <c r="B358" t="s">
        <v>1861</v>
      </c>
      <c r="C358" t="s">
        <v>67</v>
      </c>
      <c r="D358">
        <v>160725</v>
      </c>
      <c r="E358" t="s">
        <v>31</v>
      </c>
      <c r="F358" t="s">
        <v>31</v>
      </c>
    </row>
    <row r="359" spans="1:11" x14ac:dyDescent="0.25">
      <c r="D359" t="s">
        <v>16</v>
      </c>
      <c r="E359">
        <v>2457533.7362600002</v>
      </c>
      <c r="F359" t="s">
        <v>1862</v>
      </c>
      <c r="G359">
        <v>10.625</v>
      </c>
      <c r="H359">
        <v>2E-3</v>
      </c>
      <c r="I359" t="s">
        <v>34</v>
      </c>
      <c r="J359" t="s">
        <v>72</v>
      </c>
      <c r="K359" t="s">
        <v>20</v>
      </c>
    </row>
    <row r="360" spans="1:11" x14ac:dyDescent="0.25">
      <c r="A360" t="s">
        <v>21</v>
      </c>
      <c r="B360" t="s">
        <v>22</v>
      </c>
      <c r="C360" t="s">
        <v>23</v>
      </c>
      <c r="D360" t="s">
        <v>24</v>
      </c>
      <c r="E360" t="s">
        <v>25</v>
      </c>
      <c r="F360" t="s">
        <v>26</v>
      </c>
    </row>
    <row r="361" spans="1:11" x14ac:dyDescent="0.25">
      <c r="A361" t="s">
        <v>27</v>
      </c>
      <c r="B361" t="s">
        <v>1540</v>
      </c>
      <c r="C361" t="s">
        <v>67</v>
      </c>
      <c r="D361">
        <v>160725</v>
      </c>
      <c r="E361" t="s">
        <v>31</v>
      </c>
      <c r="F361" t="s">
        <v>31</v>
      </c>
    </row>
    <row r="362" spans="1:11" x14ac:dyDescent="0.25">
      <c r="D362" t="s">
        <v>16</v>
      </c>
      <c r="E362">
        <v>2457533.7352499999</v>
      </c>
      <c r="F362" t="s">
        <v>1863</v>
      </c>
      <c r="G362">
        <v>10.632999999999999</v>
      </c>
      <c r="H362">
        <v>2E-3</v>
      </c>
      <c r="I362" t="s">
        <v>34</v>
      </c>
      <c r="J362" t="s">
        <v>72</v>
      </c>
      <c r="K362" t="s">
        <v>20</v>
      </c>
    </row>
    <row r="363" spans="1:11" x14ac:dyDescent="0.25">
      <c r="A363" t="s">
        <v>21</v>
      </c>
      <c r="B363" t="s">
        <v>22</v>
      </c>
      <c r="C363" t="s">
        <v>23</v>
      </c>
      <c r="D363" t="s">
        <v>24</v>
      </c>
      <c r="E363" t="s">
        <v>25</v>
      </c>
      <c r="F363" t="s">
        <v>26</v>
      </c>
    </row>
    <row r="364" spans="1:11" x14ac:dyDescent="0.25">
      <c r="A364" t="s">
        <v>27</v>
      </c>
      <c r="B364" t="s">
        <v>77</v>
      </c>
      <c r="C364" t="s">
        <v>67</v>
      </c>
      <c r="D364">
        <v>160725</v>
      </c>
      <c r="E364" t="s">
        <v>31</v>
      </c>
      <c r="F364" t="s">
        <v>31</v>
      </c>
    </row>
    <row r="365" spans="1:11" x14ac:dyDescent="0.25">
      <c r="D365" t="s">
        <v>16</v>
      </c>
      <c r="E365">
        <v>2457533.7342400001</v>
      </c>
      <c r="F365" t="s">
        <v>1864</v>
      </c>
      <c r="G365">
        <v>9.4770000000000003</v>
      </c>
      <c r="H365">
        <v>1E-3</v>
      </c>
      <c r="I365" t="s">
        <v>18</v>
      </c>
      <c r="J365" t="s">
        <v>72</v>
      </c>
      <c r="K365" t="s">
        <v>20</v>
      </c>
    </row>
    <row r="366" spans="1:11" x14ac:dyDescent="0.25">
      <c r="A366" t="s">
        <v>21</v>
      </c>
      <c r="B366" t="s">
        <v>22</v>
      </c>
      <c r="C366" t="s">
        <v>23</v>
      </c>
      <c r="D366" t="s">
        <v>24</v>
      </c>
      <c r="E366" t="s">
        <v>25</v>
      </c>
      <c r="F366" t="s">
        <v>26</v>
      </c>
    </row>
    <row r="367" spans="1:11" x14ac:dyDescent="0.25">
      <c r="A367" t="s">
        <v>27</v>
      </c>
      <c r="B367" t="s">
        <v>1865</v>
      </c>
      <c r="C367" t="s">
        <v>67</v>
      </c>
      <c r="D367">
        <v>160725</v>
      </c>
      <c r="E367" t="s">
        <v>31</v>
      </c>
      <c r="F367" t="s">
        <v>31</v>
      </c>
    </row>
    <row r="368" spans="1:11" x14ac:dyDescent="0.25">
      <c r="D368" t="s">
        <v>16</v>
      </c>
      <c r="E368">
        <v>2457533.4371099998</v>
      </c>
      <c r="F368" t="s">
        <v>60</v>
      </c>
      <c r="G368">
        <v>9.5030000000000001</v>
      </c>
      <c r="H368">
        <v>2.1000000000000001E-2</v>
      </c>
      <c r="I368" t="s">
        <v>18</v>
      </c>
      <c r="J368" t="s">
        <v>19</v>
      </c>
      <c r="K368" t="s">
        <v>20</v>
      </c>
    </row>
    <row r="369" spans="1:11" x14ac:dyDescent="0.25">
      <c r="A369" t="s">
        <v>21</v>
      </c>
      <c r="B369" t="s">
        <v>22</v>
      </c>
      <c r="C369" t="s">
        <v>23</v>
      </c>
      <c r="D369" t="s">
        <v>24</v>
      </c>
      <c r="E369" t="s">
        <v>25</v>
      </c>
      <c r="F369" t="s">
        <v>26</v>
      </c>
    </row>
    <row r="370" spans="1:11" x14ac:dyDescent="0.25">
      <c r="A370" t="s">
        <v>27</v>
      </c>
      <c r="B370" t="s">
        <v>61</v>
      </c>
      <c r="C370" t="s">
        <v>29</v>
      </c>
      <c r="D370" t="s">
        <v>30</v>
      </c>
      <c r="E370" t="s">
        <v>31</v>
      </c>
      <c r="F370" t="s">
        <v>32</v>
      </c>
    </row>
    <row r="371" spans="1:11" x14ac:dyDescent="0.25">
      <c r="D371" t="s">
        <v>16</v>
      </c>
      <c r="E371">
        <v>2457533.4369899998</v>
      </c>
      <c r="F371" t="s">
        <v>62</v>
      </c>
      <c r="G371">
        <v>10.656000000000001</v>
      </c>
      <c r="H371">
        <v>1.2E-2</v>
      </c>
      <c r="I371" t="s">
        <v>34</v>
      </c>
      <c r="J371" t="s">
        <v>19</v>
      </c>
      <c r="K371" t="s">
        <v>20</v>
      </c>
    </row>
    <row r="372" spans="1:11" x14ac:dyDescent="0.25">
      <c r="A372" t="s">
        <v>21</v>
      </c>
      <c r="B372" t="s">
        <v>22</v>
      </c>
      <c r="C372" t="s">
        <v>23</v>
      </c>
      <c r="D372" t="s">
        <v>24</v>
      </c>
      <c r="E372" t="s">
        <v>25</v>
      </c>
      <c r="F372" t="s">
        <v>26</v>
      </c>
    </row>
    <row r="373" spans="1:11" x14ac:dyDescent="0.25">
      <c r="A373" t="s">
        <v>27</v>
      </c>
      <c r="B373" t="s">
        <v>63</v>
      </c>
      <c r="C373" t="s">
        <v>29</v>
      </c>
      <c r="D373" t="s">
        <v>30</v>
      </c>
      <c r="E373" t="s">
        <v>31</v>
      </c>
      <c r="F373" t="s">
        <v>32</v>
      </c>
    </row>
    <row r="374" spans="1:11" x14ac:dyDescent="0.25">
      <c r="D374" t="s">
        <v>16</v>
      </c>
      <c r="E374">
        <v>2457530.5279999999</v>
      </c>
      <c r="F374" t="s">
        <v>64</v>
      </c>
      <c r="G374">
        <v>9.5</v>
      </c>
      <c r="H374">
        <v>0.05</v>
      </c>
      <c r="I374" t="s">
        <v>65</v>
      </c>
      <c r="J374" t="s">
        <v>66</v>
      </c>
      <c r="K374" t="s">
        <v>20</v>
      </c>
    </row>
    <row r="375" spans="1:11" x14ac:dyDescent="0.25">
      <c r="A375" t="s">
        <v>21</v>
      </c>
      <c r="B375" t="s">
        <v>22</v>
      </c>
      <c r="C375" t="s">
        <v>23</v>
      </c>
      <c r="D375" t="s">
        <v>24</v>
      </c>
      <c r="E375" t="s">
        <v>25</v>
      </c>
      <c r="F375" t="s">
        <v>26</v>
      </c>
    </row>
    <row r="376" spans="1:11" x14ac:dyDescent="0.25">
      <c r="A376" t="s">
        <v>27</v>
      </c>
      <c r="B376" t="s">
        <v>31</v>
      </c>
      <c r="C376" t="s">
        <v>67</v>
      </c>
      <c r="D376" t="s">
        <v>68</v>
      </c>
      <c r="E376" t="s">
        <v>31</v>
      </c>
      <c r="F376" t="s">
        <v>69</v>
      </c>
    </row>
    <row r="377" spans="1:11" x14ac:dyDescent="0.25">
      <c r="D377" t="s">
        <v>16</v>
      </c>
      <c r="E377">
        <v>2457529.7282400001</v>
      </c>
      <c r="F377" t="s">
        <v>1866</v>
      </c>
      <c r="G377">
        <v>9.4779999999999998</v>
      </c>
      <c r="H377">
        <v>1E-3</v>
      </c>
      <c r="I377" t="s">
        <v>18</v>
      </c>
      <c r="J377" t="s">
        <v>72</v>
      </c>
      <c r="K377" t="s">
        <v>20</v>
      </c>
    </row>
    <row r="378" spans="1:11" x14ac:dyDescent="0.25">
      <c r="A378" t="s">
        <v>21</v>
      </c>
      <c r="B378" t="s">
        <v>22</v>
      </c>
      <c r="C378" t="s">
        <v>23</v>
      </c>
      <c r="D378" t="s">
        <v>24</v>
      </c>
      <c r="E378" t="s">
        <v>25</v>
      </c>
      <c r="F378" t="s">
        <v>26</v>
      </c>
    </row>
    <row r="379" spans="1:11" x14ac:dyDescent="0.25">
      <c r="A379" t="s">
        <v>27</v>
      </c>
      <c r="B379" t="s">
        <v>1867</v>
      </c>
      <c r="C379" t="s">
        <v>67</v>
      </c>
      <c r="D379">
        <v>160725</v>
      </c>
      <c r="E379" t="s">
        <v>31</v>
      </c>
      <c r="F379" t="s">
        <v>31</v>
      </c>
    </row>
    <row r="380" spans="1:11" x14ac:dyDescent="0.25">
      <c r="D380" t="s">
        <v>16</v>
      </c>
      <c r="E380">
        <v>2457529.7272800002</v>
      </c>
      <c r="F380" t="s">
        <v>1868</v>
      </c>
      <c r="G380">
        <v>10.609</v>
      </c>
      <c r="H380">
        <v>2E-3</v>
      </c>
      <c r="I380" t="s">
        <v>34</v>
      </c>
      <c r="J380" t="s">
        <v>72</v>
      </c>
      <c r="K380" t="s">
        <v>20</v>
      </c>
    </row>
    <row r="381" spans="1:11" x14ac:dyDescent="0.25">
      <c r="A381" t="s">
        <v>21</v>
      </c>
      <c r="B381" t="s">
        <v>22</v>
      </c>
      <c r="C381" t="s">
        <v>23</v>
      </c>
      <c r="D381" t="s">
        <v>24</v>
      </c>
      <c r="E381" t="s">
        <v>25</v>
      </c>
      <c r="F381" t="s">
        <v>26</v>
      </c>
    </row>
    <row r="382" spans="1:11" x14ac:dyDescent="0.25">
      <c r="A382" t="s">
        <v>27</v>
      </c>
      <c r="B382" t="s">
        <v>92</v>
      </c>
      <c r="C382" t="s">
        <v>67</v>
      </c>
      <c r="D382">
        <v>160725</v>
      </c>
      <c r="E382" t="s">
        <v>31</v>
      </c>
      <c r="F382" t="s">
        <v>31</v>
      </c>
    </row>
    <row r="383" spans="1:11" x14ac:dyDescent="0.25">
      <c r="D383" t="s">
        <v>16</v>
      </c>
      <c r="E383">
        <v>2457529.7262599999</v>
      </c>
      <c r="F383" t="s">
        <v>1869</v>
      </c>
      <c r="G383">
        <v>10.631</v>
      </c>
      <c r="H383">
        <v>2E-3</v>
      </c>
      <c r="I383" t="s">
        <v>34</v>
      </c>
      <c r="J383" t="s">
        <v>72</v>
      </c>
      <c r="K383" t="s">
        <v>20</v>
      </c>
    </row>
    <row r="384" spans="1:11" x14ac:dyDescent="0.25">
      <c r="A384" t="s">
        <v>21</v>
      </c>
      <c r="B384" t="s">
        <v>22</v>
      </c>
      <c r="C384" t="s">
        <v>23</v>
      </c>
      <c r="D384" t="s">
        <v>24</v>
      </c>
      <c r="E384" t="s">
        <v>25</v>
      </c>
      <c r="F384" t="s">
        <v>26</v>
      </c>
    </row>
    <row r="385" spans="1:11" x14ac:dyDescent="0.25">
      <c r="A385" t="s">
        <v>27</v>
      </c>
      <c r="B385" t="s">
        <v>1870</v>
      </c>
      <c r="C385" t="s">
        <v>67</v>
      </c>
      <c r="D385">
        <v>160725</v>
      </c>
      <c r="E385" t="s">
        <v>31</v>
      </c>
      <c r="F385" t="s">
        <v>31</v>
      </c>
    </row>
    <row r="386" spans="1:11" x14ac:dyDescent="0.25">
      <c r="D386" t="s">
        <v>16</v>
      </c>
      <c r="E386">
        <v>2457529.7252400001</v>
      </c>
      <c r="F386" t="s">
        <v>1871</v>
      </c>
      <c r="G386">
        <v>9.4930000000000003</v>
      </c>
      <c r="H386">
        <v>1E-3</v>
      </c>
      <c r="I386" t="s">
        <v>18</v>
      </c>
      <c r="J386" t="s">
        <v>72</v>
      </c>
      <c r="K386" t="s">
        <v>20</v>
      </c>
    </row>
    <row r="387" spans="1:11" x14ac:dyDescent="0.25">
      <c r="A387" t="s">
        <v>21</v>
      </c>
      <c r="B387" t="s">
        <v>22</v>
      </c>
      <c r="C387" t="s">
        <v>23</v>
      </c>
      <c r="D387" t="s">
        <v>24</v>
      </c>
      <c r="E387" t="s">
        <v>25</v>
      </c>
      <c r="F387" t="s">
        <v>26</v>
      </c>
    </row>
    <row r="388" spans="1:11" x14ac:dyDescent="0.25">
      <c r="A388" t="s">
        <v>27</v>
      </c>
      <c r="B388" t="s">
        <v>1872</v>
      </c>
      <c r="C388" t="s">
        <v>67</v>
      </c>
      <c r="D388">
        <v>160725</v>
      </c>
      <c r="E388" t="s">
        <v>31</v>
      </c>
      <c r="F388" t="s">
        <v>31</v>
      </c>
    </row>
    <row r="389" spans="1:11" x14ac:dyDescent="0.25">
      <c r="D389" t="s">
        <v>16</v>
      </c>
      <c r="E389">
        <v>2457529.5099999998</v>
      </c>
      <c r="F389" t="s">
        <v>70</v>
      </c>
      <c r="G389">
        <v>9.65</v>
      </c>
      <c r="H389">
        <v>0.05</v>
      </c>
      <c r="I389" t="s">
        <v>65</v>
      </c>
      <c r="J389" t="s">
        <v>66</v>
      </c>
      <c r="K389" t="s">
        <v>20</v>
      </c>
    </row>
    <row r="390" spans="1:11" x14ac:dyDescent="0.25">
      <c r="A390" t="s">
        <v>21</v>
      </c>
      <c r="B390" t="s">
        <v>22</v>
      </c>
      <c r="C390" t="s">
        <v>23</v>
      </c>
      <c r="D390" t="s">
        <v>24</v>
      </c>
      <c r="E390" t="s">
        <v>25</v>
      </c>
      <c r="F390" t="s">
        <v>26</v>
      </c>
    </row>
    <row r="391" spans="1:11" x14ac:dyDescent="0.25">
      <c r="A391" t="s">
        <v>27</v>
      </c>
      <c r="B391" t="s">
        <v>31</v>
      </c>
      <c r="C391" t="s">
        <v>67</v>
      </c>
      <c r="D391" t="s">
        <v>68</v>
      </c>
      <c r="E391" t="s">
        <v>31</v>
      </c>
      <c r="F391" t="s">
        <v>69</v>
      </c>
    </row>
    <row r="392" spans="1:11" x14ac:dyDescent="0.25">
      <c r="D392" t="s">
        <v>16</v>
      </c>
      <c r="E392">
        <v>2457528.7282500002</v>
      </c>
      <c r="F392" t="s">
        <v>1873</v>
      </c>
      <c r="G392">
        <v>9.4779999999999998</v>
      </c>
      <c r="H392">
        <v>1E-3</v>
      </c>
      <c r="I392" t="s">
        <v>18</v>
      </c>
      <c r="J392" t="s">
        <v>72</v>
      </c>
      <c r="K392" t="s">
        <v>20</v>
      </c>
    </row>
    <row r="393" spans="1:11" x14ac:dyDescent="0.25">
      <c r="A393" t="s">
        <v>21</v>
      </c>
      <c r="B393" t="s">
        <v>22</v>
      </c>
      <c r="C393" t="s">
        <v>23</v>
      </c>
      <c r="D393" t="s">
        <v>24</v>
      </c>
      <c r="E393" t="s">
        <v>25</v>
      </c>
      <c r="F393" t="s">
        <v>26</v>
      </c>
    </row>
    <row r="394" spans="1:11" x14ac:dyDescent="0.25">
      <c r="A394" t="s">
        <v>27</v>
      </c>
      <c r="B394" t="s">
        <v>1849</v>
      </c>
      <c r="C394" t="s">
        <v>67</v>
      </c>
      <c r="D394">
        <v>160725</v>
      </c>
      <c r="E394" t="s">
        <v>31</v>
      </c>
      <c r="F394" t="s">
        <v>31</v>
      </c>
    </row>
    <row r="395" spans="1:11" x14ac:dyDescent="0.25">
      <c r="D395" t="s">
        <v>16</v>
      </c>
      <c r="E395">
        <v>2457528.7272899998</v>
      </c>
      <c r="F395" t="s">
        <v>1874</v>
      </c>
      <c r="G395">
        <v>10.614000000000001</v>
      </c>
      <c r="H395">
        <v>2E-3</v>
      </c>
      <c r="I395" t="s">
        <v>34</v>
      </c>
      <c r="J395" t="s">
        <v>72</v>
      </c>
      <c r="K395" t="s">
        <v>20</v>
      </c>
    </row>
    <row r="396" spans="1:11" x14ac:dyDescent="0.25">
      <c r="A396" t="s">
        <v>21</v>
      </c>
      <c r="B396" t="s">
        <v>22</v>
      </c>
      <c r="C396" t="s">
        <v>23</v>
      </c>
      <c r="D396" t="s">
        <v>24</v>
      </c>
      <c r="E396" t="s">
        <v>25</v>
      </c>
      <c r="F396" t="s">
        <v>26</v>
      </c>
    </row>
    <row r="397" spans="1:11" x14ac:dyDescent="0.25">
      <c r="A397" t="s">
        <v>27</v>
      </c>
      <c r="B397" t="s">
        <v>1875</v>
      </c>
      <c r="C397" t="s">
        <v>67</v>
      </c>
      <c r="D397">
        <v>160725</v>
      </c>
      <c r="E397" t="s">
        <v>31</v>
      </c>
      <c r="F397" t="s">
        <v>31</v>
      </c>
    </row>
    <row r="398" spans="1:11" x14ac:dyDescent="0.25">
      <c r="D398" t="s">
        <v>16</v>
      </c>
      <c r="E398">
        <v>2457528.72627</v>
      </c>
      <c r="F398" t="s">
        <v>1876</v>
      </c>
      <c r="G398">
        <v>10.598000000000001</v>
      </c>
      <c r="H398">
        <v>2E-3</v>
      </c>
      <c r="I398" t="s">
        <v>34</v>
      </c>
      <c r="J398" t="s">
        <v>72</v>
      </c>
      <c r="K398" t="s">
        <v>20</v>
      </c>
    </row>
    <row r="399" spans="1:11" x14ac:dyDescent="0.25">
      <c r="A399" t="s">
        <v>21</v>
      </c>
      <c r="B399" t="s">
        <v>22</v>
      </c>
      <c r="C399" t="s">
        <v>23</v>
      </c>
      <c r="D399" t="s">
        <v>24</v>
      </c>
      <c r="E399" t="s">
        <v>25</v>
      </c>
      <c r="F399" t="s">
        <v>26</v>
      </c>
    </row>
    <row r="400" spans="1:11" x14ac:dyDescent="0.25">
      <c r="A400" t="s">
        <v>27</v>
      </c>
      <c r="B400" t="s">
        <v>1877</v>
      </c>
      <c r="C400" t="s">
        <v>67</v>
      </c>
      <c r="D400">
        <v>160725</v>
      </c>
      <c r="E400" t="s">
        <v>31</v>
      </c>
      <c r="F400" t="s">
        <v>31</v>
      </c>
    </row>
    <row r="401" spans="1:11" x14ac:dyDescent="0.25">
      <c r="D401" t="s">
        <v>16</v>
      </c>
      <c r="E401">
        <v>2457528.7252699998</v>
      </c>
      <c r="F401" t="s">
        <v>1878</v>
      </c>
      <c r="G401">
        <v>9.4760000000000009</v>
      </c>
      <c r="H401">
        <v>1E-3</v>
      </c>
      <c r="I401" t="s">
        <v>18</v>
      </c>
      <c r="J401" t="s">
        <v>72</v>
      </c>
      <c r="K401" t="s">
        <v>20</v>
      </c>
    </row>
    <row r="402" spans="1:11" x14ac:dyDescent="0.25">
      <c r="A402" t="s">
        <v>21</v>
      </c>
      <c r="B402" t="s">
        <v>22</v>
      </c>
      <c r="C402" t="s">
        <v>23</v>
      </c>
      <c r="D402" t="s">
        <v>24</v>
      </c>
      <c r="E402" t="s">
        <v>25</v>
      </c>
      <c r="F402" t="s">
        <v>26</v>
      </c>
    </row>
    <row r="403" spans="1:11" x14ac:dyDescent="0.25">
      <c r="A403" t="s">
        <v>27</v>
      </c>
      <c r="B403" t="s">
        <v>1879</v>
      </c>
      <c r="C403" t="s">
        <v>67</v>
      </c>
      <c r="D403">
        <v>160725</v>
      </c>
      <c r="E403" t="s">
        <v>31</v>
      </c>
      <c r="F403" t="s">
        <v>31</v>
      </c>
    </row>
    <row r="404" spans="1:11" x14ac:dyDescent="0.25">
      <c r="D404" t="s">
        <v>16</v>
      </c>
      <c r="E404">
        <v>2457527.85457</v>
      </c>
      <c r="F404" t="s">
        <v>71</v>
      </c>
      <c r="G404">
        <v>10.664</v>
      </c>
      <c r="H404">
        <v>1.2E-2</v>
      </c>
      <c r="I404" t="s">
        <v>34</v>
      </c>
      <c r="J404" t="s">
        <v>72</v>
      </c>
      <c r="K404" t="s">
        <v>20</v>
      </c>
    </row>
    <row r="405" spans="1:11" x14ac:dyDescent="0.25">
      <c r="A405" t="s">
        <v>21</v>
      </c>
      <c r="B405" t="s">
        <v>22</v>
      </c>
      <c r="C405" t="s">
        <v>23</v>
      </c>
      <c r="D405" t="s">
        <v>24</v>
      </c>
      <c r="E405" t="s">
        <v>25</v>
      </c>
      <c r="F405" t="s">
        <v>26</v>
      </c>
    </row>
    <row r="406" spans="1:11" x14ac:dyDescent="0.25">
      <c r="A406" t="s">
        <v>27</v>
      </c>
      <c r="B406" t="s">
        <v>73</v>
      </c>
      <c r="C406" t="s">
        <v>67</v>
      </c>
      <c r="D406">
        <v>160520</v>
      </c>
      <c r="E406" t="s">
        <v>31</v>
      </c>
      <c r="F406" t="s">
        <v>31</v>
      </c>
    </row>
    <row r="407" spans="1:11" x14ac:dyDescent="0.25">
      <c r="D407" t="s">
        <v>16</v>
      </c>
      <c r="E407">
        <v>2457527.8545499998</v>
      </c>
      <c r="F407" t="s">
        <v>74</v>
      </c>
      <c r="G407">
        <v>9.4920000000000009</v>
      </c>
      <c r="H407">
        <v>1.2999999999999999E-2</v>
      </c>
      <c r="I407" t="s">
        <v>18</v>
      </c>
      <c r="J407" t="s">
        <v>72</v>
      </c>
      <c r="K407" t="s">
        <v>20</v>
      </c>
    </row>
    <row r="408" spans="1:11" x14ac:dyDescent="0.25">
      <c r="A408" t="s">
        <v>21</v>
      </c>
      <c r="B408" t="s">
        <v>22</v>
      </c>
      <c r="C408" t="s">
        <v>23</v>
      </c>
      <c r="D408" t="s">
        <v>24</v>
      </c>
      <c r="E408" t="s">
        <v>25</v>
      </c>
      <c r="F408" t="s">
        <v>26</v>
      </c>
    </row>
    <row r="409" spans="1:11" x14ac:dyDescent="0.25">
      <c r="A409" t="s">
        <v>27</v>
      </c>
      <c r="B409" t="s">
        <v>75</v>
      </c>
      <c r="C409" t="s">
        <v>67</v>
      </c>
      <c r="D409">
        <v>160520</v>
      </c>
      <c r="E409" t="s">
        <v>31</v>
      </c>
      <c r="F409" t="s">
        <v>31</v>
      </c>
    </row>
    <row r="410" spans="1:11" x14ac:dyDescent="0.25">
      <c r="D410" t="s">
        <v>16</v>
      </c>
      <c r="E410">
        <v>2457526.8976199999</v>
      </c>
      <c r="F410" t="s">
        <v>76</v>
      </c>
      <c r="G410">
        <v>10.645</v>
      </c>
      <c r="H410">
        <v>2.1999999999999999E-2</v>
      </c>
      <c r="I410" t="s">
        <v>34</v>
      </c>
      <c r="J410" t="s">
        <v>72</v>
      </c>
      <c r="K410" t="s">
        <v>20</v>
      </c>
    </row>
    <row r="411" spans="1:11" x14ac:dyDescent="0.25">
      <c r="A411" t="s">
        <v>21</v>
      </c>
      <c r="B411" t="s">
        <v>22</v>
      </c>
      <c r="C411" t="s">
        <v>23</v>
      </c>
      <c r="D411" t="s">
        <v>24</v>
      </c>
      <c r="E411" t="s">
        <v>25</v>
      </c>
      <c r="F411" t="s">
        <v>26</v>
      </c>
    </row>
    <row r="412" spans="1:11" x14ac:dyDescent="0.25">
      <c r="A412" t="s">
        <v>27</v>
      </c>
      <c r="B412" t="s">
        <v>77</v>
      </c>
      <c r="C412" t="s">
        <v>67</v>
      </c>
      <c r="D412">
        <v>160520</v>
      </c>
      <c r="E412" t="s">
        <v>31</v>
      </c>
      <c r="F412" t="s">
        <v>31</v>
      </c>
    </row>
    <row r="413" spans="1:11" x14ac:dyDescent="0.25">
      <c r="D413" t="s">
        <v>16</v>
      </c>
      <c r="E413">
        <v>2457526.8975900002</v>
      </c>
      <c r="F413" t="s">
        <v>78</v>
      </c>
      <c r="G413">
        <v>9.4849999999999994</v>
      </c>
      <c r="H413">
        <v>8.0000000000000002E-3</v>
      </c>
      <c r="I413" t="s">
        <v>18</v>
      </c>
      <c r="J413" t="s">
        <v>72</v>
      </c>
      <c r="K413" t="s">
        <v>20</v>
      </c>
    </row>
    <row r="414" spans="1:11" x14ac:dyDescent="0.25">
      <c r="A414" t="s">
        <v>21</v>
      </c>
      <c r="B414" t="s">
        <v>22</v>
      </c>
      <c r="C414" t="s">
        <v>23</v>
      </c>
      <c r="D414" t="s">
        <v>24</v>
      </c>
      <c r="E414" t="s">
        <v>25</v>
      </c>
      <c r="F414" t="s">
        <v>26</v>
      </c>
    </row>
    <row r="415" spans="1:11" x14ac:dyDescent="0.25">
      <c r="A415" t="s">
        <v>27</v>
      </c>
      <c r="B415" t="s">
        <v>79</v>
      </c>
      <c r="C415" t="s">
        <v>67</v>
      </c>
      <c r="D415">
        <v>160520</v>
      </c>
      <c r="E415" t="s">
        <v>31</v>
      </c>
      <c r="F415" t="s">
        <v>31</v>
      </c>
    </row>
    <row r="416" spans="1:11" x14ac:dyDescent="0.25">
      <c r="D416" t="s">
        <v>16</v>
      </c>
      <c r="E416">
        <v>2457525.73171</v>
      </c>
      <c r="F416" t="s">
        <v>80</v>
      </c>
      <c r="G416">
        <v>10.606999999999999</v>
      </c>
      <c r="H416">
        <v>1.0999999999999999E-2</v>
      </c>
      <c r="I416" t="s">
        <v>34</v>
      </c>
      <c r="J416" t="s">
        <v>72</v>
      </c>
      <c r="K416" t="s">
        <v>20</v>
      </c>
    </row>
    <row r="417" spans="1:11" x14ac:dyDescent="0.25">
      <c r="A417" t="s">
        <v>21</v>
      </c>
      <c r="B417" t="s">
        <v>22</v>
      </c>
      <c r="C417" t="s">
        <v>23</v>
      </c>
      <c r="D417" t="s">
        <v>24</v>
      </c>
      <c r="E417" t="s">
        <v>25</v>
      </c>
      <c r="F417" t="s">
        <v>26</v>
      </c>
    </row>
    <row r="418" spans="1:11" x14ac:dyDescent="0.25">
      <c r="A418" t="s">
        <v>27</v>
      </c>
      <c r="B418" t="s">
        <v>81</v>
      </c>
      <c r="C418" t="s">
        <v>67</v>
      </c>
      <c r="D418">
        <v>160520</v>
      </c>
      <c r="E418" t="s">
        <v>31</v>
      </c>
      <c r="F418" t="s">
        <v>31</v>
      </c>
    </row>
    <row r="419" spans="1:11" x14ac:dyDescent="0.25">
      <c r="D419" t="s">
        <v>16</v>
      </c>
      <c r="E419">
        <v>2457525.7316899998</v>
      </c>
      <c r="F419" t="s">
        <v>82</v>
      </c>
      <c r="G419">
        <v>9.4760000000000009</v>
      </c>
      <c r="H419">
        <v>3.0000000000000001E-3</v>
      </c>
      <c r="I419" t="s">
        <v>18</v>
      </c>
      <c r="J419" t="s">
        <v>72</v>
      </c>
      <c r="K419" t="s">
        <v>20</v>
      </c>
    </row>
    <row r="420" spans="1:11" x14ac:dyDescent="0.25">
      <c r="A420" t="s">
        <v>21</v>
      </c>
      <c r="B420" t="s">
        <v>22</v>
      </c>
      <c r="C420" t="s">
        <v>23</v>
      </c>
      <c r="D420" t="s">
        <v>24</v>
      </c>
      <c r="E420" t="s">
        <v>25</v>
      </c>
      <c r="F420" t="s">
        <v>26</v>
      </c>
    </row>
    <row r="421" spans="1:11" x14ac:dyDescent="0.25">
      <c r="A421" t="s">
        <v>27</v>
      </c>
      <c r="B421" t="s">
        <v>83</v>
      </c>
      <c r="C421" t="s">
        <v>67</v>
      </c>
      <c r="D421">
        <v>160520</v>
      </c>
      <c r="E421" t="s">
        <v>31</v>
      </c>
      <c r="F421" t="s">
        <v>31</v>
      </c>
    </row>
    <row r="422" spans="1:11" x14ac:dyDescent="0.25">
      <c r="D422" t="s">
        <v>16</v>
      </c>
      <c r="E422">
        <v>2457525.4849999999</v>
      </c>
      <c r="F422" t="s">
        <v>84</v>
      </c>
      <c r="G422">
        <v>9.5299999999999994</v>
      </c>
      <c r="H422">
        <v>0.05</v>
      </c>
      <c r="I422" t="s">
        <v>65</v>
      </c>
      <c r="J422" t="s">
        <v>66</v>
      </c>
      <c r="K422" t="s">
        <v>20</v>
      </c>
    </row>
    <row r="423" spans="1:11" x14ac:dyDescent="0.25">
      <c r="A423" t="s">
        <v>21</v>
      </c>
      <c r="B423" t="s">
        <v>22</v>
      </c>
      <c r="C423" t="s">
        <v>23</v>
      </c>
      <c r="D423" t="s">
        <v>24</v>
      </c>
      <c r="E423" t="s">
        <v>25</v>
      </c>
      <c r="F423" t="s">
        <v>26</v>
      </c>
    </row>
    <row r="424" spans="1:11" x14ac:dyDescent="0.25">
      <c r="A424" t="s">
        <v>27</v>
      </c>
      <c r="B424" t="s">
        <v>31</v>
      </c>
      <c r="C424" t="s">
        <v>67</v>
      </c>
      <c r="D424" t="s">
        <v>68</v>
      </c>
      <c r="E424" t="s">
        <v>31</v>
      </c>
      <c r="F424" t="s">
        <v>69</v>
      </c>
    </row>
    <row r="425" spans="1:11" x14ac:dyDescent="0.25">
      <c r="D425" t="s">
        <v>16</v>
      </c>
      <c r="E425">
        <v>2457525.4229700002</v>
      </c>
      <c r="F425" t="s">
        <v>85</v>
      </c>
      <c r="G425">
        <v>9.51</v>
      </c>
      <c r="H425">
        <v>1.6E-2</v>
      </c>
      <c r="I425" t="s">
        <v>18</v>
      </c>
      <c r="J425" t="s">
        <v>19</v>
      </c>
      <c r="K425" t="s">
        <v>20</v>
      </c>
    </row>
    <row r="426" spans="1:11" x14ac:dyDescent="0.25">
      <c r="A426" t="s">
        <v>21</v>
      </c>
      <c r="B426" t="s">
        <v>22</v>
      </c>
      <c r="C426" t="s">
        <v>23</v>
      </c>
      <c r="D426" t="s">
        <v>24</v>
      </c>
      <c r="E426" t="s">
        <v>25</v>
      </c>
      <c r="F426" t="s">
        <v>26</v>
      </c>
    </row>
    <row r="427" spans="1:11" x14ac:dyDescent="0.25">
      <c r="A427" t="s">
        <v>27</v>
      </c>
      <c r="B427" t="s">
        <v>86</v>
      </c>
      <c r="C427" t="s">
        <v>29</v>
      </c>
      <c r="D427" t="s">
        <v>30</v>
      </c>
      <c r="E427" t="s">
        <v>31</v>
      </c>
      <c r="F427" t="s">
        <v>32</v>
      </c>
    </row>
    <row r="428" spans="1:11" x14ac:dyDescent="0.25">
      <c r="D428" t="s">
        <v>16</v>
      </c>
      <c r="E428">
        <v>2457525.4228599998</v>
      </c>
      <c r="F428" t="s">
        <v>87</v>
      </c>
      <c r="G428">
        <v>10.646000000000001</v>
      </c>
      <c r="H428">
        <v>8.9999999999999993E-3</v>
      </c>
      <c r="I428" t="s">
        <v>34</v>
      </c>
      <c r="J428" t="s">
        <v>19</v>
      </c>
      <c r="K428" t="s">
        <v>20</v>
      </c>
    </row>
    <row r="429" spans="1:11" x14ac:dyDescent="0.25">
      <c r="A429" t="s">
        <v>21</v>
      </c>
      <c r="B429" t="s">
        <v>22</v>
      </c>
      <c r="C429" t="s">
        <v>23</v>
      </c>
      <c r="D429" t="s">
        <v>24</v>
      </c>
      <c r="E429" t="s">
        <v>25</v>
      </c>
      <c r="F429" t="s">
        <v>26</v>
      </c>
    </row>
    <row r="430" spans="1:11" x14ac:dyDescent="0.25">
      <c r="A430" t="s">
        <v>27</v>
      </c>
      <c r="B430" t="s">
        <v>88</v>
      </c>
      <c r="C430" t="s">
        <v>29</v>
      </c>
      <c r="D430" t="s">
        <v>30</v>
      </c>
      <c r="E430" t="s">
        <v>31</v>
      </c>
      <c r="F430" t="s">
        <v>32</v>
      </c>
    </row>
    <row r="431" spans="1:11" x14ac:dyDescent="0.25">
      <c r="D431" t="s">
        <v>16</v>
      </c>
      <c r="E431">
        <v>2457524.7994300001</v>
      </c>
      <c r="F431" t="s">
        <v>89</v>
      </c>
      <c r="G431">
        <v>9.4629999999999992</v>
      </c>
      <c r="H431">
        <v>1.2E-2</v>
      </c>
      <c r="I431" t="s">
        <v>18</v>
      </c>
      <c r="J431" t="s">
        <v>72</v>
      </c>
      <c r="K431" t="s">
        <v>20</v>
      </c>
    </row>
    <row r="432" spans="1:11" x14ac:dyDescent="0.25">
      <c r="A432" t="s">
        <v>21</v>
      </c>
      <c r="B432" t="s">
        <v>22</v>
      </c>
      <c r="C432" t="s">
        <v>23</v>
      </c>
      <c r="D432" t="s">
        <v>24</v>
      </c>
      <c r="E432" t="s">
        <v>25</v>
      </c>
      <c r="F432" t="s">
        <v>26</v>
      </c>
    </row>
    <row r="433" spans="1:11" x14ac:dyDescent="0.25">
      <c r="A433" t="s">
        <v>27</v>
      </c>
      <c r="B433" t="s">
        <v>90</v>
      </c>
      <c r="C433" t="s">
        <v>67</v>
      </c>
      <c r="D433">
        <v>160520</v>
      </c>
      <c r="E433" t="s">
        <v>31</v>
      </c>
      <c r="F433" t="s">
        <v>31</v>
      </c>
    </row>
    <row r="434" spans="1:11" x14ac:dyDescent="0.25">
      <c r="D434" t="s">
        <v>16</v>
      </c>
      <c r="E434">
        <v>2457524.7960299999</v>
      </c>
      <c r="F434" t="s">
        <v>91</v>
      </c>
      <c r="G434">
        <v>10.573</v>
      </c>
      <c r="H434">
        <v>5.0000000000000001E-3</v>
      </c>
      <c r="I434" t="s">
        <v>34</v>
      </c>
      <c r="J434" t="s">
        <v>72</v>
      </c>
      <c r="K434" t="s">
        <v>20</v>
      </c>
    </row>
    <row r="435" spans="1:11" x14ac:dyDescent="0.25">
      <c r="A435" t="s">
        <v>21</v>
      </c>
      <c r="B435" t="s">
        <v>22</v>
      </c>
      <c r="C435" t="s">
        <v>23</v>
      </c>
      <c r="D435" t="s">
        <v>24</v>
      </c>
      <c r="E435" t="s">
        <v>25</v>
      </c>
      <c r="F435" t="s">
        <v>26</v>
      </c>
    </row>
    <row r="436" spans="1:11" x14ac:dyDescent="0.25">
      <c r="A436" t="s">
        <v>27</v>
      </c>
      <c r="B436" t="s">
        <v>92</v>
      </c>
      <c r="C436" t="s">
        <v>67</v>
      </c>
      <c r="D436">
        <v>160520</v>
      </c>
      <c r="E436" t="s">
        <v>31</v>
      </c>
      <c r="F436" t="s">
        <v>31</v>
      </c>
    </row>
    <row r="437" spans="1:11" x14ac:dyDescent="0.25">
      <c r="D437" t="s">
        <v>16</v>
      </c>
      <c r="E437">
        <v>2457521.3689899999</v>
      </c>
      <c r="F437" t="s">
        <v>93</v>
      </c>
      <c r="G437">
        <v>9.3550000000000004</v>
      </c>
      <c r="H437">
        <v>1.4999999999999999E-2</v>
      </c>
      <c r="I437" t="s">
        <v>18</v>
      </c>
      <c r="J437" t="s">
        <v>19</v>
      </c>
      <c r="K437" t="s">
        <v>20</v>
      </c>
    </row>
    <row r="438" spans="1:11" x14ac:dyDescent="0.25">
      <c r="A438" t="s">
        <v>21</v>
      </c>
      <c r="B438" t="s">
        <v>22</v>
      </c>
      <c r="C438" t="s">
        <v>23</v>
      </c>
      <c r="D438" t="s">
        <v>24</v>
      </c>
      <c r="E438" t="s">
        <v>25</v>
      </c>
      <c r="F438" t="s">
        <v>26</v>
      </c>
    </row>
    <row r="439" spans="1:11" x14ac:dyDescent="0.25">
      <c r="A439" t="s">
        <v>27</v>
      </c>
      <c r="B439" t="s">
        <v>94</v>
      </c>
      <c r="C439" t="s">
        <v>29</v>
      </c>
      <c r="D439" t="s">
        <v>30</v>
      </c>
      <c r="E439" t="s">
        <v>31</v>
      </c>
      <c r="F439" t="s">
        <v>32</v>
      </c>
    </row>
    <row r="440" spans="1:11" x14ac:dyDescent="0.25">
      <c r="D440" t="s">
        <v>16</v>
      </c>
      <c r="E440">
        <v>2457521.36888</v>
      </c>
      <c r="F440" t="s">
        <v>95</v>
      </c>
      <c r="G440">
        <v>10.365</v>
      </c>
      <c r="H440">
        <v>0.04</v>
      </c>
      <c r="I440" t="s">
        <v>34</v>
      </c>
      <c r="J440" t="s">
        <v>19</v>
      </c>
      <c r="K440" t="s">
        <v>20</v>
      </c>
    </row>
    <row r="441" spans="1:11" x14ac:dyDescent="0.25">
      <c r="A441" t="s">
        <v>21</v>
      </c>
      <c r="B441" t="s">
        <v>22</v>
      </c>
      <c r="C441" t="s">
        <v>23</v>
      </c>
      <c r="D441" t="s">
        <v>24</v>
      </c>
      <c r="E441" t="s">
        <v>25</v>
      </c>
      <c r="F441" t="s">
        <v>26</v>
      </c>
    </row>
    <row r="442" spans="1:11" x14ac:dyDescent="0.25">
      <c r="A442" t="s">
        <v>27</v>
      </c>
      <c r="B442" t="s">
        <v>96</v>
      </c>
      <c r="C442" t="s">
        <v>29</v>
      </c>
      <c r="D442" t="s">
        <v>30</v>
      </c>
      <c r="E442" t="s">
        <v>31</v>
      </c>
      <c r="F442" t="s">
        <v>32</v>
      </c>
    </row>
    <row r="443" spans="1:11" x14ac:dyDescent="0.25">
      <c r="D443" t="s">
        <v>16</v>
      </c>
      <c r="E443">
        <v>2457520.7444099998</v>
      </c>
      <c r="F443" t="s">
        <v>1539</v>
      </c>
      <c r="G443">
        <v>10.281000000000001</v>
      </c>
      <c r="H443">
        <v>2.5999999999999999E-2</v>
      </c>
      <c r="I443" t="s">
        <v>34</v>
      </c>
      <c r="J443" t="s">
        <v>72</v>
      </c>
      <c r="K443" t="s">
        <v>20</v>
      </c>
    </row>
    <row r="444" spans="1:11" x14ac:dyDescent="0.25">
      <c r="A444" t="s">
        <v>21</v>
      </c>
      <c r="B444" t="s">
        <v>22</v>
      </c>
      <c r="C444" t="s">
        <v>23</v>
      </c>
      <c r="D444" t="s">
        <v>24</v>
      </c>
      <c r="E444" t="s">
        <v>25</v>
      </c>
      <c r="F444" t="s">
        <v>26</v>
      </c>
    </row>
    <row r="445" spans="1:11" x14ac:dyDescent="0.25">
      <c r="A445" t="s">
        <v>27</v>
      </c>
      <c r="B445" t="s">
        <v>1540</v>
      </c>
      <c r="C445" t="s">
        <v>67</v>
      </c>
      <c r="D445">
        <v>160520</v>
      </c>
      <c r="E445" t="s">
        <v>31</v>
      </c>
      <c r="F445" t="s">
        <v>31</v>
      </c>
    </row>
    <row r="446" spans="1:11" x14ac:dyDescent="0.25">
      <c r="D446" t="s">
        <v>16</v>
      </c>
      <c r="E446">
        <v>2457520.7443900001</v>
      </c>
      <c r="F446" t="s">
        <v>1541</v>
      </c>
      <c r="G446">
        <v>9.3170000000000002</v>
      </c>
      <c r="H446">
        <v>5.0000000000000001E-3</v>
      </c>
      <c r="I446" t="s">
        <v>18</v>
      </c>
      <c r="J446" t="s">
        <v>72</v>
      </c>
      <c r="K446" t="s">
        <v>20</v>
      </c>
    </row>
    <row r="447" spans="1:11" x14ac:dyDescent="0.25">
      <c r="A447" t="s">
        <v>21</v>
      </c>
      <c r="B447" t="s">
        <v>22</v>
      </c>
      <c r="C447" t="s">
        <v>23</v>
      </c>
      <c r="D447" t="s">
        <v>24</v>
      </c>
      <c r="E447" t="s">
        <v>25</v>
      </c>
      <c r="F447" t="s">
        <v>26</v>
      </c>
    </row>
    <row r="448" spans="1:11" x14ac:dyDescent="0.25">
      <c r="A448" t="s">
        <v>27</v>
      </c>
      <c r="B448" t="s">
        <v>1542</v>
      </c>
      <c r="C448" t="s">
        <v>67</v>
      </c>
      <c r="D448">
        <v>160520</v>
      </c>
      <c r="E448" t="s">
        <v>31</v>
      </c>
      <c r="F448" t="s">
        <v>31</v>
      </c>
    </row>
    <row r="449" spans="1:11" x14ac:dyDescent="0.25">
      <c r="D449" t="s">
        <v>16</v>
      </c>
      <c r="E449">
        <v>2457519.7827900001</v>
      </c>
      <c r="F449" t="s">
        <v>1543</v>
      </c>
      <c r="G449">
        <v>10.276</v>
      </c>
      <c r="H449">
        <v>1.6E-2</v>
      </c>
      <c r="I449" t="s">
        <v>34</v>
      </c>
      <c r="J449" t="s">
        <v>72</v>
      </c>
      <c r="K449" t="s">
        <v>20</v>
      </c>
    </row>
    <row r="450" spans="1:11" x14ac:dyDescent="0.25">
      <c r="A450" t="s">
        <v>21</v>
      </c>
      <c r="B450" t="s">
        <v>22</v>
      </c>
      <c r="C450" t="s">
        <v>23</v>
      </c>
      <c r="D450" t="s">
        <v>24</v>
      </c>
      <c r="E450" t="s">
        <v>25</v>
      </c>
      <c r="F450" t="s">
        <v>26</v>
      </c>
    </row>
    <row r="451" spans="1:11" x14ac:dyDescent="0.25">
      <c r="A451" t="s">
        <v>27</v>
      </c>
      <c r="B451" t="s">
        <v>1544</v>
      </c>
      <c r="C451" t="s">
        <v>67</v>
      </c>
      <c r="D451">
        <v>160520</v>
      </c>
      <c r="E451" t="s">
        <v>31</v>
      </c>
      <c r="F451" t="s">
        <v>31</v>
      </c>
    </row>
    <row r="452" spans="1:11" x14ac:dyDescent="0.25">
      <c r="D452" t="s">
        <v>16</v>
      </c>
      <c r="E452">
        <v>2457519.7827699999</v>
      </c>
      <c r="F452" t="s">
        <v>1545</v>
      </c>
      <c r="G452">
        <v>9.31</v>
      </c>
      <c r="H452">
        <v>0.01</v>
      </c>
      <c r="I452" t="s">
        <v>18</v>
      </c>
      <c r="J452" t="s">
        <v>72</v>
      </c>
      <c r="K452" t="s">
        <v>20</v>
      </c>
    </row>
    <row r="453" spans="1:11" x14ac:dyDescent="0.25">
      <c r="A453" t="s">
        <v>21</v>
      </c>
      <c r="B453" t="s">
        <v>22</v>
      </c>
      <c r="C453" t="s">
        <v>23</v>
      </c>
      <c r="D453" t="s">
        <v>24</v>
      </c>
      <c r="E453" t="s">
        <v>25</v>
      </c>
      <c r="F453" t="s">
        <v>26</v>
      </c>
    </row>
    <row r="454" spans="1:11" x14ac:dyDescent="0.25">
      <c r="A454" t="s">
        <v>27</v>
      </c>
      <c r="B454" t="s">
        <v>1546</v>
      </c>
      <c r="C454" t="s">
        <v>67</v>
      </c>
      <c r="D454">
        <v>160520</v>
      </c>
      <c r="E454" t="s">
        <v>31</v>
      </c>
      <c r="F454" t="s">
        <v>31</v>
      </c>
    </row>
    <row r="455" spans="1:11" x14ac:dyDescent="0.25">
      <c r="D455" t="s">
        <v>16</v>
      </c>
      <c r="E455">
        <v>2457517.7200600002</v>
      </c>
      <c r="F455" t="s">
        <v>1547</v>
      </c>
      <c r="G455">
        <v>9.9030000000000005</v>
      </c>
      <c r="H455">
        <v>1.2999999999999999E-2</v>
      </c>
      <c r="I455" t="s">
        <v>34</v>
      </c>
      <c r="J455" t="s">
        <v>72</v>
      </c>
      <c r="K455" t="s">
        <v>20</v>
      </c>
    </row>
    <row r="456" spans="1:11" x14ac:dyDescent="0.25">
      <c r="A456" t="s">
        <v>21</v>
      </c>
      <c r="B456" t="s">
        <v>22</v>
      </c>
      <c r="C456" t="s">
        <v>23</v>
      </c>
      <c r="D456" t="s">
        <v>24</v>
      </c>
      <c r="E456" t="s">
        <v>25</v>
      </c>
      <c r="F456" t="s">
        <v>26</v>
      </c>
    </row>
    <row r="457" spans="1:11" x14ac:dyDescent="0.25">
      <c r="A457" t="s">
        <v>27</v>
      </c>
      <c r="B457" t="s">
        <v>1548</v>
      </c>
      <c r="C457" t="s">
        <v>67</v>
      </c>
      <c r="D457">
        <v>160520</v>
      </c>
      <c r="E457" t="s">
        <v>31</v>
      </c>
      <c r="F457" t="s">
        <v>31</v>
      </c>
    </row>
    <row r="458" spans="1:11" x14ac:dyDescent="0.25">
      <c r="D458" t="s">
        <v>16</v>
      </c>
      <c r="E458">
        <v>2457517.72003</v>
      </c>
      <c r="F458" t="s">
        <v>1549</v>
      </c>
      <c r="G458">
        <v>9.1129999999999995</v>
      </c>
      <c r="H458">
        <v>1.7000000000000001E-2</v>
      </c>
      <c r="I458" t="s">
        <v>18</v>
      </c>
      <c r="J458" t="s">
        <v>72</v>
      </c>
      <c r="K458" t="s">
        <v>20</v>
      </c>
    </row>
    <row r="459" spans="1:11" x14ac:dyDescent="0.25">
      <c r="A459" t="s">
        <v>21</v>
      </c>
      <c r="B459" t="s">
        <v>22</v>
      </c>
      <c r="C459" t="s">
        <v>23</v>
      </c>
      <c r="D459" t="s">
        <v>24</v>
      </c>
      <c r="E459" t="s">
        <v>25</v>
      </c>
      <c r="F459" t="s">
        <v>26</v>
      </c>
    </row>
    <row r="460" spans="1:11" x14ac:dyDescent="0.25">
      <c r="A460" t="s">
        <v>27</v>
      </c>
      <c r="B460" t="s">
        <v>1550</v>
      </c>
      <c r="C460" t="s">
        <v>67</v>
      </c>
      <c r="D460">
        <v>160520</v>
      </c>
      <c r="E460" t="s">
        <v>31</v>
      </c>
      <c r="F460" t="s">
        <v>31</v>
      </c>
    </row>
    <row r="461" spans="1:11" x14ac:dyDescent="0.25">
      <c r="D461" t="s">
        <v>16</v>
      </c>
      <c r="E461">
        <v>2457517.6006999998</v>
      </c>
      <c r="F461" t="s">
        <v>1880</v>
      </c>
      <c r="G461">
        <v>9.1999999999999993</v>
      </c>
      <c r="H461" t="s">
        <v>31</v>
      </c>
      <c r="I461" t="s">
        <v>65</v>
      </c>
      <c r="J461" t="s">
        <v>963</v>
      </c>
      <c r="K461" t="s">
        <v>20</v>
      </c>
    </row>
    <row r="462" spans="1:11" x14ac:dyDescent="0.25">
      <c r="A462" t="s">
        <v>21</v>
      </c>
      <c r="B462" t="s">
        <v>22</v>
      </c>
      <c r="C462" t="s">
        <v>23</v>
      </c>
      <c r="D462" t="s">
        <v>24</v>
      </c>
      <c r="E462" t="s">
        <v>25</v>
      </c>
      <c r="F462" t="s">
        <v>26</v>
      </c>
    </row>
    <row r="463" spans="1:11" x14ac:dyDescent="0.25">
      <c r="A463" t="s">
        <v>373</v>
      </c>
      <c r="B463" t="s">
        <v>31</v>
      </c>
      <c r="C463" t="s">
        <v>67</v>
      </c>
      <c r="E463" t="s">
        <v>31</v>
      </c>
      <c r="F463" t="s">
        <v>31</v>
      </c>
    </row>
    <row r="464" spans="1:11" x14ac:dyDescent="0.25">
      <c r="D464" t="s">
        <v>16</v>
      </c>
      <c r="E464">
        <v>2457516.8830599999</v>
      </c>
      <c r="F464" t="s">
        <v>1551</v>
      </c>
      <c r="G464">
        <v>9.9109999999999996</v>
      </c>
      <c r="H464">
        <v>1.2E-2</v>
      </c>
      <c r="I464" t="s">
        <v>34</v>
      </c>
      <c r="J464" t="s">
        <v>72</v>
      </c>
      <c r="K464" t="s">
        <v>20</v>
      </c>
    </row>
    <row r="465" spans="1:11" x14ac:dyDescent="0.25">
      <c r="A465" t="s">
        <v>21</v>
      </c>
      <c r="B465" t="s">
        <v>22</v>
      </c>
      <c r="C465" t="s">
        <v>23</v>
      </c>
      <c r="D465" t="s">
        <v>24</v>
      </c>
      <c r="E465" t="s">
        <v>25</v>
      </c>
      <c r="F465" t="s">
        <v>26</v>
      </c>
    </row>
    <row r="466" spans="1:11" x14ac:dyDescent="0.25">
      <c r="A466" t="s">
        <v>27</v>
      </c>
      <c r="B466" t="s">
        <v>1552</v>
      </c>
      <c r="C466" t="s">
        <v>67</v>
      </c>
      <c r="D466">
        <v>160508</v>
      </c>
      <c r="E466" t="s">
        <v>31</v>
      </c>
      <c r="F466" t="s">
        <v>31</v>
      </c>
    </row>
    <row r="467" spans="1:11" x14ac:dyDescent="0.25">
      <c r="D467" t="s">
        <v>16</v>
      </c>
      <c r="E467">
        <v>2457515.7924000002</v>
      </c>
      <c r="F467" t="s">
        <v>1553</v>
      </c>
      <c r="G467">
        <v>9.9320000000000004</v>
      </c>
      <c r="H467">
        <v>1.2999999999999999E-2</v>
      </c>
      <c r="I467" t="s">
        <v>34</v>
      </c>
      <c r="J467" t="s">
        <v>72</v>
      </c>
      <c r="K467" t="s">
        <v>20</v>
      </c>
    </row>
    <row r="468" spans="1:11" x14ac:dyDescent="0.25">
      <c r="A468" t="s">
        <v>21</v>
      </c>
      <c r="B468" t="s">
        <v>22</v>
      </c>
      <c r="C468" t="s">
        <v>23</v>
      </c>
      <c r="D468" t="s">
        <v>24</v>
      </c>
      <c r="E468" t="s">
        <v>25</v>
      </c>
      <c r="F468" t="s">
        <v>26</v>
      </c>
    </row>
    <row r="469" spans="1:11" x14ac:dyDescent="0.25">
      <c r="A469" t="s">
        <v>27</v>
      </c>
      <c r="B469" t="s">
        <v>1554</v>
      </c>
      <c r="C469" t="s">
        <v>67</v>
      </c>
      <c r="D469">
        <v>160508</v>
      </c>
      <c r="E469" t="s">
        <v>31</v>
      </c>
      <c r="F469" t="s">
        <v>31</v>
      </c>
    </row>
    <row r="470" spans="1:11" x14ac:dyDescent="0.25">
      <c r="D470" t="s">
        <v>16</v>
      </c>
      <c r="E470">
        <v>2457515.79238</v>
      </c>
      <c r="F470" t="s">
        <v>1555</v>
      </c>
      <c r="G470">
        <v>9.1189999999999998</v>
      </c>
      <c r="H470">
        <v>7.0000000000000001E-3</v>
      </c>
      <c r="I470" t="s">
        <v>18</v>
      </c>
      <c r="J470" t="s">
        <v>72</v>
      </c>
      <c r="K470" t="s">
        <v>20</v>
      </c>
    </row>
    <row r="471" spans="1:11" x14ac:dyDescent="0.25">
      <c r="A471" t="s">
        <v>21</v>
      </c>
      <c r="B471" t="s">
        <v>22</v>
      </c>
      <c r="C471" t="s">
        <v>23</v>
      </c>
      <c r="D471" t="s">
        <v>24</v>
      </c>
      <c r="E471" t="s">
        <v>25</v>
      </c>
      <c r="F471" t="s">
        <v>26</v>
      </c>
    </row>
    <row r="472" spans="1:11" x14ac:dyDescent="0.25">
      <c r="A472" t="s">
        <v>27</v>
      </c>
      <c r="B472" t="s">
        <v>1556</v>
      </c>
      <c r="C472" t="s">
        <v>67</v>
      </c>
      <c r="D472">
        <v>160508</v>
      </c>
      <c r="E472" t="s">
        <v>31</v>
      </c>
      <c r="F472" t="s">
        <v>31</v>
      </c>
    </row>
    <row r="473" spans="1:11" x14ac:dyDescent="0.25">
      <c r="D473" t="s">
        <v>16</v>
      </c>
      <c r="E473">
        <v>2457514.7592600002</v>
      </c>
      <c r="F473" t="s">
        <v>1557</v>
      </c>
      <c r="G473">
        <v>9.9770000000000003</v>
      </c>
      <c r="H473">
        <v>1.4999999999999999E-2</v>
      </c>
      <c r="I473" t="s">
        <v>34</v>
      </c>
      <c r="J473" t="s">
        <v>72</v>
      </c>
      <c r="K473" t="s">
        <v>20</v>
      </c>
    </row>
    <row r="474" spans="1:11" x14ac:dyDescent="0.25">
      <c r="A474" t="s">
        <v>21</v>
      </c>
      <c r="B474" t="s">
        <v>22</v>
      </c>
      <c r="C474" t="s">
        <v>23</v>
      </c>
      <c r="D474" t="s">
        <v>24</v>
      </c>
      <c r="E474" t="s">
        <v>25</v>
      </c>
      <c r="F474" t="s">
        <v>26</v>
      </c>
    </row>
    <row r="475" spans="1:11" x14ac:dyDescent="0.25">
      <c r="A475" t="s">
        <v>27</v>
      </c>
      <c r="B475" t="s">
        <v>1558</v>
      </c>
      <c r="C475" t="s">
        <v>67</v>
      </c>
      <c r="D475">
        <v>160508</v>
      </c>
      <c r="E475" t="s">
        <v>31</v>
      </c>
      <c r="F475" t="s">
        <v>31</v>
      </c>
    </row>
    <row r="476" spans="1:11" x14ac:dyDescent="0.25">
      <c r="D476" t="s">
        <v>16</v>
      </c>
      <c r="E476">
        <v>2457514.75924</v>
      </c>
      <c r="F476" t="s">
        <v>1559</v>
      </c>
      <c r="G476">
        <v>9.1430000000000007</v>
      </c>
      <c r="H476">
        <v>2E-3</v>
      </c>
      <c r="I476" t="s">
        <v>18</v>
      </c>
      <c r="J476" t="s">
        <v>72</v>
      </c>
      <c r="K476" t="s">
        <v>20</v>
      </c>
    </row>
    <row r="477" spans="1:11" x14ac:dyDescent="0.25">
      <c r="A477" t="s">
        <v>21</v>
      </c>
      <c r="B477" t="s">
        <v>22</v>
      </c>
      <c r="C477" t="s">
        <v>23</v>
      </c>
      <c r="D477" t="s">
        <v>24</v>
      </c>
      <c r="E477" t="s">
        <v>25</v>
      </c>
      <c r="F477" t="s">
        <v>26</v>
      </c>
    </row>
    <row r="478" spans="1:11" x14ac:dyDescent="0.25">
      <c r="A478" t="s">
        <v>27</v>
      </c>
      <c r="B478" t="s">
        <v>1560</v>
      </c>
      <c r="C478" t="s">
        <v>67</v>
      </c>
      <c r="D478">
        <v>160508</v>
      </c>
      <c r="E478" t="s">
        <v>31</v>
      </c>
      <c r="F478" t="s">
        <v>31</v>
      </c>
    </row>
    <row r="479" spans="1:11" x14ac:dyDescent="0.25">
      <c r="D479" t="s">
        <v>16</v>
      </c>
      <c r="E479">
        <v>2457513.40478</v>
      </c>
      <c r="F479" t="s">
        <v>1561</v>
      </c>
      <c r="G479">
        <v>9.1980000000000004</v>
      </c>
      <c r="H479">
        <v>1.0999999999999999E-2</v>
      </c>
      <c r="I479" t="s">
        <v>18</v>
      </c>
      <c r="J479" t="s">
        <v>19</v>
      </c>
      <c r="K479" t="s">
        <v>20</v>
      </c>
    </row>
    <row r="480" spans="1:11" x14ac:dyDescent="0.25">
      <c r="A480" t="s">
        <v>21</v>
      </c>
      <c r="B480" t="s">
        <v>22</v>
      </c>
      <c r="C480" t="s">
        <v>23</v>
      </c>
      <c r="D480" t="s">
        <v>24</v>
      </c>
      <c r="E480" t="s">
        <v>25</v>
      </c>
      <c r="F480" t="s">
        <v>26</v>
      </c>
    </row>
    <row r="481" spans="1:11" x14ac:dyDescent="0.25">
      <c r="A481" t="s">
        <v>27</v>
      </c>
      <c r="B481" t="s">
        <v>1562</v>
      </c>
      <c r="C481" t="s">
        <v>29</v>
      </c>
      <c r="D481" t="s">
        <v>30</v>
      </c>
      <c r="E481" t="s">
        <v>31</v>
      </c>
      <c r="F481" t="s">
        <v>32</v>
      </c>
    </row>
    <row r="482" spans="1:11" x14ac:dyDescent="0.25">
      <c r="D482" t="s">
        <v>16</v>
      </c>
      <c r="E482">
        <v>2457513.4046700001</v>
      </c>
      <c r="F482" t="s">
        <v>1563</v>
      </c>
      <c r="G482">
        <v>10.013</v>
      </c>
      <c r="H482">
        <v>0.01</v>
      </c>
      <c r="I482" t="s">
        <v>34</v>
      </c>
      <c r="J482" t="s">
        <v>19</v>
      </c>
      <c r="K482" t="s">
        <v>20</v>
      </c>
    </row>
    <row r="483" spans="1:11" x14ac:dyDescent="0.25">
      <c r="A483" t="s">
        <v>21</v>
      </c>
      <c r="B483" t="s">
        <v>22</v>
      </c>
      <c r="C483" t="s">
        <v>23</v>
      </c>
      <c r="D483" t="s">
        <v>24</v>
      </c>
      <c r="E483" t="s">
        <v>25</v>
      </c>
      <c r="F483" t="s">
        <v>26</v>
      </c>
    </row>
    <row r="484" spans="1:11" x14ac:dyDescent="0.25">
      <c r="A484" t="s">
        <v>27</v>
      </c>
      <c r="B484" t="s">
        <v>1564</v>
      </c>
      <c r="C484" t="s">
        <v>29</v>
      </c>
      <c r="D484" t="s">
        <v>30</v>
      </c>
      <c r="E484" t="s">
        <v>31</v>
      </c>
      <c r="F484" t="s">
        <v>32</v>
      </c>
    </row>
    <row r="485" spans="1:11" x14ac:dyDescent="0.25">
      <c r="D485" t="s">
        <v>16</v>
      </c>
      <c r="E485">
        <v>2457511.7714999998</v>
      </c>
      <c r="F485" t="s">
        <v>1565</v>
      </c>
      <c r="G485">
        <v>10.298999999999999</v>
      </c>
      <c r="H485">
        <v>1.7000000000000001E-2</v>
      </c>
      <c r="I485" t="s">
        <v>34</v>
      </c>
      <c r="J485" t="s">
        <v>72</v>
      </c>
      <c r="K485" t="s">
        <v>20</v>
      </c>
    </row>
    <row r="486" spans="1:11" x14ac:dyDescent="0.25">
      <c r="A486" t="s">
        <v>21</v>
      </c>
      <c r="B486" t="s">
        <v>22</v>
      </c>
      <c r="C486" t="s">
        <v>23</v>
      </c>
      <c r="D486" t="s">
        <v>24</v>
      </c>
      <c r="E486" t="s">
        <v>25</v>
      </c>
      <c r="F486" t="s">
        <v>26</v>
      </c>
    </row>
    <row r="487" spans="1:11" x14ac:dyDescent="0.25">
      <c r="A487" t="s">
        <v>27</v>
      </c>
      <c r="B487" t="s">
        <v>1566</v>
      </c>
      <c r="C487" t="s">
        <v>67</v>
      </c>
      <c r="D487">
        <v>160508</v>
      </c>
      <c r="E487" t="s">
        <v>31</v>
      </c>
      <c r="F487" t="s">
        <v>31</v>
      </c>
    </row>
    <row r="488" spans="1:11" x14ac:dyDescent="0.25">
      <c r="D488" t="s">
        <v>16</v>
      </c>
      <c r="E488">
        <v>2457511.7714800001</v>
      </c>
      <c r="F488" t="s">
        <v>1567</v>
      </c>
      <c r="G488">
        <v>9.3450000000000006</v>
      </c>
      <c r="H488">
        <v>3.0000000000000001E-3</v>
      </c>
      <c r="I488" t="s">
        <v>18</v>
      </c>
      <c r="J488" t="s">
        <v>72</v>
      </c>
      <c r="K488" t="s">
        <v>20</v>
      </c>
    </row>
    <row r="489" spans="1:11" x14ac:dyDescent="0.25">
      <c r="A489" t="s">
        <v>21</v>
      </c>
      <c r="B489" t="s">
        <v>22</v>
      </c>
      <c r="C489" t="s">
        <v>23</v>
      </c>
      <c r="D489" t="s">
        <v>24</v>
      </c>
      <c r="E489" t="s">
        <v>25</v>
      </c>
      <c r="F489" t="s">
        <v>26</v>
      </c>
    </row>
    <row r="490" spans="1:11" x14ac:dyDescent="0.25">
      <c r="A490" t="s">
        <v>27</v>
      </c>
      <c r="B490" t="s">
        <v>1568</v>
      </c>
      <c r="C490" t="s">
        <v>67</v>
      </c>
      <c r="D490">
        <v>160508</v>
      </c>
      <c r="E490" t="s">
        <v>31</v>
      </c>
      <c r="F490" t="s">
        <v>31</v>
      </c>
    </row>
    <row r="491" spans="1:11" x14ac:dyDescent="0.25">
      <c r="D491" t="s">
        <v>16</v>
      </c>
      <c r="E491">
        <v>2457511.42466</v>
      </c>
      <c r="F491" t="s">
        <v>1569</v>
      </c>
      <c r="G491">
        <v>9.3780000000000001</v>
      </c>
      <c r="H491">
        <v>1.6E-2</v>
      </c>
      <c r="I491" t="s">
        <v>18</v>
      </c>
      <c r="J491" t="s">
        <v>19</v>
      </c>
      <c r="K491" t="s">
        <v>20</v>
      </c>
    </row>
    <row r="492" spans="1:11" x14ac:dyDescent="0.25">
      <c r="A492" t="s">
        <v>21</v>
      </c>
      <c r="B492" t="s">
        <v>22</v>
      </c>
      <c r="C492" t="s">
        <v>23</v>
      </c>
      <c r="D492" t="s">
        <v>24</v>
      </c>
      <c r="E492" t="s">
        <v>25</v>
      </c>
      <c r="F492" t="s">
        <v>26</v>
      </c>
    </row>
    <row r="493" spans="1:11" x14ac:dyDescent="0.25">
      <c r="A493" t="s">
        <v>27</v>
      </c>
      <c r="B493" t="s">
        <v>1570</v>
      </c>
      <c r="C493" t="s">
        <v>29</v>
      </c>
      <c r="D493" t="s">
        <v>30</v>
      </c>
      <c r="E493" t="s">
        <v>31</v>
      </c>
      <c r="F493" t="s">
        <v>32</v>
      </c>
    </row>
    <row r="494" spans="1:11" x14ac:dyDescent="0.25">
      <c r="D494" t="s">
        <v>16</v>
      </c>
      <c r="E494">
        <v>2457511.4245600002</v>
      </c>
      <c r="F494" t="s">
        <v>1571</v>
      </c>
      <c r="G494">
        <v>10.398999999999999</v>
      </c>
      <c r="H494">
        <v>1.4E-2</v>
      </c>
      <c r="I494" t="s">
        <v>34</v>
      </c>
      <c r="J494" t="s">
        <v>19</v>
      </c>
      <c r="K494" t="s">
        <v>20</v>
      </c>
    </row>
    <row r="495" spans="1:11" x14ac:dyDescent="0.25">
      <c r="A495" t="s">
        <v>21</v>
      </c>
      <c r="B495" t="s">
        <v>22</v>
      </c>
      <c r="C495" t="s">
        <v>23</v>
      </c>
      <c r="D495" t="s">
        <v>24</v>
      </c>
      <c r="E495" t="s">
        <v>25</v>
      </c>
      <c r="F495" t="s">
        <v>26</v>
      </c>
    </row>
    <row r="496" spans="1:11" x14ac:dyDescent="0.25">
      <c r="A496" t="s">
        <v>27</v>
      </c>
      <c r="B496" t="s">
        <v>1572</v>
      </c>
      <c r="C496" t="s">
        <v>29</v>
      </c>
      <c r="D496" t="s">
        <v>30</v>
      </c>
      <c r="E496" t="s">
        <v>31</v>
      </c>
      <c r="F496" t="s">
        <v>32</v>
      </c>
    </row>
    <row r="497" spans="1:11" x14ac:dyDescent="0.25">
      <c r="D497" t="s">
        <v>16</v>
      </c>
      <c r="E497">
        <v>2457510.7664399999</v>
      </c>
      <c r="F497" t="s">
        <v>1573</v>
      </c>
      <c r="G497">
        <v>10.321</v>
      </c>
      <c r="H497">
        <v>1.7000000000000001E-2</v>
      </c>
      <c r="I497" t="s">
        <v>34</v>
      </c>
      <c r="J497" t="s">
        <v>72</v>
      </c>
      <c r="K497" t="s">
        <v>20</v>
      </c>
    </row>
    <row r="498" spans="1:11" x14ac:dyDescent="0.25">
      <c r="A498" t="s">
        <v>21</v>
      </c>
      <c r="B498" t="s">
        <v>22</v>
      </c>
      <c r="C498" t="s">
        <v>23</v>
      </c>
      <c r="D498" t="s">
        <v>24</v>
      </c>
      <c r="E498" t="s">
        <v>25</v>
      </c>
      <c r="F498" t="s">
        <v>26</v>
      </c>
    </row>
    <row r="499" spans="1:11" x14ac:dyDescent="0.25">
      <c r="A499" t="s">
        <v>27</v>
      </c>
      <c r="B499" t="s">
        <v>77</v>
      </c>
      <c r="C499" t="s">
        <v>67</v>
      </c>
      <c r="D499">
        <v>160508</v>
      </c>
      <c r="E499" t="s">
        <v>31</v>
      </c>
      <c r="F499" t="s">
        <v>31</v>
      </c>
    </row>
    <row r="500" spans="1:11" x14ac:dyDescent="0.25">
      <c r="D500" t="s">
        <v>16</v>
      </c>
      <c r="E500">
        <v>2457510.7664100002</v>
      </c>
      <c r="F500" t="s">
        <v>1574</v>
      </c>
      <c r="G500">
        <v>9.3260000000000005</v>
      </c>
      <c r="H500">
        <v>2E-3</v>
      </c>
      <c r="I500" t="s">
        <v>18</v>
      </c>
      <c r="J500" t="s">
        <v>72</v>
      </c>
      <c r="K500" t="s">
        <v>20</v>
      </c>
    </row>
    <row r="501" spans="1:11" x14ac:dyDescent="0.25">
      <c r="A501" t="s">
        <v>21</v>
      </c>
      <c r="B501" t="s">
        <v>22</v>
      </c>
      <c r="C501" t="s">
        <v>23</v>
      </c>
      <c r="D501" t="s">
        <v>24</v>
      </c>
      <c r="E501" t="s">
        <v>25</v>
      </c>
      <c r="F501" t="s">
        <v>26</v>
      </c>
    </row>
    <row r="502" spans="1:11" x14ac:dyDescent="0.25">
      <c r="A502" t="s">
        <v>27</v>
      </c>
      <c r="B502" t="s">
        <v>1546</v>
      </c>
      <c r="C502" t="s">
        <v>67</v>
      </c>
      <c r="D502">
        <v>160508</v>
      </c>
      <c r="E502" t="s">
        <v>31</v>
      </c>
      <c r="F502" t="s">
        <v>31</v>
      </c>
    </row>
    <row r="503" spans="1:11" x14ac:dyDescent="0.25">
      <c r="D503" t="s">
        <v>16</v>
      </c>
      <c r="E503">
        <v>2457509.4103000001</v>
      </c>
      <c r="F503" t="s">
        <v>1575</v>
      </c>
      <c r="G503">
        <v>9.35</v>
      </c>
      <c r="H503">
        <v>1.4E-2</v>
      </c>
      <c r="I503" t="s">
        <v>18</v>
      </c>
      <c r="J503" t="s">
        <v>19</v>
      </c>
      <c r="K503" t="s">
        <v>20</v>
      </c>
    </row>
    <row r="504" spans="1:11" x14ac:dyDescent="0.25">
      <c r="A504" t="s">
        <v>21</v>
      </c>
      <c r="B504" t="s">
        <v>22</v>
      </c>
      <c r="C504" t="s">
        <v>23</v>
      </c>
      <c r="D504" t="s">
        <v>24</v>
      </c>
      <c r="E504" t="s">
        <v>25</v>
      </c>
      <c r="F504" t="s">
        <v>26</v>
      </c>
    </row>
    <row r="505" spans="1:11" x14ac:dyDescent="0.25">
      <c r="A505" t="s">
        <v>27</v>
      </c>
      <c r="B505" t="s">
        <v>37</v>
      </c>
      <c r="C505" t="s">
        <v>29</v>
      </c>
      <c r="D505" t="s">
        <v>30</v>
      </c>
      <c r="E505" t="s">
        <v>31</v>
      </c>
      <c r="F505" t="s">
        <v>1576</v>
      </c>
    </row>
    <row r="506" spans="1:11" x14ac:dyDescent="0.25">
      <c r="D506" t="s">
        <v>16</v>
      </c>
      <c r="E506">
        <v>2457509.4101800001</v>
      </c>
      <c r="F506" t="s">
        <v>1577</v>
      </c>
      <c r="G506">
        <v>10.391</v>
      </c>
      <c r="H506">
        <v>8.9999999999999993E-3</v>
      </c>
      <c r="I506" t="s">
        <v>34</v>
      </c>
      <c r="J506" t="s">
        <v>19</v>
      </c>
      <c r="K506" t="s">
        <v>20</v>
      </c>
    </row>
    <row r="507" spans="1:11" x14ac:dyDescent="0.25">
      <c r="A507" t="s">
        <v>21</v>
      </c>
      <c r="B507" t="s">
        <v>22</v>
      </c>
      <c r="C507" t="s">
        <v>23</v>
      </c>
      <c r="D507" t="s">
        <v>24</v>
      </c>
      <c r="E507" t="s">
        <v>25</v>
      </c>
      <c r="F507" t="s">
        <v>26</v>
      </c>
    </row>
    <row r="508" spans="1:11" x14ac:dyDescent="0.25">
      <c r="A508" t="s">
        <v>27</v>
      </c>
      <c r="B508" t="s">
        <v>1578</v>
      </c>
      <c r="C508" t="s">
        <v>29</v>
      </c>
      <c r="D508" t="s">
        <v>30</v>
      </c>
      <c r="E508" t="s">
        <v>31</v>
      </c>
      <c r="F508" t="s">
        <v>1576</v>
      </c>
    </row>
    <row r="509" spans="1:11" x14ac:dyDescent="0.25">
      <c r="D509" t="s">
        <v>16</v>
      </c>
      <c r="E509">
        <v>2457508.39959</v>
      </c>
      <c r="F509" t="s">
        <v>1579</v>
      </c>
      <c r="G509">
        <v>9.3849999999999998</v>
      </c>
      <c r="H509">
        <v>1.2999999999999999E-2</v>
      </c>
      <c r="I509" t="s">
        <v>18</v>
      </c>
      <c r="J509" t="s">
        <v>19</v>
      </c>
      <c r="K509" t="s">
        <v>20</v>
      </c>
    </row>
    <row r="510" spans="1:11" x14ac:dyDescent="0.25">
      <c r="A510" t="s">
        <v>21</v>
      </c>
      <c r="B510" t="s">
        <v>22</v>
      </c>
      <c r="C510" t="s">
        <v>23</v>
      </c>
      <c r="D510" t="s">
        <v>24</v>
      </c>
      <c r="E510" t="s">
        <v>25</v>
      </c>
      <c r="F510" t="s">
        <v>26</v>
      </c>
    </row>
    <row r="511" spans="1:11" x14ac:dyDescent="0.25">
      <c r="A511" t="s">
        <v>27</v>
      </c>
      <c r="B511" t="s">
        <v>1580</v>
      </c>
      <c r="C511" t="s">
        <v>29</v>
      </c>
      <c r="D511" t="s">
        <v>30</v>
      </c>
      <c r="E511" t="s">
        <v>31</v>
      </c>
      <c r="F511" t="s">
        <v>32</v>
      </c>
    </row>
    <row r="512" spans="1:11" x14ac:dyDescent="0.25">
      <c r="D512" t="s">
        <v>16</v>
      </c>
      <c r="E512">
        <v>2457508.3994700001</v>
      </c>
      <c r="F512" t="s">
        <v>1581</v>
      </c>
      <c r="G512">
        <v>10.433</v>
      </c>
      <c r="H512">
        <v>7.0000000000000001E-3</v>
      </c>
      <c r="I512" t="s">
        <v>34</v>
      </c>
      <c r="J512" t="s">
        <v>19</v>
      </c>
      <c r="K512" t="s">
        <v>20</v>
      </c>
    </row>
    <row r="513" spans="1:11" x14ac:dyDescent="0.25">
      <c r="A513" t="s">
        <v>21</v>
      </c>
      <c r="B513" t="s">
        <v>22</v>
      </c>
      <c r="C513" t="s">
        <v>23</v>
      </c>
      <c r="D513" t="s">
        <v>24</v>
      </c>
      <c r="E513" t="s">
        <v>25</v>
      </c>
      <c r="F513" t="s">
        <v>26</v>
      </c>
    </row>
    <row r="514" spans="1:11" x14ac:dyDescent="0.25">
      <c r="A514" t="s">
        <v>27</v>
      </c>
      <c r="B514" t="s">
        <v>88</v>
      </c>
      <c r="C514" t="s">
        <v>29</v>
      </c>
      <c r="D514" t="s">
        <v>30</v>
      </c>
      <c r="E514" t="s">
        <v>31</v>
      </c>
      <c r="F514" t="s">
        <v>32</v>
      </c>
    </row>
    <row r="515" spans="1:11" x14ac:dyDescent="0.25">
      <c r="D515" t="s">
        <v>16</v>
      </c>
      <c r="E515">
        <v>2457507.9142200002</v>
      </c>
      <c r="F515" t="s">
        <v>1582</v>
      </c>
      <c r="G515">
        <v>9.34</v>
      </c>
      <c r="H515">
        <v>1.4E-2</v>
      </c>
      <c r="I515" t="s">
        <v>18</v>
      </c>
      <c r="J515" t="s">
        <v>1583</v>
      </c>
      <c r="K515" t="s">
        <v>20</v>
      </c>
    </row>
    <row r="516" spans="1:11" x14ac:dyDescent="0.25">
      <c r="A516" t="s">
        <v>21</v>
      </c>
      <c r="B516" t="s">
        <v>22</v>
      </c>
      <c r="C516" t="s">
        <v>23</v>
      </c>
      <c r="D516" t="s">
        <v>24</v>
      </c>
      <c r="E516" t="s">
        <v>25</v>
      </c>
      <c r="F516" t="s">
        <v>26</v>
      </c>
    </row>
    <row r="517" spans="1:11" x14ac:dyDescent="0.25">
      <c r="A517" t="s">
        <v>1584</v>
      </c>
      <c r="B517" t="s">
        <v>1585</v>
      </c>
      <c r="C517" t="s">
        <v>29</v>
      </c>
      <c r="D517" t="s">
        <v>1586</v>
      </c>
      <c r="E517" t="s">
        <v>31</v>
      </c>
      <c r="F517" t="s">
        <v>1587</v>
      </c>
    </row>
    <row r="518" spans="1:11" x14ac:dyDescent="0.25">
      <c r="D518" t="s">
        <v>16</v>
      </c>
      <c r="E518">
        <v>2457507.9136199998</v>
      </c>
      <c r="F518" t="s">
        <v>1588</v>
      </c>
      <c r="G518">
        <v>9.3659999999999997</v>
      </c>
      <c r="H518">
        <v>4.0000000000000001E-3</v>
      </c>
      <c r="I518" t="s">
        <v>18</v>
      </c>
      <c r="J518" t="s">
        <v>1583</v>
      </c>
      <c r="K518" t="s">
        <v>20</v>
      </c>
    </row>
    <row r="519" spans="1:11" x14ac:dyDescent="0.25">
      <c r="A519" t="s">
        <v>21</v>
      </c>
      <c r="B519" t="s">
        <v>22</v>
      </c>
      <c r="C519" t="s">
        <v>23</v>
      </c>
      <c r="D519" t="s">
        <v>24</v>
      </c>
      <c r="E519" t="s">
        <v>25</v>
      </c>
      <c r="F519" t="s">
        <v>26</v>
      </c>
    </row>
    <row r="520" spans="1:11" x14ac:dyDescent="0.25">
      <c r="A520" t="s">
        <v>1589</v>
      </c>
      <c r="B520" t="s">
        <v>1590</v>
      </c>
      <c r="C520" t="s">
        <v>29</v>
      </c>
      <c r="D520" t="s">
        <v>1586</v>
      </c>
      <c r="E520" t="s">
        <v>31</v>
      </c>
      <c r="F520" t="s">
        <v>1591</v>
      </c>
    </row>
    <row r="521" spans="1:11" x14ac:dyDescent="0.25">
      <c r="D521" t="s">
        <v>16</v>
      </c>
      <c r="E521">
        <v>2457507.9130199999</v>
      </c>
      <c r="F521" t="s">
        <v>1592</v>
      </c>
      <c r="G521">
        <v>9.3620000000000001</v>
      </c>
      <c r="H521">
        <v>4.0000000000000001E-3</v>
      </c>
      <c r="I521" t="s">
        <v>18</v>
      </c>
      <c r="J521" t="s">
        <v>1583</v>
      </c>
      <c r="K521" t="s">
        <v>20</v>
      </c>
    </row>
    <row r="522" spans="1:11" x14ac:dyDescent="0.25">
      <c r="A522" t="s">
        <v>21</v>
      </c>
      <c r="B522" t="s">
        <v>22</v>
      </c>
      <c r="C522" t="s">
        <v>23</v>
      </c>
      <c r="D522" t="s">
        <v>24</v>
      </c>
      <c r="E522" t="s">
        <v>25</v>
      </c>
      <c r="F522" t="s">
        <v>26</v>
      </c>
    </row>
    <row r="523" spans="1:11" x14ac:dyDescent="0.25">
      <c r="A523" t="s">
        <v>1593</v>
      </c>
      <c r="B523" t="s">
        <v>1594</v>
      </c>
      <c r="C523" t="s">
        <v>29</v>
      </c>
      <c r="D523" t="s">
        <v>1586</v>
      </c>
      <c r="E523" t="s">
        <v>31</v>
      </c>
      <c r="F523" t="s">
        <v>1595</v>
      </c>
    </row>
    <row r="524" spans="1:11" x14ac:dyDescent="0.25">
      <c r="D524" t="s">
        <v>16</v>
      </c>
      <c r="E524">
        <v>2457507.9120399999</v>
      </c>
      <c r="F524" t="s">
        <v>1596</v>
      </c>
      <c r="G524">
        <v>7.9989999999999997</v>
      </c>
      <c r="H524">
        <v>5.0000000000000001E-3</v>
      </c>
      <c r="I524" t="s">
        <v>249</v>
      </c>
      <c r="J524" t="s">
        <v>1583</v>
      </c>
      <c r="K524" t="s">
        <v>20</v>
      </c>
    </row>
    <row r="525" spans="1:11" x14ac:dyDescent="0.25">
      <c r="A525" t="s">
        <v>21</v>
      </c>
      <c r="B525" t="s">
        <v>22</v>
      </c>
      <c r="C525" t="s">
        <v>23</v>
      </c>
      <c r="D525" t="s">
        <v>24</v>
      </c>
      <c r="E525" t="s">
        <v>25</v>
      </c>
      <c r="F525" t="s">
        <v>26</v>
      </c>
    </row>
    <row r="526" spans="1:11" x14ac:dyDescent="0.25">
      <c r="A526" t="s">
        <v>1597</v>
      </c>
      <c r="B526" t="s">
        <v>1598</v>
      </c>
      <c r="C526" t="s">
        <v>29</v>
      </c>
      <c r="D526" t="s">
        <v>1586</v>
      </c>
      <c r="E526" t="s">
        <v>31</v>
      </c>
      <c r="F526" t="s">
        <v>1599</v>
      </c>
    </row>
    <row r="527" spans="1:11" x14ac:dyDescent="0.25">
      <c r="D527" t="s">
        <v>16</v>
      </c>
      <c r="E527">
        <v>2457507.9114399999</v>
      </c>
      <c r="F527" t="s">
        <v>1600</v>
      </c>
      <c r="G527">
        <v>8.0009999999999994</v>
      </c>
      <c r="H527">
        <v>5.0000000000000001E-3</v>
      </c>
      <c r="I527" t="s">
        <v>249</v>
      </c>
      <c r="J527" t="s">
        <v>1583</v>
      </c>
      <c r="K527" t="s">
        <v>20</v>
      </c>
    </row>
    <row r="528" spans="1:11" x14ac:dyDescent="0.25">
      <c r="A528" t="s">
        <v>21</v>
      </c>
      <c r="B528" t="s">
        <v>22</v>
      </c>
      <c r="C528" t="s">
        <v>23</v>
      </c>
      <c r="D528" t="s">
        <v>24</v>
      </c>
      <c r="E528" t="s">
        <v>25</v>
      </c>
      <c r="F528" t="s">
        <v>26</v>
      </c>
    </row>
    <row r="529" spans="1:11" x14ac:dyDescent="0.25">
      <c r="A529" t="s">
        <v>1601</v>
      </c>
      <c r="B529" t="s">
        <v>1602</v>
      </c>
      <c r="C529" t="s">
        <v>29</v>
      </c>
      <c r="D529" t="s">
        <v>1586</v>
      </c>
      <c r="E529" t="s">
        <v>31</v>
      </c>
      <c r="F529" t="s">
        <v>1603</v>
      </c>
    </row>
    <row r="530" spans="1:11" x14ac:dyDescent="0.25">
      <c r="D530" t="s">
        <v>16</v>
      </c>
      <c r="E530">
        <v>2457507.9108299999</v>
      </c>
      <c r="F530" t="s">
        <v>1604</v>
      </c>
      <c r="G530">
        <v>7.9859999999999998</v>
      </c>
      <c r="H530">
        <v>5.0000000000000001E-3</v>
      </c>
      <c r="I530" t="s">
        <v>249</v>
      </c>
      <c r="J530" t="s">
        <v>1583</v>
      </c>
      <c r="K530" t="s">
        <v>20</v>
      </c>
    </row>
    <row r="531" spans="1:11" x14ac:dyDescent="0.25">
      <c r="A531" t="s">
        <v>21</v>
      </c>
      <c r="B531" t="s">
        <v>22</v>
      </c>
      <c r="C531" t="s">
        <v>23</v>
      </c>
      <c r="D531" t="s">
        <v>24</v>
      </c>
      <c r="E531" t="s">
        <v>25</v>
      </c>
      <c r="F531" t="s">
        <v>26</v>
      </c>
    </row>
    <row r="532" spans="1:11" x14ac:dyDescent="0.25">
      <c r="A532" t="s">
        <v>1605</v>
      </c>
      <c r="B532" t="s">
        <v>1606</v>
      </c>
      <c r="C532" t="s">
        <v>29</v>
      </c>
      <c r="D532" t="s">
        <v>1586</v>
      </c>
      <c r="E532" t="s">
        <v>31</v>
      </c>
      <c r="F532" t="s">
        <v>1607</v>
      </c>
    </row>
    <row r="533" spans="1:11" x14ac:dyDescent="0.25">
      <c r="D533" t="s">
        <v>16</v>
      </c>
      <c r="E533">
        <v>2457507.9077400002</v>
      </c>
      <c r="F533" t="s">
        <v>1608</v>
      </c>
      <c r="G533">
        <v>10.388999999999999</v>
      </c>
      <c r="H533">
        <v>1.2999999999999999E-2</v>
      </c>
      <c r="I533" t="s">
        <v>34</v>
      </c>
      <c r="J533" t="s">
        <v>1583</v>
      </c>
      <c r="K533" t="s">
        <v>20</v>
      </c>
    </row>
    <row r="534" spans="1:11" x14ac:dyDescent="0.25">
      <c r="A534" t="s">
        <v>21</v>
      </c>
      <c r="B534" t="s">
        <v>22</v>
      </c>
      <c r="C534" t="s">
        <v>23</v>
      </c>
      <c r="D534" t="s">
        <v>24</v>
      </c>
      <c r="E534" t="s">
        <v>25</v>
      </c>
      <c r="F534" t="s">
        <v>26</v>
      </c>
    </row>
    <row r="535" spans="1:11" x14ac:dyDescent="0.25">
      <c r="A535" t="s">
        <v>1609</v>
      </c>
      <c r="B535" t="s">
        <v>1610</v>
      </c>
      <c r="C535" t="s">
        <v>29</v>
      </c>
      <c r="D535" t="s">
        <v>1586</v>
      </c>
      <c r="E535" t="s">
        <v>31</v>
      </c>
      <c r="F535" t="s">
        <v>1611</v>
      </c>
    </row>
    <row r="536" spans="1:11" x14ac:dyDescent="0.25">
      <c r="D536" t="s">
        <v>16</v>
      </c>
      <c r="E536">
        <v>2457507.9071599999</v>
      </c>
      <c r="F536" t="s">
        <v>1612</v>
      </c>
      <c r="G536">
        <v>10.420999999999999</v>
      </c>
      <c r="H536">
        <v>6.0000000000000001E-3</v>
      </c>
      <c r="I536" t="s">
        <v>34</v>
      </c>
      <c r="J536" t="s">
        <v>1583</v>
      </c>
      <c r="K536" t="s">
        <v>20</v>
      </c>
    </row>
    <row r="537" spans="1:11" x14ac:dyDescent="0.25">
      <c r="A537" t="s">
        <v>21</v>
      </c>
      <c r="B537" t="s">
        <v>22</v>
      </c>
      <c r="C537" t="s">
        <v>23</v>
      </c>
      <c r="D537" t="s">
        <v>24</v>
      </c>
      <c r="E537" t="s">
        <v>25</v>
      </c>
      <c r="F537" t="s">
        <v>26</v>
      </c>
    </row>
    <row r="538" spans="1:11" x14ac:dyDescent="0.25">
      <c r="A538" t="s">
        <v>1613</v>
      </c>
      <c r="B538" t="s">
        <v>1614</v>
      </c>
      <c r="C538" t="s">
        <v>29</v>
      </c>
      <c r="D538" t="s">
        <v>1586</v>
      </c>
      <c r="E538" t="s">
        <v>31</v>
      </c>
      <c r="F538" t="s">
        <v>1615</v>
      </c>
    </row>
    <row r="539" spans="1:11" x14ac:dyDescent="0.25">
      <c r="D539" t="s">
        <v>16</v>
      </c>
      <c r="E539">
        <v>2457507.90656</v>
      </c>
      <c r="F539" t="s">
        <v>1616</v>
      </c>
      <c r="G539">
        <v>10.427</v>
      </c>
      <c r="H539">
        <v>6.0000000000000001E-3</v>
      </c>
      <c r="I539" t="s">
        <v>34</v>
      </c>
      <c r="J539" t="s">
        <v>1583</v>
      </c>
      <c r="K539" t="s">
        <v>20</v>
      </c>
    </row>
    <row r="540" spans="1:11" x14ac:dyDescent="0.25">
      <c r="A540" t="s">
        <v>21</v>
      </c>
      <c r="B540" t="s">
        <v>22</v>
      </c>
      <c r="C540" t="s">
        <v>23</v>
      </c>
      <c r="D540" t="s">
        <v>24</v>
      </c>
      <c r="E540" t="s">
        <v>25</v>
      </c>
      <c r="F540" t="s">
        <v>26</v>
      </c>
    </row>
    <row r="541" spans="1:11" x14ac:dyDescent="0.25">
      <c r="A541" t="s">
        <v>1617</v>
      </c>
      <c r="B541" t="s">
        <v>1618</v>
      </c>
      <c r="C541" t="s">
        <v>29</v>
      </c>
      <c r="D541" t="s">
        <v>1586</v>
      </c>
      <c r="E541" t="s">
        <v>31</v>
      </c>
      <c r="F541" t="s">
        <v>1619</v>
      </c>
    </row>
    <row r="542" spans="1:11" x14ac:dyDescent="0.25">
      <c r="D542" t="s">
        <v>16</v>
      </c>
      <c r="E542">
        <v>2457507.9056899999</v>
      </c>
      <c r="F542" t="s">
        <v>1620</v>
      </c>
      <c r="G542">
        <v>9.36</v>
      </c>
      <c r="H542">
        <v>3.0000000000000001E-3</v>
      </c>
      <c r="I542" t="s">
        <v>18</v>
      </c>
      <c r="J542" t="s">
        <v>1583</v>
      </c>
      <c r="K542" t="s">
        <v>20</v>
      </c>
    </row>
    <row r="543" spans="1:11" x14ac:dyDescent="0.25">
      <c r="A543" t="s">
        <v>21</v>
      </c>
      <c r="B543" t="s">
        <v>22</v>
      </c>
      <c r="C543" t="s">
        <v>23</v>
      </c>
      <c r="D543" t="s">
        <v>24</v>
      </c>
      <c r="E543" t="s">
        <v>25</v>
      </c>
      <c r="F543" t="s">
        <v>26</v>
      </c>
    </row>
    <row r="544" spans="1:11" x14ac:dyDescent="0.25">
      <c r="A544" t="s">
        <v>1621</v>
      </c>
      <c r="B544" t="s">
        <v>1622</v>
      </c>
      <c r="C544" t="s">
        <v>29</v>
      </c>
      <c r="D544" t="s">
        <v>1586</v>
      </c>
      <c r="E544" t="s">
        <v>31</v>
      </c>
      <c r="F544" t="s">
        <v>1623</v>
      </c>
    </row>
    <row r="545" spans="1:11" x14ac:dyDescent="0.25">
      <c r="D545" t="s">
        <v>16</v>
      </c>
      <c r="E545">
        <v>2457507.90509</v>
      </c>
      <c r="F545" t="s">
        <v>1624</v>
      </c>
      <c r="G545">
        <v>9.375</v>
      </c>
      <c r="H545">
        <v>3.0000000000000001E-3</v>
      </c>
      <c r="I545" t="s">
        <v>18</v>
      </c>
      <c r="J545" t="s">
        <v>1583</v>
      </c>
      <c r="K545" t="s">
        <v>20</v>
      </c>
    </row>
    <row r="546" spans="1:11" x14ac:dyDescent="0.25">
      <c r="A546" t="s">
        <v>21</v>
      </c>
      <c r="B546" t="s">
        <v>22</v>
      </c>
      <c r="C546" t="s">
        <v>23</v>
      </c>
      <c r="D546" t="s">
        <v>24</v>
      </c>
      <c r="E546" t="s">
        <v>25</v>
      </c>
      <c r="F546" t="s">
        <v>26</v>
      </c>
    </row>
    <row r="547" spans="1:11" x14ac:dyDescent="0.25">
      <c r="A547" t="s">
        <v>1625</v>
      </c>
      <c r="B547" t="s">
        <v>1626</v>
      </c>
      <c r="C547" t="s">
        <v>29</v>
      </c>
      <c r="D547" t="s">
        <v>1586</v>
      </c>
      <c r="E547" t="s">
        <v>31</v>
      </c>
      <c r="F547" t="s">
        <v>1627</v>
      </c>
    </row>
    <row r="548" spans="1:11" x14ac:dyDescent="0.25">
      <c r="D548" t="s">
        <v>16</v>
      </c>
      <c r="E548">
        <v>2457507.90448</v>
      </c>
      <c r="F548" t="s">
        <v>1628</v>
      </c>
      <c r="G548">
        <v>9.3789999999999996</v>
      </c>
      <c r="H548">
        <v>3.0000000000000001E-3</v>
      </c>
      <c r="I548" t="s">
        <v>18</v>
      </c>
      <c r="J548" t="s">
        <v>1583</v>
      </c>
      <c r="K548" t="s">
        <v>20</v>
      </c>
    </row>
    <row r="549" spans="1:11" x14ac:dyDescent="0.25">
      <c r="A549" t="s">
        <v>21</v>
      </c>
      <c r="B549" t="s">
        <v>22</v>
      </c>
      <c r="C549" t="s">
        <v>23</v>
      </c>
      <c r="D549" t="s">
        <v>24</v>
      </c>
      <c r="E549" t="s">
        <v>25</v>
      </c>
      <c r="F549" t="s">
        <v>26</v>
      </c>
    </row>
    <row r="550" spans="1:11" x14ac:dyDescent="0.25">
      <c r="A550" t="s">
        <v>1629</v>
      </c>
      <c r="B550" t="s">
        <v>1630</v>
      </c>
      <c r="C550" t="s">
        <v>29</v>
      </c>
      <c r="D550" t="s">
        <v>1586</v>
      </c>
      <c r="E550" t="s">
        <v>31</v>
      </c>
      <c r="F550" t="s">
        <v>1631</v>
      </c>
    </row>
    <row r="551" spans="1:11" x14ac:dyDescent="0.25">
      <c r="D551" t="s">
        <v>16</v>
      </c>
      <c r="E551">
        <v>2457507.5109999999</v>
      </c>
      <c r="F551" t="s">
        <v>1632</v>
      </c>
      <c r="G551">
        <v>9.34</v>
      </c>
      <c r="H551">
        <v>0.05</v>
      </c>
      <c r="I551" t="s">
        <v>65</v>
      </c>
      <c r="J551" t="s">
        <v>66</v>
      </c>
      <c r="K551" t="s">
        <v>20</v>
      </c>
    </row>
    <row r="552" spans="1:11" x14ac:dyDescent="0.25">
      <c r="A552" t="s">
        <v>21</v>
      </c>
      <c r="B552" t="s">
        <v>22</v>
      </c>
      <c r="C552" t="s">
        <v>23</v>
      </c>
      <c r="D552" t="s">
        <v>24</v>
      </c>
      <c r="E552" t="s">
        <v>25</v>
      </c>
      <c r="F552" t="s">
        <v>26</v>
      </c>
    </row>
    <row r="553" spans="1:11" x14ac:dyDescent="0.25">
      <c r="A553" t="s">
        <v>27</v>
      </c>
      <c r="B553" t="s">
        <v>31</v>
      </c>
      <c r="C553" t="s">
        <v>67</v>
      </c>
      <c r="D553" t="s">
        <v>68</v>
      </c>
      <c r="E553" t="s">
        <v>31</v>
      </c>
      <c r="F553" t="s">
        <v>69</v>
      </c>
    </row>
    <row r="554" spans="1:11" x14ac:dyDescent="0.25">
      <c r="D554" t="s">
        <v>16</v>
      </c>
      <c r="E554">
        <v>2457506.9591600001</v>
      </c>
      <c r="F554" t="s">
        <v>1633</v>
      </c>
      <c r="G554">
        <v>7.9930000000000003</v>
      </c>
      <c r="H554">
        <v>5.0000000000000001E-3</v>
      </c>
      <c r="I554" t="s">
        <v>249</v>
      </c>
      <c r="J554" t="s">
        <v>1583</v>
      </c>
      <c r="K554" t="s">
        <v>20</v>
      </c>
    </row>
    <row r="555" spans="1:11" x14ac:dyDescent="0.25">
      <c r="A555" t="s">
        <v>21</v>
      </c>
      <c r="B555" t="s">
        <v>22</v>
      </c>
      <c r="C555" t="s">
        <v>23</v>
      </c>
      <c r="D555" t="s">
        <v>24</v>
      </c>
      <c r="E555" t="s">
        <v>25</v>
      </c>
      <c r="F555" t="s">
        <v>26</v>
      </c>
    </row>
    <row r="556" spans="1:11" x14ac:dyDescent="0.25">
      <c r="A556" t="s">
        <v>1634</v>
      </c>
      <c r="B556" t="s">
        <v>1635</v>
      </c>
      <c r="C556" t="s">
        <v>29</v>
      </c>
      <c r="D556" t="s">
        <v>1586</v>
      </c>
      <c r="E556" t="s">
        <v>31</v>
      </c>
      <c r="F556" t="s">
        <v>1636</v>
      </c>
    </row>
    <row r="557" spans="1:11" x14ac:dyDescent="0.25">
      <c r="D557" t="s">
        <v>16</v>
      </c>
      <c r="E557">
        <v>2457506.9585799999</v>
      </c>
      <c r="F557" t="s">
        <v>1637</v>
      </c>
      <c r="G557">
        <v>7.9939999999999998</v>
      </c>
      <c r="H557">
        <v>5.0000000000000001E-3</v>
      </c>
      <c r="I557" t="s">
        <v>249</v>
      </c>
      <c r="J557" t="s">
        <v>1583</v>
      </c>
      <c r="K557" t="s">
        <v>20</v>
      </c>
    </row>
    <row r="558" spans="1:11" x14ac:dyDescent="0.25">
      <c r="A558" t="s">
        <v>21</v>
      </c>
      <c r="B558" t="s">
        <v>22</v>
      </c>
      <c r="C558" t="s">
        <v>23</v>
      </c>
      <c r="D558" t="s">
        <v>24</v>
      </c>
      <c r="E558" t="s">
        <v>25</v>
      </c>
      <c r="F558" t="s">
        <v>26</v>
      </c>
    </row>
    <row r="559" spans="1:11" x14ac:dyDescent="0.25">
      <c r="A559" t="s">
        <v>1638</v>
      </c>
      <c r="B559" t="s">
        <v>1639</v>
      </c>
      <c r="C559" t="s">
        <v>29</v>
      </c>
      <c r="D559" t="s">
        <v>1586</v>
      </c>
      <c r="E559" t="s">
        <v>31</v>
      </c>
      <c r="F559" t="s">
        <v>1640</v>
      </c>
    </row>
    <row r="560" spans="1:11" x14ac:dyDescent="0.25">
      <c r="D560" t="s">
        <v>16</v>
      </c>
      <c r="E560">
        <v>2457506.9580000001</v>
      </c>
      <c r="F560" t="s">
        <v>1641</v>
      </c>
      <c r="G560">
        <v>7.976</v>
      </c>
      <c r="H560">
        <v>5.0000000000000001E-3</v>
      </c>
      <c r="I560" t="s">
        <v>249</v>
      </c>
      <c r="J560" t="s">
        <v>1583</v>
      </c>
      <c r="K560" t="s">
        <v>20</v>
      </c>
    </row>
    <row r="561" spans="1:11" x14ac:dyDescent="0.25">
      <c r="A561" t="s">
        <v>21</v>
      </c>
      <c r="B561" t="s">
        <v>22</v>
      </c>
      <c r="C561" t="s">
        <v>23</v>
      </c>
      <c r="D561" t="s">
        <v>24</v>
      </c>
      <c r="E561" t="s">
        <v>25</v>
      </c>
      <c r="F561" t="s">
        <v>26</v>
      </c>
    </row>
    <row r="562" spans="1:11" x14ac:dyDescent="0.25">
      <c r="A562" t="s">
        <v>1642</v>
      </c>
      <c r="B562" t="s">
        <v>1643</v>
      </c>
      <c r="C562" t="s">
        <v>29</v>
      </c>
      <c r="D562" t="s">
        <v>1586</v>
      </c>
      <c r="E562" t="s">
        <v>31</v>
      </c>
      <c r="F562" t="s">
        <v>1644</v>
      </c>
    </row>
    <row r="563" spans="1:11" x14ac:dyDescent="0.25">
      <c r="D563" t="s">
        <v>16</v>
      </c>
      <c r="E563">
        <v>2457506.9569600001</v>
      </c>
      <c r="F563" t="s">
        <v>1645</v>
      </c>
      <c r="G563">
        <v>8.4649999999999999</v>
      </c>
      <c r="H563">
        <v>5.0000000000000001E-3</v>
      </c>
      <c r="I563" t="s">
        <v>250</v>
      </c>
      <c r="J563" t="s">
        <v>1583</v>
      </c>
      <c r="K563" t="s">
        <v>20</v>
      </c>
    </row>
    <row r="564" spans="1:11" x14ac:dyDescent="0.25">
      <c r="A564" t="s">
        <v>21</v>
      </c>
      <c r="B564" t="s">
        <v>22</v>
      </c>
      <c r="C564" t="s">
        <v>23</v>
      </c>
      <c r="D564" t="s">
        <v>24</v>
      </c>
      <c r="E564" t="s">
        <v>25</v>
      </c>
      <c r="F564" t="s">
        <v>26</v>
      </c>
    </row>
    <row r="565" spans="1:11" x14ac:dyDescent="0.25">
      <c r="A565" t="s">
        <v>1646</v>
      </c>
      <c r="B565" t="s">
        <v>1647</v>
      </c>
      <c r="C565" t="s">
        <v>29</v>
      </c>
      <c r="D565" t="s">
        <v>1586</v>
      </c>
      <c r="E565" t="s">
        <v>31</v>
      </c>
      <c r="F565" t="s">
        <v>1648</v>
      </c>
    </row>
    <row r="566" spans="1:11" x14ac:dyDescent="0.25">
      <c r="D566" t="s">
        <v>16</v>
      </c>
      <c r="E566">
        <v>2457506.9569600001</v>
      </c>
      <c r="F566" t="s">
        <v>1645</v>
      </c>
      <c r="G566">
        <v>8.4659999999999993</v>
      </c>
      <c r="H566">
        <v>5.0000000000000001E-3</v>
      </c>
      <c r="I566" t="s">
        <v>250</v>
      </c>
      <c r="J566" t="s">
        <v>1583</v>
      </c>
      <c r="K566" t="s">
        <v>20</v>
      </c>
    </row>
    <row r="567" spans="1:11" x14ac:dyDescent="0.25">
      <c r="A567" t="s">
        <v>21</v>
      </c>
      <c r="B567" t="s">
        <v>22</v>
      </c>
      <c r="C567" t="s">
        <v>23</v>
      </c>
      <c r="D567" t="s">
        <v>24</v>
      </c>
      <c r="E567" t="s">
        <v>25</v>
      </c>
      <c r="F567" t="s">
        <v>26</v>
      </c>
    </row>
    <row r="568" spans="1:11" x14ac:dyDescent="0.25">
      <c r="A568" t="s">
        <v>1646</v>
      </c>
      <c r="B568" t="s">
        <v>1647</v>
      </c>
      <c r="C568" t="s">
        <v>29</v>
      </c>
      <c r="D568" t="s">
        <v>1586</v>
      </c>
      <c r="E568" t="s">
        <v>31</v>
      </c>
      <c r="F568" t="s">
        <v>1648</v>
      </c>
    </row>
    <row r="569" spans="1:11" x14ac:dyDescent="0.25">
      <c r="D569" t="s">
        <v>16</v>
      </c>
      <c r="E569">
        <v>2457506.9563799999</v>
      </c>
      <c r="F569" t="s">
        <v>1649</v>
      </c>
      <c r="G569">
        <v>8.4749999999999996</v>
      </c>
      <c r="H569">
        <v>5.0000000000000001E-3</v>
      </c>
      <c r="I569" t="s">
        <v>250</v>
      </c>
      <c r="J569" t="s">
        <v>1583</v>
      </c>
      <c r="K569" t="s">
        <v>20</v>
      </c>
    </row>
    <row r="570" spans="1:11" x14ac:dyDescent="0.25">
      <c r="A570" t="s">
        <v>21</v>
      </c>
      <c r="B570" t="s">
        <v>22</v>
      </c>
      <c r="C570" t="s">
        <v>23</v>
      </c>
      <c r="D570" t="s">
        <v>24</v>
      </c>
      <c r="E570" t="s">
        <v>25</v>
      </c>
      <c r="F570" t="s">
        <v>26</v>
      </c>
    </row>
    <row r="571" spans="1:11" x14ac:dyDescent="0.25">
      <c r="A571" t="s">
        <v>1650</v>
      </c>
      <c r="B571" t="s">
        <v>1651</v>
      </c>
      <c r="C571" t="s">
        <v>29</v>
      </c>
      <c r="D571" t="s">
        <v>1586</v>
      </c>
      <c r="E571" t="s">
        <v>31</v>
      </c>
      <c r="F571" t="s">
        <v>1652</v>
      </c>
    </row>
    <row r="572" spans="1:11" x14ac:dyDescent="0.25">
      <c r="D572" t="s">
        <v>16</v>
      </c>
      <c r="E572">
        <v>2457506.9558000001</v>
      </c>
      <c r="F572" t="s">
        <v>1653</v>
      </c>
      <c r="G572">
        <v>8.4610000000000003</v>
      </c>
      <c r="H572">
        <v>5.0000000000000001E-3</v>
      </c>
      <c r="I572" t="s">
        <v>250</v>
      </c>
      <c r="J572" t="s">
        <v>1583</v>
      </c>
      <c r="K572" t="s">
        <v>20</v>
      </c>
    </row>
    <row r="573" spans="1:11" x14ac:dyDescent="0.25">
      <c r="A573" t="s">
        <v>21</v>
      </c>
      <c r="B573" t="s">
        <v>22</v>
      </c>
      <c r="C573" t="s">
        <v>23</v>
      </c>
      <c r="D573" t="s">
        <v>24</v>
      </c>
      <c r="E573" t="s">
        <v>25</v>
      </c>
      <c r="F573" t="s">
        <v>26</v>
      </c>
    </row>
    <row r="574" spans="1:11" x14ac:dyDescent="0.25">
      <c r="A574" t="s">
        <v>1654</v>
      </c>
      <c r="B574" t="s">
        <v>1655</v>
      </c>
      <c r="C574" t="s">
        <v>29</v>
      </c>
      <c r="D574" t="s">
        <v>1586</v>
      </c>
      <c r="E574" t="s">
        <v>31</v>
      </c>
      <c r="F574" t="s">
        <v>1656</v>
      </c>
    </row>
    <row r="575" spans="1:11" x14ac:dyDescent="0.25">
      <c r="D575" t="s">
        <v>16</v>
      </c>
      <c r="E575">
        <v>2457506.9547600001</v>
      </c>
      <c r="F575" t="s">
        <v>1657</v>
      </c>
      <c r="G575">
        <v>10.385</v>
      </c>
      <c r="H575">
        <v>5.0000000000000001E-3</v>
      </c>
      <c r="I575" t="s">
        <v>34</v>
      </c>
      <c r="J575" t="s">
        <v>1583</v>
      </c>
      <c r="K575" t="s">
        <v>20</v>
      </c>
    </row>
    <row r="576" spans="1:11" x14ac:dyDescent="0.25">
      <c r="A576" t="s">
        <v>21</v>
      </c>
      <c r="B576" t="s">
        <v>22</v>
      </c>
      <c r="C576" t="s">
        <v>23</v>
      </c>
      <c r="D576" t="s">
        <v>24</v>
      </c>
      <c r="E576" t="s">
        <v>25</v>
      </c>
      <c r="F576" t="s">
        <v>26</v>
      </c>
    </row>
    <row r="577" spans="1:11" x14ac:dyDescent="0.25">
      <c r="A577" t="s">
        <v>1658</v>
      </c>
      <c r="B577" t="s">
        <v>1659</v>
      </c>
      <c r="C577" t="s">
        <v>29</v>
      </c>
      <c r="D577" t="s">
        <v>1586</v>
      </c>
      <c r="E577" t="s">
        <v>31</v>
      </c>
      <c r="F577" t="s">
        <v>1660</v>
      </c>
    </row>
    <row r="578" spans="1:11" x14ac:dyDescent="0.25">
      <c r="D578" t="s">
        <v>16</v>
      </c>
      <c r="E578">
        <v>2457506.9541600002</v>
      </c>
      <c r="F578" t="s">
        <v>1661</v>
      </c>
      <c r="G578">
        <v>10.385999999999999</v>
      </c>
      <c r="H578">
        <v>5.0000000000000001E-3</v>
      </c>
      <c r="I578" t="s">
        <v>34</v>
      </c>
      <c r="J578" t="s">
        <v>1583</v>
      </c>
      <c r="K578" t="s">
        <v>20</v>
      </c>
    </row>
    <row r="579" spans="1:11" x14ac:dyDescent="0.25">
      <c r="A579" t="s">
        <v>21</v>
      </c>
      <c r="B579" t="s">
        <v>22</v>
      </c>
      <c r="C579" t="s">
        <v>23</v>
      </c>
      <c r="D579" t="s">
        <v>24</v>
      </c>
      <c r="E579" t="s">
        <v>25</v>
      </c>
      <c r="F579" t="s">
        <v>26</v>
      </c>
    </row>
    <row r="580" spans="1:11" x14ac:dyDescent="0.25">
      <c r="A580" t="s">
        <v>1662</v>
      </c>
      <c r="B580" t="s">
        <v>1663</v>
      </c>
      <c r="C580" t="s">
        <v>29</v>
      </c>
      <c r="D580" t="s">
        <v>1586</v>
      </c>
      <c r="E580" t="s">
        <v>31</v>
      </c>
      <c r="F580" t="s">
        <v>1664</v>
      </c>
    </row>
    <row r="581" spans="1:11" x14ac:dyDescent="0.25">
      <c r="D581" t="s">
        <v>16</v>
      </c>
      <c r="E581">
        <v>2457506.9535500002</v>
      </c>
      <c r="F581" t="s">
        <v>1665</v>
      </c>
      <c r="G581">
        <v>10.375999999999999</v>
      </c>
      <c r="H581">
        <v>5.0000000000000001E-3</v>
      </c>
      <c r="I581" t="s">
        <v>34</v>
      </c>
      <c r="J581" t="s">
        <v>1583</v>
      </c>
      <c r="K581" t="s">
        <v>20</v>
      </c>
    </row>
    <row r="582" spans="1:11" x14ac:dyDescent="0.25">
      <c r="A582" t="s">
        <v>21</v>
      </c>
      <c r="B582" t="s">
        <v>22</v>
      </c>
      <c r="C582" t="s">
        <v>23</v>
      </c>
      <c r="D582" t="s">
        <v>24</v>
      </c>
      <c r="E582" t="s">
        <v>25</v>
      </c>
      <c r="F582" t="s">
        <v>26</v>
      </c>
    </row>
    <row r="583" spans="1:11" x14ac:dyDescent="0.25">
      <c r="A583" t="s">
        <v>1666</v>
      </c>
      <c r="B583" t="s">
        <v>1667</v>
      </c>
      <c r="C583" t="s">
        <v>29</v>
      </c>
      <c r="D583" t="s">
        <v>1586</v>
      </c>
      <c r="E583" t="s">
        <v>31</v>
      </c>
      <c r="F583" t="s">
        <v>1668</v>
      </c>
    </row>
    <row r="584" spans="1:11" x14ac:dyDescent="0.25">
      <c r="D584" t="s">
        <v>16</v>
      </c>
      <c r="E584">
        <v>2457506.9524699999</v>
      </c>
      <c r="F584" t="s">
        <v>1669</v>
      </c>
      <c r="G584">
        <v>9.3529999999999998</v>
      </c>
      <c r="H584">
        <v>3.0000000000000001E-3</v>
      </c>
      <c r="I584" t="s">
        <v>18</v>
      </c>
      <c r="J584" t="s">
        <v>1583</v>
      </c>
      <c r="K584" t="s">
        <v>20</v>
      </c>
    </row>
    <row r="585" spans="1:11" x14ac:dyDescent="0.25">
      <c r="A585" t="s">
        <v>21</v>
      </c>
      <c r="B585" t="s">
        <v>22</v>
      </c>
      <c r="C585" t="s">
        <v>23</v>
      </c>
      <c r="D585" t="s">
        <v>24</v>
      </c>
      <c r="E585" t="s">
        <v>25</v>
      </c>
      <c r="F585" t="s">
        <v>26</v>
      </c>
    </row>
    <row r="586" spans="1:11" x14ac:dyDescent="0.25">
      <c r="A586" t="s">
        <v>1670</v>
      </c>
      <c r="B586" t="s">
        <v>1626</v>
      </c>
      <c r="C586" t="s">
        <v>29</v>
      </c>
      <c r="D586" t="s">
        <v>1586</v>
      </c>
      <c r="E586" t="s">
        <v>31</v>
      </c>
      <c r="F586" t="s">
        <v>1671</v>
      </c>
    </row>
    <row r="587" spans="1:11" x14ac:dyDescent="0.25">
      <c r="D587" t="s">
        <v>16</v>
      </c>
      <c r="E587">
        <v>2457506.9518900001</v>
      </c>
      <c r="F587" t="s">
        <v>1672</v>
      </c>
      <c r="G587">
        <v>9.3640000000000008</v>
      </c>
      <c r="H587">
        <v>3.0000000000000001E-3</v>
      </c>
      <c r="I587" t="s">
        <v>18</v>
      </c>
      <c r="J587" t="s">
        <v>1583</v>
      </c>
      <c r="K587" t="s">
        <v>20</v>
      </c>
    </row>
    <row r="588" spans="1:11" x14ac:dyDescent="0.25">
      <c r="A588" t="s">
        <v>21</v>
      </c>
      <c r="B588" t="s">
        <v>22</v>
      </c>
      <c r="C588" t="s">
        <v>23</v>
      </c>
      <c r="D588" t="s">
        <v>24</v>
      </c>
      <c r="E588" t="s">
        <v>25</v>
      </c>
      <c r="F588" t="s">
        <v>26</v>
      </c>
    </row>
    <row r="589" spans="1:11" x14ac:dyDescent="0.25">
      <c r="A589" t="s">
        <v>1673</v>
      </c>
      <c r="B589" t="s">
        <v>1674</v>
      </c>
      <c r="C589" t="s">
        <v>29</v>
      </c>
      <c r="D589" t="s">
        <v>1586</v>
      </c>
      <c r="E589" t="s">
        <v>31</v>
      </c>
      <c r="F589" t="s">
        <v>1675</v>
      </c>
    </row>
    <row r="590" spans="1:11" x14ac:dyDescent="0.25">
      <c r="D590" t="s">
        <v>16</v>
      </c>
      <c r="E590">
        <v>2457506.9513099999</v>
      </c>
      <c r="F590" t="s">
        <v>1676</v>
      </c>
      <c r="G590">
        <v>9.3460000000000001</v>
      </c>
      <c r="H590">
        <v>3.0000000000000001E-3</v>
      </c>
      <c r="I590" t="s">
        <v>18</v>
      </c>
      <c r="J590" t="s">
        <v>1583</v>
      </c>
      <c r="K590" t="s">
        <v>20</v>
      </c>
    </row>
    <row r="591" spans="1:11" x14ac:dyDescent="0.25">
      <c r="A591" t="s">
        <v>21</v>
      </c>
      <c r="B591" t="s">
        <v>22</v>
      </c>
      <c r="C591" t="s">
        <v>23</v>
      </c>
      <c r="D591" t="s">
        <v>24</v>
      </c>
      <c r="E591" t="s">
        <v>25</v>
      </c>
      <c r="F591" t="s">
        <v>26</v>
      </c>
    </row>
    <row r="592" spans="1:11" x14ac:dyDescent="0.25">
      <c r="A592" t="s">
        <v>1677</v>
      </c>
      <c r="B592" t="s">
        <v>1678</v>
      </c>
      <c r="C592" t="s">
        <v>29</v>
      </c>
      <c r="D592" t="s">
        <v>1586</v>
      </c>
      <c r="E592" t="s">
        <v>31</v>
      </c>
      <c r="F592" t="s">
        <v>1679</v>
      </c>
    </row>
    <row r="593" spans="1:11" x14ac:dyDescent="0.25">
      <c r="D593" t="s">
        <v>16</v>
      </c>
      <c r="E593">
        <v>2457506.9502699999</v>
      </c>
      <c r="F593" t="s">
        <v>1680</v>
      </c>
      <c r="G593">
        <v>7.98</v>
      </c>
      <c r="H593">
        <v>5.0000000000000001E-3</v>
      </c>
      <c r="I593" t="s">
        <v>249</v>
      </c>
      <c r="J593" t="s">
        <v>1583</v>
      </c>
      <c r="K593" t="s">
        <v>20</v>
      </c>
    </row>
    <row r="594" spans="1:11" x14ac:dyDescent="0.25">
      <c r="A594" t="s">
        <v>21</v>
      </c>
      <c r="B594" t="s">
        <v>22</v>
      </c>
      <c r="C594" t="s">
        <v>23</v>
      </c>
      <c r="D594" t="s">
        <v>24</v>
      </c>
      <c r="E594" t="s">
        <v>25</v>
      </c>
      <c r="F594" t="s">
        <v>26</v>
      </c>
    </row>
    <row r="595" spans="1:11" x14ac:dyDescent="0.25">
      <c r="A595" t="s">
        <v>1681</v>
      </c>
      <c r="B595" t="s">
        <v>1682</v>
      </c>
      <c r="C595" t="s">
        <v>29</v>
      </c>
      <c r="D595" t="s">
        <v>1586</v>
      </c>
      <c r="E595" t="s">
        <v>31</v>
      </c>
      <c r="F595" t="s">
        <v>1636</v>
      </c>
    </row>
    <row r="596" spans="1:11" x14ac:dyDescent="0.25">
      <c r="D596" t="s">
        <v>16</v>
      </c>
      <c r="E596">
        <v>2457506.9496900002</v>
      </c>
      <c r="F596" t="s">
        <v>1683</v>
      </c>
      <c r="G596">
        <v>7.9859999999999998</v>
      </c>
      <c r="H596">
        <v>5.0000000000000001E-3</v>
      </c>
      <c r="I596" t="s">
        <v>249</v>
      </c>
      <c r="J596" t="s">
        <v>1583</v>
      </c>
      <c r="K596" t="s">
        <v>20</v>
      </c>
    </row>
    <row r="597" spans="1:11" x14ac:dyDescent="0.25">
      <c r="A597" t="s">
        <v>21</v>
      </c>
      <c r="B597" t="s">
        <v>22</v>
      </c>
      <c r="C597" t="s">
        <v>23</v>
      </c>
      <c r="D597" t="s">
        <v>24</v>
      </c>
      <c r="E597" t="s">
        <v>25</v>
      </c>
      <c r="F597" t="s">
        <v>26</v>
      </c>
    </row>
    <row r="598" spans="1:11" x14ac:dyDescent="0.25">
      <c r="A598" t="s">
        <v>1684</v>
      </c>
      <c r="B598" t="s">
        <v>1643</v>
      </c>
      <c r="C598" t="s">
        <v>29</v>
      </c>
      <c r="D598" t="s">
        <v>1586</v>
      </c>
      <c r="E598" t="s">
        <v>31</v>
      </c>
      <c r="F598" t="s">
        <v>1685</v>
      </c>
    </row>
    <row r="599" spans="1:11" x14ac:dyDescent="0.25">
      <c r="D599" t="s">
        <v>16</v>
      </c>
      <c r="E599">
        <v>2457506.9491099999</v>
      </c>
      <c r="F599" t="s">
        <v>1686</v>
      </c>
      <c r="G599">
        <v>7.9939999999999998</v>
      </c>
      <c r="H599">
        <v>5.0000000000000001E-3</v>
      </c>
      <c r="I599" t="s">
        <v>249</v>
      </c>
      <c r="J599" t="s">
        <v>1583</v>
      </c>
      <c r="K599" t="s">
        <v>20</v>
      </c>
    </row>
    <row r="600" spans="1:11" x14ac:dyDescent="0.25">
      <c r="A600" t="s">
        <v>21</v>
      </c>
      <c r="B600" t="s">
        <v>22</v>
      </c>
      <c r="C600" t="s">
        <v>23</v>
      </c>
      <c r="D600" t="s">
        <v>24</v>
      </c>
      <c r="E600" t="s">
        <v>25</v>
      </c>
      <c r="F600" t="s">
        <v>26</v>
      </c>
    </row>
    <row r="601" spans="1:11" x14ac:dyDescent="0.25">
      <c r="A601" t="s">
        <v>1687</v>
      </c>
      <c r="B601" t="s">
        <v>1688</v>
      </c>
      <c r="C601" t="s">
        <v>29</v>
      </c>
      <c r="D601" t="s">
        <v>1586</v>
      </c>
      <c r="E601" t="s">
        <v>31</v>
      </c>
      <c r="F601" t="s">
        <v>1689</v>
      </c>
    </row>
    <row r="602" spans="1:11" x14ac:dyDescent="0.25">
      <c r="D602" t="s">
        <v>16</v>
      </c>
      <c r="E602">
        <v>2457506.94808</v>
      </c>
      <c r="F602" t="s">
        <v>1690</v>
      </c>
      <c r="G602">
        <v>8.4710000000000001</v>
      </c>
      <c r="H602">
        <v>5.0000000000000001E-3</v>
      </c>
      <c r="I602" t="s">
        <v>250</v>
      </c>
      <c r="J602" t="s">
        <v>1583</v>
      </c>
      <c r="K602" t="s">
        <v>20</v>
      </c>
    </row>
    <row r="603" spans="1:11" x14ac:dyDescent="0.25">
      <c r="A603" t="s">
        <v>21</v>
      </c>
      <c r="B603" t="s">
        <v>22</v>
      </c>
      <c r="C603" t="s">
        <v>23</v>
      </c>
      <c r="D603" t="s">
        <v>24</v>
      </c>
      <c r="E603" t="s">
        <v>25</v>
      </c>
      <c r="F603" t="s">
        <v>26</v>
      </c>
    </row>
    <row r="604" spans="1:11" x14ac:dyDescent="0.25">
      <c r="A604" t="s">
        <v>1691</v>
      </c>
      <c r="B604" t="s">
        <v>1692</v>
      </c>
      <c r="C604" t="s">
        <v>29</v>
      </c>
      <c r="D604" t="s">
        <v>1586</v>
      </c>
      <c r="E604" t="s">
        <v>31</v>
      </c>
      <c r="F604" t="s">
        <v>1693</v>
      </c>
    </row>
    <row r="605" spans="1:11" x14ac:dyDescent="0.25">
      <c r="D605" t="s">
        <v>16</v>
      </c>
      <c r="E605">
        <v>2457506.9474999998</v>
      </c>
      <c r="F605" t="s">
        <v>1694</v>
      </c>
      <c r="G605">
        <v>8.4710000000000001</v>
      </c>
      <c r="H605">
        <v>4.0000000000000001E-3</v>
      </c>
      <c r="I605" t="s">
        <v>250</v>
      </c>
      <c r="J605" t="s">
        <v>1583</v>
      </c>
      <c r="K605" t="s">
        <v>20</v>
      </c>
    </row>
    <row r="606" spans="1:11" x14ac:dyDescent="0.25">
      <c r="A606" t="s">
        <v>21</v>
      </c>
      <c r="B606" t="s">
        <v>22</v>
      </c>
      <c r="C606" t="s">
        <v>23</v>
      </c>
      <c r="D606" t="s">
        <v>24</v>
      </c>
      <c r="E606" t="s">
        <v>25</v>
      </c>
      <c r="F606" t="s">
        <v>26</v>
      </c>
    </row>
    <row r="607" spans="1:11" x14ac:dyDescent="0.25">
      <c r="A607" t="s">
        <v>1695</v>
      </c>
      <c r="B607" t="s">
        <v>1647</v>
      </c>
      <c r="C607" t="s">
        <v>29</v>
      </c>
      <c r="D607" t="s">
        <v>1586</v>
      </c>
      <c r="E607" t="s">
        <v>31</v>
      </c>
      <c r="F607" t="s">
        <v>1656</v>
      </c>
    </row>
    <row r="608" spans="1:11" x14ac:dyDescent="0.25">
      <c r="D608" t="s">
        <v>16</v>
      </c>
      <c r="E608">
        <v>2457506.94692</v>
      </c>
      <c r="F608" t="s">
        <v>1696</v>
      </c>
      <c r="G608">
        <v>8.4749999999999996</v>
      </c>
      <c r="H608">
        <v>4.0000000000000001E-3</v>
      </c>
      <c r="I608" t="s">
        <v>250</v>
      </c>
      <c r="J608" t="s">
        <v>1583</v>
      </c>
      <c r="K608" t="s">
        <v>20</v>
      </c>
    </row>
    <row r="609" spans="1:11" x14ac:dyDescent="0.25">
      <c r="A609" t="s">
        <v>21</v>
      </c>
      <c r="B609" t="s">
        <v>22</v>
      </c>
      <c r="C609" t="s">
        <v>23</v>
      </c>
      <c r="D609" t="s">
        <v>24</v>
      </c>
      <c r="E609" t="s">
        <v>25</v>
      </c>
      <c r="F609" t="s">
        <v>26</v>
      </c>
    </row>
    <row r="610" spans="1:11" x14ac:dyDescent="0.25">
      <c r="A610" t="s">
        <v>1697</v>
      </c>
      <c r="B610" t="s">
        <v>1698</v>
      </c>
      <c r="C610" t="s">
        <v>29</v>
      </c>
      <c r="D610" t="s">
        <v>1586</v>
      </c>
      <c r="E610" t="s">
        <v>31</v>
      </c>
      <c r="F610" t="s">
        <v>1699</v>
      </c>
    </row>
    <row r="611" spans="1:11" x14ac:dyDescent="0.25">
      <c r="D611" t="s">
        <v>16</v>
      </c>
      <c r="E611">
        <v>2457506.94588</v>
      </c>
      <c r="F611" t="s">
        <v>1700</v>
      </c>
      <c r="G611">
        <v>10.372999999999999</v>
      </c>
      <c r="H611">
        <v>5.0000000000000001E-3</v>
      </c>
      <c r="I611" t="s">
        <v>34</v>
      </c>
      <c r="J611" t="s">
        <v>1583</v>
      </c>
      <c r="K611" t="s">
        <v>20</v>
      </c>
    </row>
    <row r="612" spans="1:11" x14ac:dyDescent="0.25">
      <c r="A612" t="s">
        <v>21</v>
      </c>
      <c r="B612" t="s">
        <v>22</v>
      </c>
      <c r="C612" t="s">
        <v>23</v>
      </c>
      <c r="D612" t="s">
        <v>24</v>
      </c>
      <c r="E612" t="s">
        <v>25</v>
      </c>
      <c r="F612" t="s">
        <v>26</v>
      </c>
    </row>
    <row r="613" spans="1:11" x14ac:dyDescent="0.25">
      <c r="A613" t="s">
        <v>1701</v>
      </c>
      <c r="B613" t="s">
        <v>1702</v>
      </c>
      <c r="C613" t="s">
        <v>29</v>
      </c>
      <c r="D613" t="s">
        <v>1586</v>
      </c>
      <c r="E613" t="s">
        <v>31</v>
      </c>
      <c r="F613" t="s">
        <v>1703</v>
      </c>
    </row>
    <row r="614" spans="1:11" x14ac:dyDescent="0.25">
      <c r="D614" t="s">
        <v>16</v>
      </c>
      <c r="E614">
        <v>2457506.9452800001</v>
      </c>
      <c r="F614" t="s">
        <v>1704</v>
      </c>
      <c r="G614">
        <v>10.364000000000001</v>
      </c>
      <c r="H614">
        <v>5.0000000000000001E-3</v>
      </c>
      <c r="I614" t="s">
        <v>34</v>
      </c>
      <c r="J614" t="s">
        <v>1583</v>
      </c>
      <c r="K614" t="s">
        <v>20</v>
      </c>
    </row>
    <row r="615" spans="1:11" x14ac:dyDescent="0.25">
      <c r="A615" t="s">
        <v>21</v>
      </c>
      <c r="B615" t="s">
        <v>22</v>
      </c>
      <c r="C615" t="s">
        <v>23</v>
      </c>
      <c r="D615" t="s">
        <v>24</v>
      </c>
      <c r="E615" t="s">
        <v>25</v>
      </c>
      <c r="F615" t="s">
        <v>26</v>
      </c>
    </row>
    <row r="616" spans="1:11" x14ac:dyDescent="0.25">
      <c r="A616" t="s">
        <v>1705</v>
      </c>
      <c r="B616" t="s">
        <v>1706</v>
      </c>
      <c r="C616" t="s">
        <v>29</v>
      </c>
      <c r="D616" t="s">
        <v>1586</v>
      </c>
      <c r="E616" t="s">
        <v>31</v>
      </c>
      <c r="F616" t="s">
        <v>1707</v>
      </c>
    </row>
    <row r="617" spans="1:11" x14ac:dyDescent="0.25">
      <c r="A617" t="s">
        <v>1881</v>
      </c>
    </row>
  </sheetData>
  <hyperlinks>
    <hyperlink ref="L1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Q92"/>
  <sheetViews>
    <sheetView workbookViewId="0">
      <selection activeCell="G6" sqref="G6"/>
    </sheetView>
  </sheetViews>
  <sheetFormatPr baseColWidth="10" defaultRowHeight="15" x14ac:dyDescent="0.25"/>
  <cols>
    <col min="1" max="2" width="19.140625" customWidth="1"/>
    <col min="3" max="3" width="12.28515625" bestFit="1" customWidth="1"/>
    <col min="4" max="4" width="10.85546875" customWidth="1"/>
    <col min="5" max="5" width="15.5703125" bestFit="1" customWidth="1"/>
    <col min="6" max="6" width="34.5703125" bestFit="1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0" x14ac:dyDescent="0.25">
      <c r="A1" t="s">
        <v>0</v>
      </c>
    </row>
    <row r="3" spans="1:10" x14ac:dyDescent="0.25">
      <c r="A3" t="s">
        <v>1</v>
      </c>
    </row>
    <row r="4" spans="1:10" x14ac:dyDescent="0.25">
      <c r="A4" t="s">
        <v>2</v>
      </c>
    </row>
    <row r="5" spans="1:10" x14ac:dyDescent="0.25">
      <c r="A5" t="s">
        <v>3</v>
      </c>
    </row>
    <row r="6" spans="1:10" x14ac:dyDescent="0.25">
      <c r="A6" t="s">
        <v>4</v>
      </c>
    </row>
    <row r="8" spans="1:10" x14ac:dyDescent="0.25">
      <c r="A8" t="s">
        <v>5</v>
      </c>
    </row>
    <row r="10" spans="1:10" x14ac:dyDescent="0.25">
      <c r="A10" t="s">
        <v>2360</v>
      </c>
    </row>
    <row r="12" spans="1:10" x14ac:dyDescent="0.25">
      <c r="A12" t="s">
        <v>6</v>
      </c>
    </row>
    <row r="13" spans="1:10" x14ac:dyDescent="0.25">
      <c r="A13" t="s">
        <v>7</v>
      </c>
    </row>
    <row r="14" spans="1:10" x14ac:dyDescent="0.25">
      <c r="A14" t="s">
        <v>8</v>
      </c>
    </row>
    <row r="16" spans="1:10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375</v>
      </c>
      <c r="E17">
        <v>2457708.6793900002</v>
      </c>
      <c r="F17" t="s">
        <v>2361</v>
      </c>
      <c r="G17">
        <v>8.9949999999999992</v>
      </c>
      <c r="H17">
        <v>1.0999999999999999E-2</v>
      </c>
      <c r="I17" t="s">
        <v>18</v>
      </c>
      <c r="J17" t="s">
        <v>2346</v>
      </c>
      <c r="K17" t="s">
        <v>20</v>
      </c>
      <c r="M17" t="str">
        <f>+I17</f>
        <v>V</v>
      </c>
      <c r="N17">
        <f>+G17</f>
        <v>8.9949999999999992</v>
      </c>
      <c r="O17" t="str">
        <f>+J17</f>
        <v>SRIC</v>
      </c>
      <c r="P17">
        <f>+E17</f>
        <v>2457708.6793900002</v>
      </c>
      <c r="Q17" t="str">
        <f>+F17</f>
        <v>2016 Nov. 16.17939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B</v>
      </c>
      <c r="N18">
        <f>+G20</f>
        <v>10.01</v>
      </c>
      <c r="O18" t="str">
        <f>+J20</f>
        <v>SRIC</v>
      </c>
      <c r="P18">
        <f>+E20</f>
        <v>2457708.6786500001</v>
      </c>
      <c r="Q18" t="str">
        <f>+F20</f>
        <v>2016 Nov. 16.17865</v>
      </c>
    </row>
    <row r="19" spans="1:17" x14ac:dyDescent="0.25">
      <c r="A19" t="s">
        <v>27</v>
      </c>
      <c r="B19" t="s">
        <v>2362</v>
      </c>
      <c r="C19" t="s">
        <v>29</v>
      </c>
      <c r="D19" t="s">
        <v>2363</v>
      </c>
      <c r="E19" t="s">
        <v>31</v>
      </c>
      <c r="F19" t="s">
        <v>2364</v>
      </c>
      <c r="M19" t="str">
        <f>+I23</f>
        <v>I</v>
      </c>
      <c r="N19">
        <f>+G23</f>
        <v>6.6689999999999996</v>
      </c>
      <c r="O19" t="str">
        <f>+J23</f>
        <v>SRIC</v>
      </c>
      <c r="P19">
        <f>+E23</f>
        <v>2457706.5677100001</v>
      </c>
      <c r="Q19" t="str">
        <f>+F23</f>
        <v>2016 Nov. 14.06771</v>
      </c>
    </row>
    <row r="20" spans="1:17" x14ac:dyDescent="0.25">
      <c r="D20" t="s">
        <v>375</v>
      </c>
      <c r="E20">
        <v>2457708.6786500001</v>
      </c>
      <c r="F20" t="s">
        <v>2365</v>
      </c>
      <c r="G20">
        <v>10.01</v>
      </c>
      <c r="H20">
        <v>1.2E-2</v>
      </c>
      <c r="I20" t="s">
        <v>34</v>
      </c>
      <c r="J20" t="s">
        <v>2346</v>
      </c>
      <c r="K20" t="s">
        <v>20</v>
      </c>
      <c r="M20" t="str">
        <f>+I26</f>
        <v>V</v>
      </c>
      <c r="N20">
        <f>+G26</f>
        <v>8.9380000000000006</v>
      </c>
      <c r="O20" t="str">
        <f>+J26</f>
        <v>SRIC</v>
      </c>
      <c r="P20">
        <f>+E26</f>
        <v>2457706.5666700001</v>
      </c>
      <c r="Q20" t="str">
        <f>+F26</f>
        <v>2016 Nov. 14.06667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B</v>
      </c>
      <c r="N21">
        <f>+G29</f>
        <v>10.032</v>
      </c>
      <c r="O21" t="str">
        <f>+J29</f>
        <v>SRIC</v>
      </c>
      <c r="P21">
        <f>+E29</f>
        <v>2457706.5659099999</v>
      </c>
      <c r="Q21" t="str">
        <f>+F29</f>
        <v>2016 Nov. 14.06591</v>
      </c>
    </row>
    <row r="22" spans="1:17" x14ac:dyDescent="0.25">
      <c r="A22" t="s">
        <v>27</v>
      </c>
      <c r="B22" t="s">
        <v>2366</v>
      </c>
      <c r="C22" t="s">
        <v>29</v>
      </c>
      <c r="D22" t="s">
        <v>2363</v>
      </c>
      <c r="E22" t="s">
        <v>31</v>
      </c>
      <c r="F22" t="s">
        <v>2367</v>
      </c>
      <c r="M22" t="str">
        <f>+I32</f>
        <v>V</v>
      </c>
      <c r="N22">
        <f>+G32</f>
        <v>8.9570000000000007</v>
      </c>
      <c r="O22" t="str">
        <f>+J32</f>
        <v>SRIC</v>
      </c>
      <c r="P22">
        <f>+E32</f>
        <v>2457701.5746900002</v>
      </c>
      <c r="Q22" t="str">
        <f>+F32</f>
        <v>2016 Nov. 09.07469</v>
      </c>
    </row>
    <row r="23" spans="1:17" x14ac:dyDescent="0.25">
      <c r="D23" t="s">
        <v>375</v>
      </c>
      <c r="E23">
        <v>2457706.5677100001</v>
      </c>
      <c r="F23" t="s">
        <v>2368</v>
      </c>
      <c r="G23">
        <v>6.6689999999999996</v>
      </c>
      <c r="H23">
        <v>1.2E-2</v>
      </c>
      <c r="I23" t="s">
        <v>249</v>
      </c>
      <c r="J23" t="s">
        <v>2346</v>
      </c>
      <c r="K23" t="s">
        <v>20</v>
      </c>
      <c r="M23" t="str">
        <f>+I35</f>
        <v>V</v>
      </c>
      <c r="N23">
        <f>+G35</f>
        <v>8.9209999999999994</v>
      </c>
      <c r="O23" t="str">
        <f>+J35</f>
        <v>SGEA</v>
      </c>
      <c r="P23">
        <f>+E35</f>
        <v>2457697.5903500002</v>
      </c>
      <c r="Q23" t="str">
        <f>+F35</f>
        <v>2016 Nov. 05.09035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8.9190000000000005</v>
      </c>
      <c r="O24" t="str">
        <f>+J38</f>
        <v>SGEA</v>
      </c>
      <c r="P24">
        <f>+E38</f>
        <v>2457697.5899100001</v>
      </c>
      <c r="Q24" t="str">
        <f>+F38</f>
        <v>2016 Nov. 05.08991</v>
      </c>
    </row>
    <row r="25" spans="1:17" x14ac:dyDescent="0.25">
      <c r="A25" t="s">
        <v>27</v>
      </c>
      <c r="B25" t="s">
        <v>2369</v>
      </c>
      <c r="C25" t="s">
        <v>29</v>
      </c>
      <c r="D25" t="s">
        <v>2363</v>
      </c>
      <c r="E25" t="s">
        <v>31</v>
      </c>
      <c r="F25" t="s">
        <v>2370</v>
      </c>
      <c r="M25" t="str">
        <f>+I41</f>
        <v>V</v>
      </c>
      <c r="N25">
        <f>+G41</f>
        <v>8.9890000000000008</v>
      </c>
      <c r="O25" t="str">
        <f>+J41</f>
        <v>SBL</v>
      </c>
      <c r="P25">
        <f>+E41</f>
        <v>2457693.5034500002</v>
      </c>
      <c r="Q25" t="str">
        <f>+F41</f>
        <v>2016 Nov. 01.00345</v>
      </c>
    </row>
    <row r="26" spans="1:17" x14ac:dyDescent="0.25">
      <c r="D26" t="s">
        <v>375</v>
      </c>
      <c r="E26">
        <v>2457706.5666700001</v>
      </c>
      <c r="F26" t="s">
        <v>2371</v>
      </c>
      <c r="G26">
        <v>8.9380000000000006</v>
      </c>
      <c r="H26">
        <v>8.9999999999999993E-3</v>
      </c>
      <c r="I26" t="s">
        <v>18</v>
      </c>
      <c r="J26" t="s">
        <v>2346</v>
      </c>
      <c r="K26" t="s">
        <v>20</v>
      </c>
      <c r="M26" t="str">
        <f>+I44</f>
        <v>B</v>
      </c>
      <c r="N26">
        <f>+G44</f>
        <v>9.9380000000000006</v>
      </c>
      <c r="O26" t="str">
        <f>+J44</f>
        <v>SBL</v>
      </c>
      <c r="P26">
        <f>+E44</f>
        <v>2457693.5027899998</v>
      </c>
      <c r="Q26" t="str">
        <f>+F44</f>
        <v>2016 Nov. 01.00279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27</v>
      </c>
      <c r="B28" t="s">
        <v>2372</v>
      </c>
      <c r="C28" t="s">
        <v>29</v>
      </c>
      <c r="D28" t="s">
        <v>2363</v>
      </c>
      <c r="E28" t="s">
        <v>31</v>
      </c>
      <c r="F28" t="s">
        <v>2364</v>
      </c>
    </row>
    <row r="29" spans="1:17" x14ac:dyDescent="0.25">
      <c r="D29" t="s">
        <v>375</v>
      </c>
      <c r="E29">
        <v>2457706.5659099999</v>
      </c>
      <c r="F29" t="s">
        <v>2373</v>
      </c>
      <c r="G29">
        <v>10.032</v>
      </c>
      <c r="H29">
        <v>1.0999999999999999E-2</v>
      </c>
      <c r="I29" t="s">
        <v>34</v>
      </c>
      <c r="J29" t="s">
        <v>2346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27</v>
      </c>
      <c r="B31" t="s">
        <v>2374</v>
      </c>
      <c r="C31" t="s">
        <v>29</v>
      </c>
      <c r="D31" t="s">
        <v>2363</v>
      </c>
      <c r="E31" t="s">
        <v>31</v>
      </c>
      <c r="F31" t="s">
        <v>2367</v>
      </c>
    </row>
    <row r="32" spans="1:17" x14ac:dyDescent="0.25">
      <c r="D32" t="s">
        <v>375</v>
      </c>
      <c r="E32">
        <v>2457701.5746900002</v>
      </c>
      <c r="F32" t="s">
        <v>2375</v>
      </c>
      <c r="G32">
        <v>8.9570000000000007</v>
      </c>
      <c r="H32">
        <v>1.4E-2</v>
      </c>
      <c r="I32" t="s">
        <v>18</v>
      </c>
      <c r="J32" t="s">
        <v>2346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2376</v>
      </c>
      <c r="B34" t="s">
        <v>2377</v>
      </c>
      <c r="C34" t="s">
        <v>67</v>
      </c>
      <c r="D34" t="s">
        <v>2378</v>
      </c>
      <c r="E34" t="s">
        <v>31</v>
      </c>
      <c r="F34" t="s">
        <v>2379</v>
      </c>
    </row>
    <row r="35" spans="1:11" x14ac:dyDescent="0.25">
      <c r="D35" t="s">
        <v>375</v>
      </c>
      <c r="E35">
        <v>2457697.5903500002</v>
      </c>
      <c r="F35" t="s">
        <v>2380</v>
      </c>
      <c r="G35">
        <v>8.9209999999999994</v>
      </c>
      <c r="H35">
        <v>2E-3</v>
      </c>
      <c r="I35" t="s">
        <v>18</v>
      </c>
      <c r="J35" t="s">
        <v>247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27</v>
      </c>
      <c r="B37" t="s">
        <v>2381</v>
      </c>
      <c r="C37" t="s">
        <v>67</v>
      </c>
      <c r="D37" t="s">
        <v>376</v>
      </c>
      <c r="E37" t="s">
        <v>31</v>
      </c>
      <c r="F37" t="s">
        <v>31</v>
      </c>
    </row>
    <row r="38" spans="1:11" x14ac:dyDescent="0.25">
      <c r="D38" t="s">
        <v>375</v>
      </c>
      <c r="E38">
        <v>2457697.5899100001</v>
      </c>
      <c r="F38" t="s">
        <v>2382</v>
      </c>
      <c r="G38">
        <v>8.9190000000000005</v>
      </c>
      <c r="H38">
        <v>2E-3</v>
      </c>
      <c r="I38" t="s">
        <v>18</v>
      </c>
      <c r="J38" t="s">
        <v>247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27</v>
      </c>
      <c r="B40" t="s">
        <v>2383</v>
      </c>
      <c r="C40" t="s">
        <v>67</v>
      </c>
      <c r="D40" t="s">
        <v>376</v>
      </c>
      <c r="E40" t="s">
        <v>31</v>
      </c>
      <c r="F40" t="s">
        <v>31</v>
      </c>
    </row>
    <row r="41" spans="1:11" x14ac:dyDescent="0.25">
      <c r="D41" t="s">
        <v>375</v>
      </c>
      <c r="E41">
        <v>2457693.5034500002</v>
      </c>
      <c r="F41" t="s">
        <v>2384</v>
      </c>
      <c r="G41">
        <v>8.9890000000000008</v>
      </c>
      <c r="H41">
        <v>7.0000000000000001E-3</v>
      </c>
      <c r="I41" t="s">
        <v>18</v>
      </c>
      <c r="J41" t="s">
        <v>72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2385</v>
      </c>
      <c r="B43" t="s">
        <v>2386</v>
      </c>
      <c r="C43" t="s">
        <v>67</v>
      </c>
      <c r="D43">
        <v>161107</v>
      </c>
      <c r="E43" t="s">
        <v>31</v>
      </c>
      <c r="F43" t="s">
        <v>31</v>
      </c>
    </row>
    <row r="44" spans="1:11" x14ac:dyDescent="0.25">
      <c r="D44" t="s">
        <v>375</v>
      </c>
      <c r="E44">
        <v>2457693.5027899998</v>
      </c>
      <c r="F44" t="s">
        <v>2387</v>
      </c>
      <c r="G44">
        <v>9.9380000000000006</v>
      </c>
      <c r="H44">
        <v>1.2999999999999999E-2</v>
      </c>
      <c r="I44" t="s">
        <v>34</v>
      </c>
      <c r="J44" t="s">
        <v>72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2388</v>
      </c>
      <c r="B46" t="s">
        <v>2389</v>
      </c>
      <c r="C46" t="s">
        <v>67</v>
      </c>
      <c r="D46">
        <v>161107</v>
      </c>
      <c r="E46" t="s">
        <v>31</v>
      </c>
      <c r="F46" t="s">
        <v>31</v>
      </c>
    </row>
    <row r="47" spans="1:11" x14ac:dyDescent="0.25">
      <c r="D47" t="s">
        <v>375</v>
      </c>
      <c r="E47">
        <v>2457687.5380699998</v>
      </c>
      <c r="F47" t="s">
        <v>2390</v>
      </c>
      <c r="G47">
        <v>8.891</v>
      </c>
      <c r="H47">
        <v>7.0000000000000001E-3</v>
      </c>
      <c r="I47" t="s">
        <v>18</v>
      </c>
      <c r="J47" t="s">
        <v>72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2391</v>
      </c>
      <c r="B49" t="s">
        <v>2392</v>
      </c>
      <c r="C49" t="s">
        <v>67</v>
      </c>
      <c r="D49">
        <v>161107</v>
      </c>
      <c r="E49" t="s">
        <v>31</v>
      </c>
      <c r="F49" t="s">
        <v>31</v>
      </c>
    </row>
    <row r="50" spans="1:11" x14ac:dyDescent="0.25">
      <c r="D50" t="s">
        <v>375</v>
      </c>
      <c r="E50">
        <v>2457687.53743</v>
      </c>
      <c r="F50" t="s">
        <v>2393</v>
      </c>
      <c r="G50">
        <v>9.9329999999999998</v>
      </c>
      <c r="H50">
        <v>1.4E-2</v>
      </c>
      <c r="I50" t="s">
        <v>34</v>
      </c>
      <c r="J50" t="s">
        <v>72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2394</v>
      </c>
      <c r="B52" t="s">
        <v>2395</v>
      </c>
      <c r="C52" t="s">
        <v>67</v>
      </c>
      <c r="D52">
        <v>161107</v>
      </c>
      <c r="E52" t="s">
        <v>31</v>
      </c>
      <c r="F52" t="s">
        <v>31</v>
      </c>
    </row>
    <row r="53" spans="1:11" x14ac:dyDescent="0.25">
      <c r="D53" t="s">
        <v>375</v>
      </c>
      <c r="E53">
        <v>2457686.6696299999</v>
      </c>
      <c r="F53" t="s">
        <v>2396</v>
      </c>
      <c r="G53">
        <v>8.8019999999999996</v>
      </c>
      <c r="H53">
        <v>0.01</v>
      </c>
      <c r="I53" t="s">
        <v>18</v>
      </c>
      <c r="J53" t="s">
        <v>72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2397</v>
      </c>
      <c r="B55" t="s">
        <v>2398</v>
      </c>
      <c r="C55" t="s">
        <v>67</v>
      </c>
      <c r="D55">
        <v>161107</v>
      </c>
      <c r="E55" t="s">
        <v>31</v>
      </c>
      <c r="F55" t="s">
        <v>31</v>
      </c>
    </row>
    <row r="56" spans="1:11" x14ac:dyDescent="0.25">
      <c r="D56" t="s">
        <v>375</v>
      </c>
      <c r="E56">
        <v>2457686.66897</v>
      </c>
      <c r="F56" t="s">
        <v>2399</v>
      </c>
      <c r="G56">
        <v>9.8650000000000002</v>
      </c>
      <c r="H56">
        <v>1.4E-2</v>
      </c>
      <c r="I56" t="s">
        <v>34</v>
      </c>
      <c r="J56" t="s">
        <v>72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2400</v>
      </c>
      <c r="B58" t="s">
        <v>2401</v>
      </c>
      <c r="C58" t="s">
        <v>67</v>
      </c>
      <c r="D58">
        <v>161107</v>
      </c>
      <c r="E58" t="s">
        <v>31</v>
      </c>
      <c r="F58" t="s">
        <v>31</v>
      </c>
    </row>
    <row r="59" spans="1:11" x14ac:dyDescent="0.25">
      <c r="D59" t="s">
        <v>375</v>
      </c>
      <c r="E59">
        <v>2457685.5114099998</v>
      </c>
      <c r="F59" t="s">
        <v>2402</v>
      </c>
      <c r="G59">
        <v>8.9369999999999994</v>
      </c>
      <c r="H59">
        <v>7.0000000000000001E-3</v>
      </c>
      <c r="I59" t="s">
        <v>18</v>
      </c>
      <c r="J59" t="s">
        <v>72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2403</v>
      </c>
      <c r="B61" t="s">
        <v>2404</v>
      </c>
      <c r="C61" t="s">
        <v>67</v>
      </c>
      <c r="D61">
        <v>161107</v>
      </c>
      <c r="E61" t="s">
        <v>31</v>
      </c>
      <c r="F61" t="s">
        <v>31</v>
      </c>
    </row>
    <row r="62" spans="1:11" x14ac:dyDescent="0.25">
      <c r="D62" t="s">
        <v>375</v>
      </c>
      <c r="E62">
        <v>2457685.5107800001</v>
      </c>
      <c r="F62" t="s">
        <v>2405</v>
      </c>
      <c r="G62">
        <v>9.923</v>
      </c>
      <c r="H62">
        <v>1.2999999999999999E-2</v>
      </c>
      <c r="I62" t="s">
        <v>34</v>
      </c>
      <c r="J62" t="s">
        <v>72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2406</v>
      </c>
      <c r="B64" t="s">
        <v>2407</v>
      </c>
      <c r="C64" t="s">
        <v>67</v>
      </c>
      <c r="D64">
        <v>161107</v>
      </c>
      <c r="E64" t="s">
        <v>31</v>
      </c>
      <c r="F64" t="s">
        <v>31</v>
      </c>
    </row>
    <row r="65" spans="1:11" x14ac:dyDescent="0.25">
      <c r="D65" t="s">
        <v>375</v>
      </c>
      <c r="E65">
        <v>2457681.5513399998</v>
      </c>
      <c r="F65" t="s">
        <v>2408</v>
      </c>
      <c r="G65">
        <v>8.9309999999999992</v>
      </c>
      <c r="H65">
        <v>6.0000000000000001E-3</v>
      </c>
      <c r="I65" t="s">
        <v>18</v>
      </c>
      <c r="J65" t="s">
        <v>72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2409</v>
      </c>
      <c r="B67" t="s">
        <v>2404</v>
      </c>
      <c r="C67" t="s">
        <v>67</v>
      </c>
      <c r="D67">
        <v>161107</v>
      </c>
      <c r="E67" t="s">
        <v>31</v>
      </c>
      <c r="F67" t="s">
        <v>31</v>
      </c>
    </row>
    <row r="68" spans="1:11" x14ac:dyDescent="0.25">
      <c r="D68" t="s">
        <v>375</v>
      </c>
      <c r="E68">
        <v>2457681.5507299998</v>
      </c>
      <c r="F68" t="s">
        <v>2410</v>
      </c>
      <c r="G68">
        <v>9.8710000000000004</v>
      </c>
      <c r="H68">
        <v>1.2999999999999999E-2</v>
      </c>
      <c r="I68" t="s">
        <v>34</v>
      </c>
      <c r="J68" t="s">
        <v>72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2411</v>
      </c>
      <c r="B70" t="s">
        <v>2412</v>
      </c>
      <c r="C70" t="s">
        <v>67</v>
      </c>
      <c r="D70">
        <v>161107</v>
      </c>
      <c r="E70" t="s">
        <v>31</v>
      </c>
      <c r="F70" t="s">
        <v>31</v>
      </c>
    </row>
    <row r="71" spans="1:11" x14ac:dyDescent="0.25">
      <c r="D71" t="s">
        <v>375</v>
      </c>
      <c r="E71">
        <v>2457680.5588099998</v>
      </c>
      <c r="F71" t="s">
        <v>2413</v>
      </c>
      <c r="G71">
        <v>8.8949999999999996</v>
      </c>
      <c r="H71">
        <v>8.0000000000000002E-3</v>
      </c>
      <c r="I71" t="s">
        <v>18</v>
      </c>
      <c r="J71" t="s">
        <v>72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2414</v>
      </c>
      <c r="B73" t="s">
        <v>2415</v>
      </c>
      <c r="C73" t="s">
        <v>67</v>
      </c>
      <c r="D73">
        <v>161107</v>
      </c>
      <c r="E73" t="s">
        <v>31</v>
      </c>
      <c r="F73" t="s">
        <v>31</v>
      </c>
    </row>
    <row r="74" spans="1:11" x14ac:dyDescent="0.25">
      <c r="D74" t="s">
        <v>375</v>
      </c>
      <c r="E74">
        <v>2457680.55712</v>
      </c>
      <c r="F74" t="s">
        <v>2416</v>
      </c>
      <c r="G74">
        <v>9.9169999999999998</v>
      </c>
      <c r="H74">
        <v>1.7999999999999999E-2</v>
      </c>
      <c r="I74" t="s">
        <v>34</v>
      </c>
      <c r="J74" t="s">
        <v>72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2417</v>
      </c>
      <c r="B76" t="s">
        <v>2418</v>
      </c>
      <c r="C76" t="s">
        <v>67</v>
      </c>
      <c r="D76">
        <v>161107</v>
      </c>
      <c r="E76" t="s">
        <v>31</v>
      </c>
      <c r="F76" t="s">
        <v>31</v>
      </c>
    </row>
    <row r="77" spans="1:11" x14ac:dyDescent="0.25">
      <c r="D77" t="s">
        <v>375</v>
      </c>
      <c r="E77">
        <v>2457677.53394</v>
      </c>
      <c r="F77" t="s">
        <v>2419</v>
      </c>
      <c r="G77">
        <v>8.8379999999999992</v>
      </c>
      <c r="H77">
        <v>8.0000000000000002E-3</v>
      </c>
      <c r="I77" t="s">
        <v>18</v>
      </c>
      <c r="J77" t="s">
        <v>72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2420</v>
      </c>
      <c r="B79" t="s">
        <v>2421</v>
      </c>
      <c r="C79" t="s">
        <v>67</v>
      </c>
      <c r="D79">
        <v>161107</v>
      </c>
      <c r="E79" t="s">
        <v>31</v>
      </c>
      <c r="F79" t="s">
        <v>31</v>
      </c>
    </row>
    <row r="80" spans="1:11" x14ac:dyDescent="0.25">
      <c r="D80" t="s">
        <v>375</v>
      </c>
      <c r="E80">
        <v>2457677.5332800001</v>
      </c>
      <c r="F80" t="s">
        <v>2422</v>
      </c>
      <c r="G80">
        <v>9.9179999999999993</v>
      </c>
      <c r="H80">
        <v>1.6E-2</v>
      </c>
      <c r="I80" t="s">
        <v>34</v>
      </c>
      <c r="J80" t="s">
        <v>72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2423</v>
      </c>
      <c r="B82" t="s">
        <v>2424</v>
      </c>
      <c r="C82" t="s">
        <v>67</v>
      </c>
      <c r="D82">
        <v>161107</v>
      </c>
      <c r="E82" t="s">
        <v>31</v>
      </c>
      <c r="F82" t="s">
        <v>31</v>
      </c>
    </row>
    <row r="83" spans="1:11" x14ac:dyDescent="0.25">
      <c r="D83" t="s">
        <v>375</v>
      </c>
      <c r="E83">
        <v>2457676.5360400002</v>
      </c>
      <c r="F83" t="s">
        <v>2425</v>
      </c>
      <c r="G83">
        <v>8.8960000000000008</v>
      </c>
      <c r="H83">
        <v>7.0000000000000001E-3</v>
      </c>
      <c r="I83" t="s">
        <v>18</v>
      </c>
      <c r="J83" t="s">
        <v>72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2426</v>
      </c>
      <c r="B85" t="s">
        <v>2427</v>
      </c>
      <c r="C85" t="s">
        <v>67</v>
      </c>
      <c r="D85">
        <v>161107</v>
      </c>
      <c r="E85" t="s">
        <v>31</v>
      </c>
      <c r="F85" t="s">
        <v>31</v>
      </c>
    </row>
    <row r="86" spans="1:11" x14ac:dyDescent="0.25">
      <c r="D86" t="s">
        <v>375</v>
      </c>
      <c r="E86">
        <v>2457676.5353399999</v>
      </c>
      <c r="F86" t="s">
        <v>2428</v>
      </c>
      <c r="G86">
        <v>9.8439999999999994</v>
      </c>
      <c r="H86">
        <v>1.2999999999999999E-2</v>
      </c>
      <c r="I86" t="s">
        <v>34</v>
      </c>
      <c r="J86" t="s">
        <v>72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2429</v>
      </c>
      <c r="B88" t="s">
        <v>2430</v>
      </c>
      <c r="C88" t="s">
        <v>67</v>
      </c>
      <c r="D88">
        <v>161016</v>
      </c>
      <c r="E88" t="s">
        <v>31</v>
      </c>
      <c r="F88" t="s">
        <v>31</v>
      </c>
    </row>
    <row r="89" spans="1:11" x14ac:dyDescent="0.25">
      <c r="D89" t="s">
        <v>375</v>
      </c>
      <c r="E89">
        <v>2457675.6532200002</v>
      </c>
      <c r="F89" t="s">
        <v>2431</v>
      </c>
      <c r="G89">
        <v>8.8219999999999992</v>
      </c>
      <c r="H89">
        <v>1.0999999999999999E-2</v>
      </c>
      <c r="I89" t="s">
        <v>18</v>
      </c>
      <c r="J89" t="s">
        <v>72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2432</v>
      </c>
      <c r="B91" t="s">
        <v>2433</v>
      </c>
      <c r="C91" t="s">
        <v>67</v>
      </c>
      <c r="D91">
        <v>161107</v>
      </c>
      <c r="E91" t="s">
        <v>31</v>
      </c>
      <c r="F91" t="s">
        <v>31</v>
      </c>
    </row>
    <row r="92" spans="1:11" x14ac:dyDescent="0.25">
      <c r="A92" t="s">
        <v>2434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Q92"/>
  <sheetViews>
    <sheetView workbookViewId="0">
      <selection activeCell="E6" sqref="E6"/>
    </sheetView>
  </sheetViews>
  <sheetFormatPr baseColWidth="10" defaultRowHeight="15" x14ac:dyDescent="0.25"/>
  <cols>
    <col min="1" max="1" width="10.140625" customWidth="1"/>
    <col min="2" max="2" width="19.140625" customWidth="1"/>
    <col min="3" max="3" width="12.28515625" bestFit="1" customWidth="1"/>
    <col min="4" max="4" width="8.5703125" customWidth="1"/>
    <col min="5" max="5" width="15.5703125" bestFit="1" customWidth="1"/>
    <col min="6" max="6" width="17.710937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689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2435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161</v>
      </c>
      <c r="E17">
        <v>2457694.3492060001</v>
      </c>
      <c r="F17" t="s">
        <v>2436</v>
      </c>
      <c r="G17">
        <v>11.965999999999999</v>
      </c>
      <c r="H17">
        <v>3.3000000000000002E-2</v>
      </c>
      <c r="I17" t="s">
        <v>250</v>
      </c>
      <c r="J17" t="s">
        <v>690</v>
      </c>
      <c r="K17" t="s">
        <v>20</v>
      </c>
      <c r="M17" t="str">
        <f>+I17</f>
        <v>R</v>
      </c>
      <c r="N17">
        <f>+G17</f>
        <v>11.965999999999999</v>
      </c>
      <c r="O17" t="str">
        <f>+J17</f>
        <v>HKEB</v>
      </c>
      <c r="P17">
        <f>+E17</f>
        <v>2457694.3492060001</v>
      </c>
      <c r="Q17" t="str">
        <f>+F17</f>
        <v>2016 Nov. 01.84921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13.798</v>
      </c>
      <c r="O18" t="str">
        <f>+J20</f>
        <v>HKEB</v>
      </c>
      <c r="P18">
        <f>+E20</f>
        <v>2457694.348431</v>
      </c>
      <c r="Q18" t="str">
        <f>+F20</f>
        <v>2016 Nov. 01.84843</v>
      </c>
    </row>
    <row r="19" spans="1:17" x14ac:dyDescent="0.25">
      <c r="A19" t="s">
        <v>27</v>
      </c>
      <c r="B19" t="s">
        <v>2437</v>
      </c>
      <c r="C19" t="s">
        <v>29</v>
      </c>
      <c r="D19" t="s">
        <v>691</v>
      </c>
      <c r="E19" t="s">
        <v>31</v>
      </c>
      <c r="F19" t="s">
        <v>692</v>
      </c>
      <c r="M19" t="str">
        <f>+I23</f>
        <v>B</v>
      </c>
      <c r="N19">
        <f>+G23</f>
        <v>15.502000000000001</v>
      </c>
      <c r="O19" t="str">
        <f>+J23</f>
        <v>HKEB</v>
      </c>
      <c r="P19">
        <f>+E23</f>
        <v>2457694.3473629998</v>
      </c>
      <c r="Q19" t="str">
        <f>+F23</f>
        <v>2016 Nov. 01.84736</v>
      </c>
    </row>
    <row r="20" spans="1:17" x14ac:dyDescent="0.25">
      <c r="D20" t="s">
        <v>161</v>
      </c>
      <c r="E20">
        <v>2457694.348431</v>
      </c>
      <c r="F20" t="s">
        <v>2438</v>
      </c>
      <c r="G20">
        <v>13.798</v>
      </c>
      <c r="H20">
        <v>4.4999999999999998E-2</v>
      </c>
      <c r="I20" t="s">
        <v>18</v>
      </c>
      <c r="J20" t="s">
        <v>690</v>
      </c>
      <c r="K20" t="s">
        <v>20</v>
      </c>
      <c r="M20" t="str">
        <f>+I26</f>
        <v>R</v>
      </c>
      <c r="N20">
        <f>+G26</f>
        <v>12.06</v>
      </c>
      <c r="O20" t="str">
        <f>+J26</f>
        <v>HKEB</v>
      </c>
      <c r="P20">
        <f>+E26</f>
        <v>2457665.3542519999</v>
      </c>
      <c r="Q20" t="str">
        <f>+F26</f>
        <v>2016 Oct. 03.85425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13.795999999999999</v>
      </c>
      <c r="O21" t="str">
        <f>+J29</f>
        <v>HKEB</v>
      </c>
      <c r="P21">
        <f>+E29</f>
        <v>2457665.3534730002</v>
      </c>
      <c r="Q21" t="str">
        <f>+F29</f>
        <v>2016 Oct. 03.85347</v>
      </c>
    </row>
    <row r="22" spans="1:17" x14ac:dyDescent="0.25">
      <c r="A22" t="s">
        <v>27</v>
      </c>
      <c r="B22" t="s">
        <v>2439</v>
      </c>
      <c r="C22" t="s">
        <v>29</v>
      </c>
      <c r="D22" t="s">
        <v>691</v>
      </c>
      <c r="E22" t="s">
        <v>31</v>
      </c>
      <c r="F22" t="s">
        <v>692</v>
      </c>
      <c r="M22" t="str">
        <f>+I32</f>
        <v>B</v>
      </c>
      <c r="N22">
        <f>+G32</f>
        <v>15.455</v>
      </c>
      <c r="O22" t="str">
        <f>+J32</f>
        <v>HKEB</v>
      </c>
      <c r="P22">
        <f>+E32</f>
        <v>2457665.3524039998</v>
      </c>
      <c r="Q22" t="str">
        <f>+F32</f>
        <v>2016 Oct. 03.85240</v>
      </c>
    </row>
    <row r="23" spans="1:17" x14ac:dyDescent="0.25">
      <c r="D23" t="s">
        <v>161</v>
      </c>
      <c r="E23">
        <v>2457694.3473629998</v>
      </c>
      <c r="F23" t="s">
        <v>2440</v>
      </c>
      <c r="G23">
        <v>15.502000000000001</v>
      </c>
      <c r="H23">
        <v>8.3000000000000004E-2</v>
      </c>
      <c r="I23" t="s">
        <v>34</v>
      </c>
      <c r="J23" t="s">
        <v>690</v>
      </c>
      <c r="K23" t="s">
        <v>20</v>
      </c>
      <c r="M23" t="str">
        <f>+I35</f>
        <v>R</v>
      </c>
      <c r="N23">
        <f>+G35</f>
        <v>12.013999999999999</v>
      </c>
      <c r="O23" t="str">
        <f>+J35</f>
        <v>HKEB</v>
      </c>
      <c r="P23">
        <f>+E35</f>
        <v>2457654.3784619998</v>
      </c>
      <c r="Q23" t="str">
        <f>+F35</f>
        <v>2016 Sep. 22.87846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13.744</v>
      </c>
      <c r="O24" t="str">
        <f>+J38</f>
        <v>HKEB</v>
      </c>
      <c r="P24">
        <f>+E38</f>
        <v>2457654.3776980001</v>
      </c>
      <c r="Q24" t="str">
        <f>+F38</f>
        <v>2016 Sep. 22.87770</v>
      </c>
    </row>
    <row r="25" spans="1:17" x14ac:dyDescent="0.25">
      <c r="A25" t="s">
        <v>27</v>
      </c>
      <c r="B25" t="s">
        <v>2441</v>
      </c>
      <c r="C25" t="s">
        <v>29</v>
      </c>
      <c r="D25" t="s">
        <v>691</v>
      </c>
      <c r="E25" t="s">
        <v>31</v>
      </c>
      <c r="F25" t="s">
        <v>692</v>
      </c>
      <c r="M25" t="str">
        <f>+I41</f>
        <v>B</v>
      </c>
      <c r="N25">
        <f>+G41</f>
        <v>15.436</v>
      </c>
      <c r="O25" t="str">
        <f>+J41</f>
        <v>HKEB</v>
      </c>
      <c r="P25">
        <f>+E41</f>
        <v>2457654.376627</v>
      </c>
      <c r="Q25" t="str">
        <f>+F41</f>
        <v>2016 Sep. 22.87663</v>
      </c>
    </row>
    <row r="26" spans="1:17" x14ac:dyDescent="0.25">
      <c r="D26" t="s">
        <v>161</v>
      </c>
      <c r="E26">
        <v>2457665.3542519999</v>
      </c>
      <c r="F26" t="s">
        <v>2442</v>
      </c>
      <c r="G26">
        <v>12.06</v>
      </c>
      <c r="H26">
        <v>2.5999999999999999E-2</v>
      </c>
      <c r="I26" t="s">
        <v>250</v>
      </c>
      <c r="J26" t="s">
        <v>690</v>
      </c>
      <c r="K26" t="s">
        <v>20</v>
      </c>
      <c r="M26" t="str">
        <f>+I44</f>
        <v>R</v>
      </c>
      <c r="N26">
        <f>+G44</f>
        <v>11.898999999999999</v>
      </c>
      <c r="O26" t="str">
        <f>+J44</f>
        <v>HKEB</v>
      </c>
      <c r="P26">
        <f>+E44</f>
        <v>2457646.346496</v>
      </c>
      <c r="Q26" t="str">
        <f>+F44</f>
        <v>2016 Sep. 14.84650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27</v>
      </c>
      <c r="B28" t="s">
        <v>2443</v>
      </c>
      <c r="C28" t="s">
        <v>29</v>
      </c>
      <c r="D28" t="s">
        <v>691</v>
      </c>
      <c r="E28" t="s">
        <v>31</v>
      </c>
      <c r="F28" t="s">
        <v>692</v>
      </c>
    </row>
    <row r="29" spans="1:17" x14ac:dyDescent="0.25">
      <c r="D29" t="s">
        <v>161</v>
      </c>
      <c r="E29">
        <v>2457665.3534730002</v>
      </c>
      <c r="F29" t="s">
        <v>2444</v>
      </c>
      <c r="G29">
        <v>13.795999999999999</v>
      </c>
      <c r="H29">
        <v>3.5999999999999997E-2</v>
      </c>
      <c r="I29" t="s">
        <v>18</v>
      </c>
      <c r="J29" t="s">
        <v>690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27</v>
      </c>
      <c r="B31" t="s">
        <v>2445</v>
      </c>
      <c r="C31" t="s">
        <v>29</v>
      </c>
      <c r="D31" t="s">
        <v>691</v>
      </c>
      <c r="E31" t="s">
        <v>31</v>
      </c>
      <c r="F31" t="s">
        <v>692</v>
      </c>
    </row>
    <row r="32" spans="1:17" x14ac:dyDescent="0.25">
      <c r="D32" t="s">
        <v>161</v>
      </c>
      <c r="E32">
        <v>2457665.3524039998</v>
      </c>
      <c r="F32" t="s">
        <v>2446</v>
      </c>
      <c r="G32">
        <v>15.455</v>
      </c>
      <c r="H32">
        <v>4.1000000000000002E-2</v>
      </c>
      <c r="I32" t="s">
        <v>34</v>
      </c>
      <c r="J32" t="s">
        <v>690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27</v>
      </c>
      <c r="B34" t="s">
        <v>2447</v>
      </c>
      <c r="C34" t="s">
        <v>29</v>
      </c>
      <c r="D34" t="s">
        <v>691</v>
      </c>
      <c r="E34" t="s">
        <v>31</v>
      </c>
      <c r="F34" t="s">
        <v>692</v>
      </c>
    </row>
    <row r="35" spans="1:11" x14ac:dyDescent="0.25">
      <c r="D35" t="s">
        <v>161</v>
      </c>
      <c r="E35">
        <v>2457654.3784619998</v>
      </c>
      <c r="F35" t="s">
        <v>2209</v>
      </c>
      <c r="G35">
        <v>12.013999999999999</v>
      </c>
      <c r="H35">
        <v>1.7999999999999999E-2</v>
      </c>
      <c r="I35" t="s">
        <v>250</v>
      </c>
      <c r="J35" t="s">
        <v>690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27</v>
      </c>
      <c r="B37" t="s">
        <v>2210</v>
      </c>
      <c r="C37" t="s">
        <v>29</v>
      </c>
      <c r="D37" t="s">
        <v>691</v>
      </c>
      <c r="E37" t="s">
        <v>31</v>
      </c>
      <c r="F37" t="s">
        <v>692</v>
      </c>
    </row>
    <row r="38" spans="1:11" x14ac:dyDescent="0.25">
      <c r="D38" t="s">
        <v>161</v>
      </c>
      <c r="E38">
        <v>2457654.3776980001</v>
      </c>
      <c r="F38" t="s">
        <v>2211</v>
      </c>
      <c r="G38">
        <v>13.744</v>
      </c>
      <c r="H38">
        <v>3.1E-2</v>
      </c>
      <c r="I38" t="s">
        <v>18</v>
      </c>
      <c r="J38" t="s">
        <v>690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27</v>
      </c>
      <c r="B40" t="s">
        <v>2212</v>
      </c>
      <c r="C40" t="s">
        <v>29</v>
      </c>
      <c r="D40" t="s">
        <v>691</v>
      </c>
      <c r="E40" t="s">
        <v>31</v>
      </c>
      <c r="F40" t="s">
        <v>692</v>
      </c>
    </row>
    <row r="41" spans="1:11" x14ac:dyDescent="0.25">
      <c r="D41" t="s">
        <v>161</v>
      </c>
      <c r="E41">
        <v>2457654.376627</v>
      </c>
      <c r="F41" t="s">
        <v>2213</v>
      </c>
      <c r="G41">
        <v>15.436</v>
      </c>
      <c r="H41">
        <v>4.8000000000000001E-2</v>
      </c>
      <c r="I41" t="s">
        <v>34</v>
      </c>
      <c r="J41" t="s">
        <v>690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27</v>
      </c>
      <c r="B43" t="s">
        <v>2064</v>
      </c>
      <c r="C43" t="s">
        <v>29</v>
      </c>
      <c r="D43" t="s">
        <v>691</v>
      </c>
      <c r="E43" t="s">
        <v>31</v>
      </c>
      <c r="F43" t="s">
        <v>692</v>
      </c>
    </row>
    <row r="44" spans="1:11" x14ac:dyDescent="0.25">
      <c r="D44" t="s">
        <v>161</v>
      </c>
      <c r="E44">
        <v>2457646.346496</v>
      </c>
      <c r="F44" t="s">
        <v>2214</v>
      </c>
      <c r="G44">
        <v>11.898999999999999</v>
      </c>
      <c r="H44">
        <v>3.4000000000000002E-2</v>
      </c>
      <c r="I44" t="s">
        <v>250</v>
      </c>
      <c r="J44" t="s">
        <v>690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27</v>
      </c>
      <c r="B46" t="s">
        <v>2215</v>
      </c>
      <c r="C46" t="s">
        <v>29</v>
      </c>
      <c r="D46" t="s">
        <v>691</v>
      </c>
      <c r="E46" t="s">
        <v>31</v>
      </c>
      <c r="F46" t="s">
        <v>692</v>
      </c>
    </row>
    <row r="47" spans="1:11" x14ac:dyDescent="0.25">
      <c r="D47" t="s">
        <v>161</v>
      </c>
      <c r="E47">
        <v>2457646.3457280002</v>
      </c>
      <c r="F47" t="s">
        <v>2216</v>
      </c>
      <c r="G47">
        <v>13.627000000000001</v>
      </c>
      <c r="H47">
        <v>2.5000000000000001E-2</v>
      </c>
      <c r="I47" t="s">
        <v>18</v>
      </c>
      <c r="J47" t="s">
        <v>690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27</v>
      </c>
      <c r="B49" t="s">
        <v>2217</v>
      </c>
      <c r="C49" t="s">
        <v>29</v>
      </c>
      <c r="D49" t="s">
        <v>691</v>
      </c>
      <c r="E49" t="s">
        <v>31</v>
      </c>
      <c r="F49" t="s">
        <v>692</v>
      </c>
    </row>
    <row r="50" spans="1:11" x14ac:dyDescent="0.25">
      <c r="D50" t="s">
        <v>161</v>
      </c>
      <c r="E50">
        <v>2457646.3446570002</v>
      </c>
      <c r="F50" t="s">
        <v>2218</v>
      </c>
      <c r="G50">
        <v>15.432</v>
      </c>
      <c r="H50">
        <v>1.9E-2</v>
      </c>
      <c r="I50" t="s">
        <v>34</v>
      </c>
      <c r="J50" t="s">
        <v>690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27</v>
      </c>
      <c r="B52" t="s">
        <v>2219</v>
      </c>
      <c r="C52" t="s">
        <v>29</v>
      </c>
      <c r="D52" t="s">
        <v>691</v>
      </c>
      <c r="E52" t="s">
        <v>31</v>
      </c>
      <c r="F52" t="s">
        <v>692</v>
      </c>
    </row>
    <row r="53" spans="1:11" x14ac:dyDescent="0.25">
      <c r="D53" t="s">
        <v>161</v>
      </c>
      <c r="E53">
        <v>2457639.3511589998</v>
      </c>
      <c r="F53" t="s">
        <v>2047</v>
      </c>
      <c r="G53">
        <v>11.907</v>
      </c>
      <c r="H53">
        <v>2.1000000000000001E-2</v>
      </c>
      <c r="I53" t="s">
        <v>250</v>
      </c>
      <c r="J53" t="s">
        <v>690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27</v>
      </c>
      <c r="B55" t="s">
        <v>2048</v>
      </c>
      <c r="C55" t="s">
        <v>29</v>
      </c>
      <c r="D55" t="s">
        <v>691</v>
      </c>
      <c r="E55" t="s">
        <v>31</v>
      </c>
      <c r="F55" t="s">
        <v>692</v>
      </c>
    </row>
    <row r="56" spans="1:11" x14ac:dyDescent="0.25">
      <c r="D56" t="s">
        <v>161</v>
      </c>
      <c r="E56">
        <v>2457639.3503979999</v>
      </c>
      <c r="F56" t="s">
        <v>2049</v>
      </c>
      <c r="G56">
        <v>13.579000000000001</v>
      </c>
      <c r="H56">
        <v>2.7E-2</v>
      </c>
      <c r="I56" t="s">
        <v>18</v>
      </c>
      <c r="J56" t="s">
        <v>690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27</v>
      </c>
      <c r="B58" t="s">
        <v>2050</v>
      </c>
      <c r="C58" t="s">
        <v>29</v>
      </c>
      <c r="D58" t="s">
        <v>691</v>
      </c>
      <c r="E58" t="s">
        <v>31</v>
      </c>
      <c r="F58" t="s">
        <v>692</v>
      </c>
    </row>
    <row r="59" spans="1:11" x14ac:dyDescent="0.25">
      <c r="D59" t="s">
        <v>161</v>
      </c>
      <c r="E59">
        <v>2457639.34932</v>
      </c>
      <c r="F59" t="s">
        <v>2051</v>
      </c>
      <c r="G59">
        <v>15.334</v>
      </c>
      <c r="H59">
        <v>4.5999999999999999E-2</v>
      </c>
      <c r="I59" t="s">
        <v>34</v>
      </c>
      <c r="J59" t="s">
        <v>690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27</v>
      </c>
      <c r="B61" t="s">
        <v>2052</v>
      </c>
      <c r="C61" t="s">
        <v>29</v>
      </c>
      <c r="D61" t="s">
        <v>691</v>
      </c>
      <c r="E61" t="s">
        <v>31</v>
      </c>
      <c r="F61" t="s">
        <v>692</v>
      </c>
    </row>
    <row r="62" spans="1:11" x14ac:dyDescent="0.25">
      <c r="D62" t="s">
        <v>161</v>
      </c>
      <c r="E62">
        <v>2457632.3854990001</v>
      </c>
      <c r="F62" t="s">
        <v>2053</v>
      </c>
      <c r="G62">
        <v>11.914</v>
      </c>
      <c r="H62">
        <v>1.7999999999999999E-2</v>
      </c>
      <c r="I62" t="s">
        <v>250</v>
      </c>
      <c r="J62" t="s">
        <v>690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27</v>
      </c>
      <c r="B64" t="s">
        <v>2054</v>
      </c>
      <c r="C64" t="s">
        <v>29</v>
      </c>
      <c r="D64" t="s">
        <v>691</v>
      </c>
      <c r="E64" t="s">
        <v>31</v>
      </c>
      <c r="F64" t="s">
        <v>692</v>
      </c>
    </row>
    <row r="65" spans="1:11" x14ac:dyDescent="0.25">
      <c r="D65" t="s">
        <v>161</v>
      </c>
      <c r="E65">
        <v>2457632.3847150002</v>
      </c>
      <c r="F65" t="s">
        <v>2055</v>
      </c>
      <c r="G65">
        <v>13.593</v>
      </c>
      <c r="H65">
        <v>2.1999999999999999E-2</v>
      </c>
      <c r="I65" t="s">
        <v>18</v>
      </c>
      <c r="J65" t="s">
        <v>690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27</v>
      </c>
      <c r="B67" t="s">
        <v>2056</v>
      </c>
      <c r="C67" t="s">
        <v>29</v>
      </c>
      <c r="D67" t="s">
        <v>691</v>
      </c>
      <c r="E67" t="s">
        <v>31</v>
      </c>
      <c r="F67" t="s">
        <v>692</v>
      </c>
    </row>
    <row r="68" spans="1:11" x14ac:dyDescent="0.25">
      <c r="D68" t="s">
        <v>161</v>
      </c>
      <c r="E68">
        <v>2457632.383647</v>
      </c>
      <c r="F68" t="s">
        <v>2057</v>
      </c>
      <c r="G68">
        <v>15.384</v>
      </c>
      <c r="H68">
        <v>2.5999999999999999E-2</v>
      </c>
      <c r="I68" t="s">
        <v>34</v>
      </c>
      <c r="J68" t="s">
        <v>690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2058</v>
      </c>
      <c r="C70" t="s">
        <v>29</v>
      </c>
      <c r="D70" t="s">
        <v>691</v>
      </c>
      <c r="E70" t="s">
        <v>31</v>
      </c>
      <c r="F70" t="s">
        <v>692</v>
      </c>
    </row>
    <row r="71" spans="1:11" x14ac:dyDescent="0.25">
      <c r="D71" t="s">
        <v>161</v>
      </c>
      <c r="E71">
        <v>2457627.3795139999</v>
      </c>
      <c r="F71" t="s">
        <v>2059</v>
      </c>
      <c r="G71">
        <v>11.875</v>
      </c>
      <c r="H71">
        <v>2.5999999999999999E-2</v>
      </c>
      <c r="I71" t="s">
        <v>250</v>
      </c>
      <c r="J71" t="s">
        <v>690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27</v>
      </c>
      <c r="B73" t="s">
        <v>2060</v>
      </c>
      <c r="C73" t="s">
        <v>29</v>
      </c>
      <c r="D73" t="s">
        <v>691</v>
      </c>
      <c r="E73" t="s">
        <v>31</v>
      </c>
      <c r="F73" t="s">
        <v>692</v>
      </c>
    </row>
    <row r="74" spans="1:11" x14ac:dyDescent="0.25">
      <c r="D74" t="s">
        <v>161</v>
      </c>
      <c r="E74">
        <v>2457627.378728</v>
      </c>
      <c r="F74" t="s">
        <v>2061</v>
      </c>
      <c r="G74">
        <v>13.592000000000001</v>
      </c>
      <c r="H74">
        <v>3.4000000000000002E-2</v>
      </c>
      <c r="I74" t="s">
        <v>18</v>
      </c>
      <c r="J74" t="s">
        <v>690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27</v>
      </c>
      <c r="B76" t="s">
        <v>2062</v>
      </c>
      <c r="C76" t="s">
        <v>29</v>
      </c>
      <c r="D76" t="s">
        <v>691</v>
      </c>
      <c r="E76" t="s">
        <v>31</v>
      </c>
      <c r="F76" t="s">
        <v>692</v>
      </c>
    </row>
    <row r="77" spans="1:11" x14ac:dyDescent="0.25">
      <c r="D77" t="s">
        <v>161</v>
      </c>
      <c r="E77">
        <v>2457627.377657</v>
      </c>
      <c r="F77" t="s">
        <v>2063</v>
      </c>
      <c r="G77">
        <v>15.359</v>
      </c>
      <c r="H77">
        <v>0.04</v>
      </c>
      <c r="I77" t="s">
        <v>34</v>
      </c>
      <c r="J77" t="s">
        <v>690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27</v>
      </c>
      <c r="B79" t="s">
        <v>2064</v>
      </c>
      <c r="C79" t="s">
        <v>29</v>
      </c>
      <c r="D79" t="s">
        <v>691</v>
      </c>
      <c r="E79" t="s">
        <v>31</v>
      </c>
      <c r="F79" t="s">
        <v>692</v>
      </c>
    </row>
    <row r="80" spans="1:11" x14ac:dyDescent="0.25">
      <c r="D80" t="s">
        <v>161</v>
      </c>
      <c r="E80">
        <v>2457624.3997809999</v>
      </c>
      <c r="F80" t="s">
        <v>2065</v>
      </c>
      <c r="G80">
        <v>11.916</v>
      </c>
      <c r="H80">
        <v>2.1000000000000001E-2</v>
      </c>
      <c r="I80" t="s">
        <v>250</v>
      </c>
      <c r="J80" t="s">
        <v>690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27</v>
      </c>
      <c r="B82" t="s">
        <v>2066</v>
      </c>
      <c r="C82" t="s">
        <v>29</v>
      </c>
      <c r="D82" t="s">
        <v>691</v>
      </c>
      <c r="E82" t="s">
        <v>31</v>
      </c>
      <c r="F82" t="s">
        <v>692</v>
      </c>
    </row>
    <row r="83" spans="1:11" x14ac:dyDescent="0.25">
      <c r="D83" t="s">
        <v>161</v>
      </c>
      <c r="E83">
        <v>2457624.398999</v>
      </c>
      <c r="F83" t="s">
        <v>2067</v>
      </c>
      <c r="G83">
        <v>13.606</v>
      </c>
      <c r="H83">
        <v>0.03</v>
      </c>
      <c r="I83" t="s">
        <v>18</v>
      </c>
      <c r="J83" t="s">
        <v>690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27</v>
      </c>
      <c r="B85" t="s">
        <v>2068</v>
      </c>
      <c r="C85" t="s">
        <v>29</v>
      </c>
      <c r="D85" t="s">
        <v>691</v>
      </c>
      <c r="E85" t="s">
        <v>31</v>
      </c>
      <c r="F85" t="s">
        <v>692</v>
      </c>
    </row>
    <row r="86" spans="1:11" x14ac:dyDescent="0.25">
      <c r="D86" t="s">
        <v>161</v>
      </c>
      <c r="E86">
        <v>2457624.3979170001</v>
      </c>
      <c r="F86" t="s">
        <v>2069</v>
      </c>
      <c r="G86">
        <v>15.324</v>
      </c>
      <c r="H86">
        <v>3.2000000000000001E-2</v>
      </c>
      <c r="I86" t="s">
        <v>34</v>
      </c>
      <c r="J86" t="s">
        <v>690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27</v>
      </c>
      <c r="B88" t="s">
        <v>2070</v>
      </c>
      <c r="C88" t="s">
        <v>29</v>
      </c>
      <c r="D88" t="s">
        <v>691</v>
      </c>
      <c r="E88" t="s">
        <v>31</v>
      </c>
      <c r="F88" t="s">
        <v>692</v>
      </c>
    </row>
    <row r="89" spans="1:11" x14ac:dyDescent="0.25">
      <c r="D89" t="s">
        <v>161</v>
      </c>
      <c r="E89">
        <v>2457621.4064509999</v>
      </c>
      <c r="F89" t="s">
        <v>1918</v>
      </c>
      <c r="G89">
        <v>11.885999999999999</v>
      </c>
      <c r="H89">
        <v>2.7E-2</v>
      </c>
      <c r="I89" t="s">
        <v>250</v>
      </c>
      <c r="J89" t="s">
        <v>690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27</v>
      </c>
      <c r="B91" t="s">
        <v>1919</v>
      </c>
      <c r="C91" t="s">
        <v>29</v>
      </c>
      <c r="D91" t="s">
        <v>691</v>
      </c>
      <c r="E91" t="s">
        <v>31</v>
      </c>
      <c r="F91" t="s">
        <v>692</v>
      </c>
    </row>
    <row r="92" spans="1:11" x14ac:dyDescent="0.25">
      <c r="A92" t="s">
        <v>2071</v>
      </c>
    </row>
  </sheetData>
  <hyperlinks>
    <hyperlink ref="L1" r:id="rId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Q55"/>
  <sheetViews>
    <sheetView workbookViewId="0">
      <selection activeCell="E25" sqref="E25"/>
    </sheetView>
  </sheetViews>
  <sheetFormatPr baseColWidth="10" defaultRowHeight="15" x14ac:dyDescent="0.25"/>
  <cols>
    <col min="1" max="2" width="11.42578125" customWidth="1"/>
    <col min="3" max="3" width="12.28515625" bestFit="1" customWidth="1"/>
    <col min="4" max="4" width="9.5703125" customWidth="1"/>
    <col min="5" max="5" width="15.5703125" bestFit="1" customWidth="1"/>
    <col min="6" max="6" width="74.5703125" customWidth="1"/>
    <col min="7" max="7" width="10.5703125" customWidth="1"/>
    <col min="8" max="8" width="5.28515625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649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650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651</v>
      </c>
      <c r="E17">
        <v>2456355.0109999999</v>
      </c>
      <c r="F17" t="s">
        <v>652</v>
      </c>
      <c r="G17">
        <v>13.17</v>
      </c>
      <c r="H17">
        <v>0.08</v>
      </c>
      <c r="I17" t="s">
        <v>18</v>
      </c>
      <c r="J17" t="s">
        <v>260</v>
      </c>
      <c r="K17" t="s">
        <v>20</v>
      </c>
      <c r="M17" t="str">
        <f>+I17</f>
        <v>V</v>
      </c>
      <c r="N17">
        <f>+G17</f>
        <v>13.17</v>
      </c>
      <c r="O17" t="str">
        <f>+J17</f>
        <v>OCN</v>
      </c>
      <c r="P17">
        <f>+E17</f>
        <v>2456355.0109999999</v>
      </c>
      <c r="Q17" t="str">
        <f>+F17</f>
        <v>2013 Mar. 03.51100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B</v>
      </c>
      <c r="N18">
        <f>+G20</f>
        <v>14.58</v>
      </c>
      <c r="O18" t="str">
        <f>+J20</f>
        <v>OCN</v>
      </c>
      <c r="P18">
        <f>+E20</f>
        <v>2456355.0090000001</v>
      </c>
      <c r="Q18" t="str">
        <f>+F20</f>
        <v>2013 Mar. 03.50900</v>
      </c>
    </row>
    <row r="19" spans="1:17" x14ac:dyDescent="0.25">
      <c r="A19" t="s">
        <v>653</v>
      </c>
      <c r="B19" t="s">
        <v>654</v>
      </c>
      <c r="C19" t="s">
        <v>67</v>
      </c>
      <c r="D19" t="s">
        <v>655</v>
      </c>
      <c r="E19" t="s">
        <v>31</v>
      </c>
      <c r="F19" t="s">
        <v>656</v>
      </c>
      <c r="M19" t="str">
        <f>+I23</f>
        <v>V</v>
      </c>
      <c r="N19">
        <f>+G23</f>
        <v>13.74</v>
      </c>
      <c r="O19" t="str">
        <f>+J23</f>
        <v>OCN</v>
      </c>
      <c r="P19">
        <f>+E23</f>
        <v>2456191.605</v>
      </c>
      <c r="Q19" t="str">
        <f>+F23</f>
        <v>2012 Sep. 21.10500</v>
      </c>
    </row>
    <row r="20" spans="1:17" x14ac:dyDescent="0.25">
      <c r="D20" t="s">
        <v>657</v>
      </c>
      <c r="E20">
        <v>2456355.0090000001</v>
      </c>
      <c r="F20" t="s">
        <v>658</v>
      </c>
      <c r="G20">
        <v>14.58</v>
      </c>
      <c r="H20">
        <v>0.08</v>
      </c>
      <c r="I20" t="s">
        <v>34</v>
      </c>
      <c r="J20" t="s">
        <v>260</v>
      </c>
      <c r="K20" t="s">
        <v>20</v>
      </c>
      <c r="M20" t="str">
        <f>+I26</f>
        <v>B</v>
      </c>
      <c r="N20">
        <f>+G26</f>
        <v>15.8</v>
      </c>
      <c r="O20" t="str">
        <f>+J26</f>
        <v>OCN</v>
      </c>
      <c r="P20">
        <f>+E26</f>
        <v>2456191.6030000001</v>
      </c>
      <c r="Q20" t="str">
        <f>+F26</f>
        <v>2012 Sep. 21.10300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11.99</v>
      </c>
      <c r="O21" t="str">
        <f>+J29</f>
        <v>OCN</v>
      </c>
      <c r="P21">
        <f>+E29</f>
        <v>2455299.983</v>
      </c>
      <c r="Q21" t="str">
        <f>+F29</f>
        <v>2010 Apr. 13.48300</v>
      </c>
    </row>
    <row r="22" spans="1:17" x14ac:dyDescent="0.25">
      <c r="A22" t="s">
        <v>659</v>
      </c>
      <c r="B22" t="s">
        <v>660</v>
      </c>
      <c r="C22" t="s">
        <v>67</v>
      </c>
      <c r="D22" t="s">
        <v>655</v>
      </c>
      <c r="E22" t="s">
        <v>31</v>
      </c>
      <c r="F22" t="s">
        <v>31</v>
      </c>
      <c r="M22" t="str">
        <f>+I32</f>
        <v>R</v>
      </c>
      <c r="N22">
        <f>+G32</f>
        <v>10.9</v>
      </c>
      <c r="O22" t="str">
        <f>+J32</f>
        <v>OCN</v>
      </c>
      <c r="P22">
        <f>+E32</f>
        <v>2455273.0019999999</v>
      </c>
      <c r="Q22" t="str">
        <f>+F32</f>
        <v>2010 Mar. 17.50200</v>
      </c>
    </row>
    <row r="23" spans="1:17" x14ac:dyDescent="0.25">
      <c r="D23" t="s">
        <v>657</v>
      </c>
      <c r="E23">
        <v>2456191.605</v>
      </c>
      <c r="F23" t="s">
        <v>661</v>
      </c>
      <c r="G23">
        <v>13.74</v>
      </c>
      <c r="H23">
        <v>0.04</v>
      </c>
      <c r="I23" t="s">
        <v>18</v>
      </c>
      <c r="J23" t="s">
        <v>260</v>
      </c>
      <c r="K23" t="s">
        <v>20</v>
      </c>
      <c r="M23" t="str">
        <f>+I35</f>
        <v>V</v>
      </c>
      <c r="N23">
        <f>+G35</f>
        <v>12.09</v>
      </c>
      <c r="O23" t="str">
        <f>+J35</f>
        <v>OCN</v>
      </c>
      <c r="P23">
        <f>+E35</f>
        <v>2455273.0010000002</v>
      </c>
      <c r="Q23" t="str">
        <f>+F35</f>
        <v>2010 Mar. 17.50100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R</v>
      </c>
      <c r="N24">
        <f>+G38</f>
        <v>11.17</v>
      </c>
      <c r="O24" t="str">
        <f>+J38</f>
        <v>OCN</v>
      </c>
      <c r="P24">
        <f>+E38</f>
        <v>2454952.8659999999</v>
      </c>
      <c r="Q24" t="str">
        <f>+F38</f>
        <v>2009 May. 01.36600</v>
      </c>
    </row>
    <row r="25" spans="1:17" x14ac:dyDescent="0.25">
      <c r="A25" t="s">
        <v>653</v>
      </c>
      <c r="B25" t="s">
        <v>662</v>
      </c>
      <c r="C25" t="s">
        <v>67</v>
      </c>
      <c r="D25" t="s">
        <v>655</v>
      </c>
      <c r="E25" t="s">
        <v>31</v>
      </c>
      <c r="F25" t="s">
        <v>663</v>
      </c>
      <c r="M25" t="str">
        <f>+I41</f>
        <v>V</v>
      </c>
      <c r="N25">
        <f>+G41</f>
        <v>12.66</v>
      </c>
      <c r="O25" t="str">
        <f>+J41</f>
        <v>OCN</v>
      </c>
      <c r="P25">
        <f>+E41</f>
        <v>2454952.8650000002</v>
      </c>
      <c r="Q25" t="str">
        <f>+F41</f>
        <v>2009 May. 01.36500</v>
      </c>
    </row>
    <row r="26" spans="1:17" x14ac:dyDescent="0.25">
      <c r="D26" t="s">
        <v>657</v>
      </c>
      <c r="E26">
        <v>2456191.6030000001</v>
      </c>
      <c r="F26" t="s">
        <v>664</v>
      </c>
      <c r="G26">
        <v>15.8</v>
      </c>
      <c r="H26">
        <v>0.1</v>
      </c>
      <c r="I26" t="s">
        <v>34</v>
      </c>
      <c r="J26" t="s">
        <v>260</v>
      </c>
      <c r="K26" t="s">
        <v>20</v>
      </c>
      <c r="M26" t="str">
        <f>+I44</f>
        <v>I</v>
      </c>
      <c r="N26">
        <f>+G44</f>
        <v>9.14</v>
      </c>
      <c r="O26" t="str">
        <f>+J44</f>
        <v>OCN</v>
      </c>
      <c r="P26">
        <f>+E44</f>
        <v>2454905.9309999999</v>
      </c>
      <c r="Q26" t="str">
        <f>+F44</f>
        <v>2009 Mar. 15.43100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665</v>
      </c>
      <c r="B28" t="s">
        <v>666</v>
      </c>
      <c r="C28" t="s">
        <v>67</v>
      </c>
      <c r="D28" t="s">
        <v>655</v>
      </c>
      <c r="E28" t="s">
        <v>31</v>
      </c>
      <c r="F28" t="s">
        <v>31</v>
      </c>
    </row>
    <row r="29" spans="1:17" x14ac:dyDescent="0.25">
      <c r="D29" t="s">
        <v>657</v>
      </c>
      <c r="E29">
        <v>2455299.983</v>
      </c>
      <c r="F29" t="s">
        <v>667</v>
      </c>
      <c r="G29">
        <v>11.99</v>
      </c>
      <c r="H29">
        <v>0.02</v>
      </c>
      <c r="I29" t="s">
        <v>18</v>
      </c>
      <c r="J29" t="s">
        <v>260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668</v>
      </c>
      <c r="B31" t="s">
        <v>662</v>
      </c>
      <c r="C31" t="s">
        <v>67</v>
      </c>
      <c r="D31" t="s">
        <v>669</v>
      </c>
      <c r="E31" t="s">
        <v>31</v>
      </c>
      <c r="F31" t="s">
        <v>670</v>
      </c>
    </row>
    <row r="32" spans="1:17" x14ac:dyDescent="0.25">
      <c r="D32" t="s">
        <v>657</v>
      </c>
      <c r="E32">
        <v>2455273.0019999999</v>
      </c>
      <c r="F32" t="s">
        <v>671</v>
      </c>
      <c r="G32">
        <v>10.9</v>
      </c>
      <c r="H32">
        <v>0.02</v>
      </c>
      <c r="I32" t="s">
        <v>250</v>
      </c>
      <c r="J32" t="s">
        <v>260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672</v>
      </c>
      <c r="B34" t="s">
        <v>673</v>
      </c>
      <c r="C34" t="s">
        <v>67</v>
      </c>
      <c r="D34" t="s">
        <v>669</v>
      </c>
      <c r="E34" t="s">
        <v>31</v>
      </c>
      <c r="F34" t="s">
        <v>674</v>
      </c>
    </row>
    <row r="35" spans="1:11" x14ac:dyDescent="0.25">
      <c r="D35" t="s">
        <v>657</v>
      </c>
      <c r="E35">
        <v>2455273.0010000002</v>
      </c>
      <c r="F35" t="s">
        <v>675</v>
      </c>
      <c r="G35">
        <v>12.09</v>
      </c>
      <c r="H35">
        <v>0.03</v>
      </c>
      <c r="I35" t="s">
        <v>18</v>
      </c>
      <c r="J35" t="s">
        <v>260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668</v>
      </c>
      <c r="B37" t="s">
        <v>662</v>
      </c>
      <c r="C37" t="s">
        <v>67</v>
      </c>
      <c r="D37" t="s">
        <v>669</v>
      </c>
      <c r="E37" t="s">
        <v>31</v>
      </c>
      <c r="F37" t="s">
        <v>31</v>
      </c>
    </row>
    <row r="38" spans="1:11" x14ac:dyDescent="0.25">
      <c r="D38" t="s">
        <v>657</v>
      </c>
      <c r="E38">
        <v>2454952.8659999999</v>
      </c>
      <c r="F38" t="s">
        <v>676</v>
      </c>
      <c r="G38">
        <v>11.17</v>
      </c>
      <c r="H38">
        <v>0.02</v>
      </c>
      <c r="I38" t="s">
        <v>250</v>
      </c>
      <c r="J38" t="s">
        <v>260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672</v>
      </c>
      <c r="B40" t="s">
        <v>673</v>
      </c>
      <c r="C40" t="s">
        <v>67</v>
      </c>
      <c r="D40" t="s">
        <v>669</v>
      </c>
      <c r="E40" t="s">
        <v>31</v>
      </c>
      <c r="F40" t="s">
        <v>677</v>
      </c>
    </row>
    <row r="41" spans="1:11" x14ac:dyDescent="0.25">
      <c r="D41" t="s">
        <v>657</v>
      </c>
      <c r="E41">
        <v>2454952.8650000002</v>
      </c>
      <c r="F41" t="s">
        <v>678</v>
      </c>
      <c r="G41">
        <v>12.66</v>
      </c>
      <c r="H41">
        <v>0.03</v>
      </c>
      <c r="I41" t="s">
        <v>18</v>
      </c>
      <c r="J41" t="s">
        <v>260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668</v>
      </c>
      <c r="B43" t="s">
        <v>662</v>
      </c>
      <c r="C43" t="s">
        <v>67</v>
      </c>
      <c r="D43" t="s">
        <v>669</v>
      </c>
      <c r="E43" t="s">
        <v>31</v>
      </c>
      <c r="F43" t="s">
        <v>31</v>
      </c>
    </row>
    <row r="44" spans="1:11" x14ac:dyDescent="0.25">
      <c r="D44" t="s">
        <v>657</v>
      </c>
      <c r="E44">
        <v>2454905.9309999999</v>
      </c>
      <c r="F44" t="s">
        <v>679</v>
      </c>
      <c r="G44">
        <v>9.14</v>
      </c>
      <c r="H44">
        <v>0.02</v>
      </c>
      <c r="I44" t="s">
        <v>249</v>
      </c>
      <c r="J44" t="s">
        <v>260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680</v>
      </c>
      <c r="B46" t="s">
        <v>681</v>
      </c>
      <c r="C46" t="s">
        <v>67</v>
      </c>
      <c r="D46" t="s">
        <v>669</v>
      </c>
      <c r="E46" t="s">
        <v>31</v>
      </c>
      <c r="F46" t="s">
        <v>682</v>
      </c>
    </row>
    <row r="47" spans="1:11" x14ac:dyDescent="0.25">
      <c r="D47" t="s">
        <v>657</v>
      </c>
      <c r="E47">
        <v>2454905.9300000002</v>
      </c>
      <c r="F47" t="s">
        <v>683</v>
      </c>
      <c r="G47">
        <v>12.36</v>
      </c>
      <c r="H47">
        <v>0.03</v>
      </c>
      <c r="I47" t="s">
        <v>18</v>
      </c>
      <c r="J47" t="s">
        <v>260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668</v>
      </c>
      <c r="B49" t="s">
        <v>662</v>
      </c>
      <c r="C49" t="s">
        <v>67</v>
      </c>
      <c r="D49" t="s">
        <v>669</v>
      </c>
      <c r="E49" t="s">
        <v>31</v>
      </c>
      <c r="F49" t="s">
        <v>684</v>
      </c>
    </row>
    <row r="50" spans="1:11" x14ac:dyDescent="0.25">
      <c r="D50" t="s">
        <v>657</v>
      </c>
      <c r="E50">
        <v>2453664.5021000002</v>
      </c>
      <c r="F50" t="s">
        <v>685</v>
      </c>
      <c r="G50">
        <v>11.22</v>
      </c>
      <c r="H50" t="s">
        <v>31</v>
      </c>
      <c r="I50" t="s">
        <v>250</v>
      </c>
      <c r="J50" t="s">
        <v>260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>
        <v>1288</v>
      </c>
      <c r="B52" t="s">
        <v>31</v>
      </c>
      <c r="C52" t="s">
        <v>67</v>
      </c>
      <c r="D52" t="s">
        <v>686</v>
      </c>
      <c r="E52" t="s">
        <v>31</v>
      </c>
      <c r="F52" t="s">
        <v>31</v>
      </c>
    </row>
    <row r="53" spans="1:11" x14ac:dyDescent="0.25">
      <c r="D53" t="s">
        <v>657</v>
      </c>
      <c r="E53">
        <v>2453664.4986</v>
      </c>
      <c r="F53" t="s">
        <v>687</v>
      </c>
      <c r="G53">
        <v>12.95</v>
      </c>
      <c r="H53" t="s">
        <v>31</v>
      </c>
      <c r="I53" t="s">
        <v>18</v>
      </c>
      <c r="J53" t="s">
        <v>260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>
        <v>1331</v>
      </c>
      <c r="B55" t="s">
        <v>31</v>
      </c>
      <c r="C55" t="s">
        <v>67</v>
      </c>
      <c r="D55" t="s">
        <v>686</v>
      </c>
      <c r="E55" t="s">
        <v>31</v>
      </c>
      <c r="F55" t="s">
        <v>31</v>
      </c>
    </row>
  </sheetData>
  <hyperlinks>
    <hyperlink ref="L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Q92"/>
  <sheetViews>
    <sheetView workbookViewId="0">
      <selection activeCell="B13" sqref="B13"/>
    </sheetView>
  </sheetViews>
  <sheetFormatPr baseColWidth="10" defaultRowHeight="15" x14ac:dyDescent="0.25"/>
  <cols>
    <col min="1" max="2" width="19.5703125" customWidth="1"/>
    <col min="3" max="3" width="12.28515625" bestFit="1" customWidth="1"/>
    <col min="4" max="4" width="15.28515625" customWidth="1"/>
    <col min="5" max="5" width="15.5703125" bestFit="1" customWidth="1"/>
    <col min="6" max="6" width="38.28515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1218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2448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1219</v>
      </c>
      <c r="E17">
        <v>2457714.3111100001</v>
      </c>
      <c r="F17" t="s">
        <v>2449</v>
      </c>
      <c r="G17">
        <v>12.03</v>
      </c>
      <c r="H17">
        <v>0.02</v>
      </c>
      <c r="I17" t="s">
        <v>18</v>
      </c>
      <c r="J17" t="s">
        <v>254</v>
      </c>
      <c r="K17" t="s">
        <v>20</v>
      </c>
      <c r="M17" t="str">
        <f>+I17</f>
        <v>V</v>
      </c>
      <c r="N17">
        <f>+G17</f>
        <v>12.03</v>
      </c>
      <c r="O17" t="str">
        <f>+J17</f>
        <v>TIA</v>
      </c>
      <c r="P17">
        <f>+E17</f>
        <v>2457714.3111100001</v>
      </c>
      <c r="Q17" t="str">
        <f>+F17</f>
        <v>2016 Nov. 21.81111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11.882999999999999</v>
      </c>
      <c r="O18" t="str">
        <f>+J20</f>
        <v>MZK</v>
      </c>
      <c r="P18">
        <f>+E20</f>
        <v>2457700.6723799999</v>
      </c>
      <c r="Q18" t="str">
        <f>+F20</f>
        <v>2016 Nov. 08.17238</v>
      </c>
    </row>
    <row r="19" spans="1:17" x14ac:dyDescent="0.25">
      <c r="A19" t="s">
        <v>2077</v>
      </c>
      <c r="B19" t="s">
        <v>2078</v>
      </c>
      <c r="C19" t="s">
        <v>67</v>
      </c>
      <c r="D19" t="s">
        <v>2079</v>
      </c>
      <c r="E19" t="s">
        <v>31</v>
      </c>
      <c r="F19" t="s">
        <v>31</v>
      </c>
      <c r="M19" t="str">
        <f>+I23</f>
        <v>V</v>
      </c>
      <c r="N19">
        <f>+G23</f>
        <v>11.714</v>
      </c>
      <c r="O19" t="str">
        <f>+J23</f>
        <v>DKS</v>
      </c>
      <c r="P19">
        <f>+E23</f>
        <v>2457695.6051599998</v>
      </c>
      <c r="Q19" t="str">
        <f>+F23</f>
        <v>2016 Nov. 03.10516</v>
      </c>
    </row>
    <row r="20" spans="1:17" x14ac:dyDescent="0.25">
      <c r="D20" t="s">
        <v>1219</v>
      </c>
      <c r="E20">
        <v>2457700.6723799999</v>
      </c>
      <c r="F20" t="s">
        <v>2450</v>
      </c>
      <c r="G20">
        <v>11.882999999999999</v>
      </c>
      <c r="H20">
        <v>2.9000000000000001E-2</v>
      </c>
      <c r="I20" t="s">
        <v>18</v>
      </c>
      <c r="J20" t="s">
        <v>361</v>
      </c>
      <c r="K20" t="s">
        <v>20</v>
      </c>
      <c r="M20" t="str">
        <f>+I26</f>
        <v>V</v>
      </c>
      <c r="N20">
        <f>+G26</f>
        <v>11.669</v>
      </c>
      <c r="O20" t="str">
        <f>+J26</f>
        <v>DKS</v>
      </c>
      <c r="P20">
        <f>+E26</f>
        <v>2457694.7272000001</v>
      </c>
      <c r="Q20" t="str">
        <f>+F26</f>
        <v>2016 Nov. 02.22720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TG</v>
      </c>
      <c r="N21">
        <f>+G29</f>
        <v>11.73</v>
      </c>
      <c r="O21" t="str">
        <f>+J29</f>
        <v>MEV</v>
      </c>
      <c r="P21">
        <f>+E29</f>
        <v>2457693.5720000002</v>
      </c>
      <c r="Q21" t="str">
        <f>+F29</f>
        <v>2016 Nov. 01.07200</v>
      </c>
    </row>
    <row r="22" spans="1:17" x14ac:dyDescent="0.25">
      <c r="A22" t="s">
        <v>27</v>
      </c>
      <c r="B22" t="s">
        <v>2451</v>
      </c>
      <c r="C22" t="s">
        <v>67</v>
      </c>
      <c r="D22" t="s">
        <v>2452</v>
      </c>
      <c r="E22" t="s">
        <v>31</v>
      </c>
      <c r="F22" t="s">
        <v>31</v>
      </c>
      <c r="M22" t="str">
        <f>+I32</f>
        <v>V</v>
      </c>
      <c r="N22">
        <f>+G32</f>
        <v>11.618</v>
      </c>
      <c r="O22" t="str">
        <f>+J32</f>
        <v>BDG</v>
      </c>
      <c r="P22">
        <f>+E32</f>
        <v>2457693.39011</v>
      </c>
      <c r="Q22" t="str">
        <f>+F32</f>
        <v>2016 Oct. 31.89011</v>
      </c>
    </row>
    <row r="23" spans="1:17" x14ac:dyDescent="0.25">
      <c r="D23" t="s">
        <v>1219</v>
      </c>
      <c r="E23">
        <v>2457695.6051599998</v>
      </c>
      <c r="F23" t="s">
        <v>2453</v>
      </c>
      <c r="G23">
        <v>11.714</v>
      </c>
      <c r="H23">
        <v>6.0000000000000001E-3</v>
      </c>
      <c r="I23" t="s">
        <v>18</v>
      </c>
      <c r="J23" t="s">
        <v>252</v>
      </c>
      <c r="K23" t="s">
        <v>20</v>
      </c>
      <c r="M23" t="str">
        <f>+I35</f>
        <v>B</v>
      </c>
      <c r="N23">
        <f>+G35</f>
        <v>12.526999999999999</v>
      </c>
      <c r="O23" t="str">
        <f>+J35</f>
        <v>BDG</v>
      </c>
      <c r="P23">
        <f>+E35</f>
        <v>2457693.3898</v>
      </c>
      <c r="Q23" t="str">
        <f>+F35</f>
        <v>2016 Oct. 31.88980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TG</v>
      </c>
      <c r="N24">
        <f>+G38</f>
        <v>11.6</v>
      </c>
      <c r="O24" t="str">
        <f>+J38</f>
        <v>MEV</v>
      </c>
      <c r="P24">
        <f>+E38</f>
        <v>2457691.5290000001</v>
      </c>
      <c r="Q24" t="str">
        <f>+F38</f>
        <v>2016 Oct. 30.02900</v>
      </c>
    </row>
    <row r="25" spans="1:17" x14ac:dyDescent="0.25">
      <c r="A25" t="s">
        <v>1221</v>
      </c>
      <c r="B25" t="s">
        <v>2454</v>
      </c>
      <c r="C25" t="s">
        <v>67</v>
      </c>
      <c r="D25" t="s">
        <v>1222</v>
      </c>
      <c r="E25" t="s">
        <v>31</v>
      </c>
      <c r="F25" t="s">
        <v>253</v>
      </c>
      <c r="M25" t="str">
        <f>+I41</f>
        <v>TG</v>
      </c>
      <c r="N25">
        <f>+G41</f>
        <v>11.56</v>
      </c>
      <c r="O25" t="str">
        <f>+J41</f>
        <v>MEV</v>
      </c>
      <c r="P25">
        <f>+E41</f>
        <v>2457690.5180000002</v>
      </c>
      <c r="Q25" t="str">
        <f>+F41</f>
        <v>2016 Oct. 29.01800</v>
      </c>
    </row>
    <row r="26" spans="1:17" x14ac:dyDescent="0.25">
      <c r="D26" t="s">
        <v>1219</v>
      </c>
      <c r="E26">
        <v>2457694.7272000001</v>
      </c>
      <c r="F26" t="s">
        <v>2455</v>
      </c>
      <c r="G26">
        <v>11.669</v>
      </c>
      <c r="H26">
        <v>5.0000000000000001E-3</v>
      </c>
      <c r="I26" t="s">
        <v>18</v>
      </c>
      <c r="J26" t="s">
        <v>252</v>
      </c>
      <c r="K26" t="s">
        <v>20</v>
      </c>
      <c r="M26" t="str">
        <f>+I44</f>
        <v>V</v>
      </c>
      <c r="N26">
        <f>+G44</f>
        <v>11.249000000000001</v>
      </c>
      <c r="O26" t="str">
        <f>+J44</f>
        <v>DKS</v>
      </c>
      <c r="P26">
        <f>+E44</f>
        <v>2457681.6907100002</v>
      </c>
      <c r="Q26" t="str">
        <f>+F44</f>
        <v>2016 Oct. 20.19071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1221</v>
      </c>
      <c r="B28" t="s">
        <v>2454</v>
      </c>
      <c r="C28" t="s">
        <v>67</v>
      </c>
      <c r="D28" t="s">
        <v>1222</v>
      </c>
      <c r="E28" t="s">
        <v>31</v>
      </c>
      <c r="F28" t="s">
        <v>253</v>
      </c>
    </row>
    <row r="29" spans="1:17" x14ac:dyDescent="0.25">
      <c r="D29" t="s">
        <v>1219</v>
      </c>
      <c r="E29">
        <v>2457693.5720000002</v>
      </c>
      <c r="F29" t="s">
        <v>2456</v>
      </c>
      <c r="G29">
        <v>11.73</v>
      </c>
      <c r="H29">
        <v>0.05</v>
      </c>
      <c r="I29" t="s">
        <v>65</v>
      </c>
      <c r="J29" t="s">
        <v>66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27</v>
      </c>
      <c r="B31" t="s">
        <v>31</v>
      </c>
      <c r="C31" t="s">
        <v>67</v>
      </c>
      <c r="D31" t="s">
        <v>68</v>
      </c>
      <c r="E31" t="s">
        <v>31</v>
      </c>
      <c r="F31" t="s">
        <v>69</v>
      </c>
    </row>
    <row r="32" spans="1:17" x14ac:dyDescent="0.25">
      <c r="D32" t="s">
        <v>1219</v>
      </c>
      <c r="E32">
        <v>2457693.39011</v>
      </c>
      <c r="F32" t="s">
        <v>2457</v>
      </c>
      <c r="G32">
        <v>11.618</v>
      </c>
      <c r="H32">
        <v>8.9999999999999993E-3</v>
      </c>
      <c r="I32" t="s">
        <v>18</v>
      </c>
      <c r="J32" t="s">
        <v>19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27</v>
      </c>
      <c r="B34" t="s">
        <v>2458</v>
      </c>
      <c r="C34" t="s">
        <v>29</v>
      </c>
      <c r="D34" t="s">
        <v>1220</v>
      </c>
      <c r="E34" t="s">
        <v>31</v>
      </c>
      <c r="F34" t="s">
        <v>1177</v>
      </c>
    </row>
    <row r="35" spans="1:11" x14ac:dyDescent="0.25">
      <c r="D35" t="s">
        <v>1219</v>
      </c>
      <c r="E35">
        <v>2457693.3898</v>
      </c>
      <c r="F35" t="s">
        <v>2459</v>
      </c>
      <c r="G35">
        <v>12.526999999999999</v>
      </c>
      <c r="H35">
        <v>0.01</v>
      </c>
      <c r="I35" t="s">
        <v>34</v>
      </c>
      <c r="J35" t="s">
        <v>19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27</v>
      </c>
      <c r="B37" t="s">
        <v>2460</v>
      </c>
      <c r="C37" t="s">
        <v>29</v>
      </c>
      <c r="D37" t="s">
        <v>1220</v>
      </c>
      <c r="E37" t="s">
        <v>31</v>
      </c>
      <c r="F37" t="s">
        <v>1177</v>
      </c>
    </row>
    <row r="38" spans="1:11" x14ac:dyDescent="0.25">
      <c r="D38" t="s">
        <v>1219</v>
      </c>
      <c r="E38">
        <v>2457691.5290000001</v>
      </c>
      <c r="F38" t="s">
        <v>2461</v>
      </c>
      <c r="G38">
        <v>11.6</v>
      </c>
      <c r="H38">
        <v>0.05</v>
      </c>
      <c r="I38" t="s">
        <v>65</v>
      </c>
      <c r="J38" t="s">
        <v>66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27</v>
      </c>
      <c r="B40" t="s">
        <v>31</v>
      </c>
      <c r="C40" t="s">
        <v>67</v>
      </c>
      <c r="D40" t="s">
        <v>68</v>
      </c>
      <c r="E40" t="s">
        <v>31</v>
      </c>
      <c r="F40" t="s">
        <v>69</v>
      </c>
    </row>
    <row r="41" spans="1:11" x14ac:dyDescent="0.25">
      <c r="D41" t="s">
        <v>1219</v>
      </c>
      <c r="E41">
        <v>2457690.5180000002</v>
      </c>
      <c r="F41" t="s">
        <v>2462</v>
      </c>
      <c r="G41">
        <v>11.56</v>
      </c>
      <c r="H41">
        <v>0.05</v>
      </c>
      <c r="I41" t="s">
        <v>65</v>
      </c>
      <c r="J41" t="s">
        <v>66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27</v>
      </c>
      <c r="B43" t="s">
        <v>31</v>
      </c>
      <c r="C43" t="s">
        <v>67</v>
      </c>
      <c r="D43" t="s">
        <v>68</v>
      </c>
      <c r="E43" t="s">
        <v>31</v>
      </c>
      <c r="F43" t="s">
        <v>69</v>
      </c>
    </row>
    <row r="44" spans="1:11" x14ac:dyDescent="0.25">
      <c r="D44" t="s">
        <v>1219</v>
      </c>
      <c r="E44">
        <v>2457681.6907100002</v>
      </c>
      <c r="F44" t="s">
        <v>2463</v>
      </c>
      <c r="G44">
        <v>11.249000000000001</v>
      </c>
      <c r="H44">
        <v>5.0000000000000001E-3</v>
      </c>
      <c r="I44" t="s">
        <v>18</v>
      </c>
      <c r="J44" t="s">
        <v>252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1221</v>
      </c>
      <c r="B46" t="s">
        <v>2464</v>
      </c>
      <c r="C46" t="s">
        <v>67</v>
      </c>
      <c r="D46" t="s">
        <v>1222</v>
      </c>
      <c r="E46" t="s">
        <v>31</v>
      </c>
      <c r="F46" t="s">
        <v>253</v>
      </c>
    </row>
    <row r="47" spans="1:11" x14ac:dyDescent="0.25">
      <c r="D47" t="s">
        <v>1219</v>
      </c>
      <c r="E47">
        <v>2457680.6381999999</v>
      </c>
      <c r="F47" t="s">
        <v>2465</v>
      </c>
      <c r="G47">
        <v>11.228999999999999</v>
      </c>
      <c r="H47">
        <v>7.0000000000000001E-3</v>
      </c>
      <c r="I47" t="s">
        <v>18</v>
      </c>
      <c r="J47" t="s">
        <v>252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1221</v>
      </c>
      <c r="B49" t="s">
        <v>2466</v>
      </c>
      <c r="C49" t="s">
        <v>67</v>
      </c>
      <c r="D49" t="s">
        <v>1222</v>
      </c>
      <c r="E49" t="s">
        <v>31</v>
      </c>
      <c r="F49" t="s">
        <v>253</v>
      </c>
    </row>
    <row r="50" spans="1:11" x14ac:dyDescent="0.25">
      <c r="D50" t="s">
        <v>1219</v>
      </c>
      <c r="E50">
        <v>2457670.9070000001</v>
      </c>
      <c r="F50" t="s">
        <v>2467</v>
      </c>
      <c r="G50">
        <v>11.083</v>
      </c>
      <c r="H50">
        <v>4.0000000000000001E-3</v>
      </c>
      <c r="I50" t="s">
        <v>18</v>
      </c>
      <c r="J50" t="s">
        <v>252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1221</v>
      </c>
      <c r="B52" t="s">
        <v>2468</v>
      </c>
      <c r="C52" t="s">
        <v>67</v>
      </c>
      <c r="D52" t="s">
        <v>1222</v>
      </c>
      <c r="E52" t="s">
        <v>31</v>
      </c>
      <c r="F52" t="s">
        <v>253</v>
      </c>
    </row>
    <row r="53" spans="1:11" x14ac:dyDescent="0.25">
      <c r="D53" t="s">
        <v>1219</v>
      </c>
      <c r="E53">
        <v>2457648.9267799999</v>
      </c>
      <c r="F53" t="s">
        <v>2220</v>
      </c>
      <c r="G53">
        <v>11.106999999999999</v>
      </c>
      <c r="H53">
        <v>7.0000000000000001E-3</v>
      </c>
      <c r="I53" t="s">
        <v>18</v>
      </c>
      <c r="J53" t="s">
        <v>252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1221</v>
      </c>
      <c r="B55" t="s">
        <v>2221</v>
      </c>
      <c r="C55" t="s">
        <v>67</v>
      </c>
      <c r="D55" t="s">
        <v>1222</v>
      </c>
      <c r="E55" t="s">
        <v>31</v>
      </c>
      <c r="F55" t="s">
        <v>253</v>
      </c>
    </row>
    <row r="56" spans="1:11" x14ac:dyDescent="0.25">
      <c r="D56" t="s">
        <v>1219</v>
      </c>
      <c r="E56">
        <v>2457645.4139299998</v>
      </c>
      <c r="F56" t="s">
        <v>2222</v>
      </c>
      <c r="G56">
        <v>11.144</v>
      </c>
      <c r="H56">
        <v>1.0999999999999999E-2</v>
      </c>
      <c r="I56" t="s">
        <v>18</v>
      </c>
      <c r="J56" t="s">
        <v>19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27</v>
      </c>
      <c r="B58" t="s">
        <v>2223</v>
      </c>
      <c r="C58" t="s">
        <v>29</v>
      </c>
      <c r="D58" t="s">
        <v>1220</v>
      </c>
      <c r="E58" t="s">
        <v>31</v>
      </c>
      <c r="F58" t="s">
        <v>1064</v>
      </c>
    </row>
    <row r="59" spans="1:11" x14ac:dyDescent="0.25">
      <c r="D59" t="s">
        <v>1219</v>
      </c>
      <c r="E59">
        <v>2457645.4136199998</v>
      </c>
      <c r="F59" t="s">
        <v>2224</v>
      </c>
      <c r="G59">
        <v>12.089</v>
      </c>
      <c r="H59">
        <v>1.4E-2</v>
      </c>
      <c r="I59" t="s">
        <v>34</v>
      </c>
      <c r="J59" t="s">
        <v>19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27</v>
      </c>
      <c r="B61" t="s">
        <v>2225</v>
      </c>
      <c r="C61" t="s">
        <v>29</v>
      </c>
      <c r="D61" t="s">
        <v>1220</v>
      </c>
      <c r="E61" t="s">
        <v>31</v>
      </c>
      <c r="F61" t="s">
        <v>1064</v>
      </c>
    </row>
    <row r="62" spans="1:11" x14ac:dyDescent="0.25">
      <c r="D62" t="s">
        <v>1219</v>
      </c>
      <c r="E62">
        <v>2457640.551</v>
      </c>
      <c r="F62" t="s">
        <v>2072</v>
      </c>
      <c r="G62">
        <v>11.1</v>
      </c>
      <c r="H62">
        <v>0.05</v>
      </c>
      <c r="I62" t="s">
        <v>65</v>
      </c>
      <c r="J62" t="s">
        <v>66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27</v>
      </c>
      <c r="B64" t="s">
        <v>31</v>
      </c>
      <c r="C64" t="s">
        <v>67</v>
      </c>
      <c r="D64" t="s">
        <v>68</v>
      </c>
      <c r="E64" t="s">
        <v>31</v>
      </c>
      <c r="F64" t="s">
        <v>69</v>
      </c>
    </row>
    <row r="65" spans="1:11" x14ac:dyDescent="0.25">
      <c r="D65" t="s">
        <v>1219</v>
      </c>
      <c r="E65">
        <v>2457639.5180600001</v>
      </c>
      <c r="F65" t="s">
        <v>2226</v>
      </c>
      <c r="G65">
        <v>11.09</v>
      </c>
      <c r="H65">
        <v>0.05</v>
      </c>
      <c r="I65" t="s">
        <v>18</v>
      </c>
      <c r="J65" t="s">
        <v>254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2077</v>
      </c>
      <c r="B67" t="s">
        <v>2078</v>
      </c>
      <c r="C67" t="s">
        <v>67</v>
      </c>
      <c r="D67" t="s">
        <v>2079</v>
      </c>
      <c r="E67" t="s">
        <v>31</v>
      </c>
      <c r="F67" t="s">
        <v>31</v>
      </c>
    </row>
    <row r="68" spans="1:11" x14ac:dyDescent="0.25">
      <c r="D68" t="s">
        <v>1219</v>
      </c>
      <c r="E68">
        <v>2457639.5180600001</v>
      </c>
      <c r="F68" t="s">
        <v>2226</v>
      </c>
      <c r="G68">
        <v>11.96</v>
      </c>
      <c r="H68">
        <v>0.05</v>
      </c>
      <c r="I68" t="s">
        <v>34</v>
      </c>
      <c r="J68" t="s">
        <v>254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2227</v>
      </c>
      <c r="B70" t="s">
        <v>2228</v>
      </c>
      <c r="C70" t="s">
        <v>67</v>
      </c>
      <c r="D70" t="s">
        <v>2079</v>
      </c>
      <c r="E70" t="s">
        <v>31</v>
      </c>
      <c r="F70" t="s">
        <v>31</v>
      </c>
    </row>
    <row r="71" spans="1:11" x14ac:dyDescent="0.25">
      <c r="D71" t="s">
        <v>1219</v>
      </c>
      <c r="E71">
        <v>2457638.9251199998</v>
      </c>
      <c r="F71" t="s">
        <v>2073</v>
      </c>
      <c r="G71">
        <v>11.061999999999999</v>
      </c>
      <c r="H71">
        <v>1.2999999999999999E-2</v>
      </c>
      <c r="I71" t="s">
        <v>18</v>
      </c>
      <c r="J71" t="s">
        <v>252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1221</v>
      </c>
      <c r="B73" t="s">
        <v>2074</v>
      </c>
      <c r="C73" t="s">
        <v>67</v>
      </c>
      <c r="D73" t="s">
        <v>1222</v>
      </c>
      <c r="E73" t="s">
        <v>31</v>
      </c>
      <c r="F73" t="s">
        <v>253</v>
      </c>
    </row>
    <row r="74" spans="1:11" x14ac:dyDescent="0.25">
      <c r="D74" t="s">
        <v>1219</v>
      </c>
      <c r="E74">
        <v>2457634.56</v>
      </c>
      <c r="F74" t="s">
        <v>2075</v>
      </c>
      <c r="G74">
        <v>11.06</v>
      </c>
      <c r="H74">
        <v>0.05</v>
      </c>
      <c r="I74" t="s">
        <v>65</v>
      </c>
      <c r="J74" t="s">
        <v>66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27</v>
      </c>
      <c r="B76" t="s">
        <v>31</v>
      </c>
      <c r="C76" t="s">
        <v>67</v>
      </c>
      <c r="D76" t="s">
        <v>68</v>
      </c>
      <c r="E76" t="s">
        <v>31</v>
      </c>
      <c r="F76" t="s">
        <v>69</v>
      </c>
    </row>
    <row r="77" spans="1:11" x14ac:dyDescent="0.25">
      <c r="D77" t="s">
        <v>1219</v>
      </c>
      <c r="E77">
        <v>2457627.5194399999</v>
      </c>
      <c r="F77" t="s">
        <v>2076</v>
      </c>
      <c r="G77">
        <v>11.02</v>
      </c>
      <c r="H77">
        <v>0.02</v>
      </c>
      <c r="I77" t="s">
        <v>18</v>
      </c>
      <c r="J77" t="s">
        <v>254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2077</v>
      </c>
      <c r="B79" t="s">
        <v>2078</v>
      </c>
      <c r="C79" t="s">
        <v>67</v>
      </c>
      <c r="D79" t="s">
        <v>2079</v>
      </c>
      <c r="E79" t="s">
        <v>31</v>
      </c>
      <c r="F79" t="s">
        <v>31</v>
      </c>
    </row>
    <row r="80" spans="1:11" x14ac:dyDescent="0.25">
      <c r="D80" t="s">
        <v>1219</v>
      </c>
      <c r="E80">
        <v>2457625.5589999999</v>
      </c>
      <c r="F80" t="s">
        <v>2080</v>
      </c>
      <c r="G80">
        <v>11.06</v>
      </c>
      <c r="H80">
        <v>0.05</v>
      </c>
      <c r="I80" t="s">
        <v>65</v>
      </c>
      <c r="J80" t="s">
        <v>66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27</v>
      </c>
      <c r="B82" t="s">
        <v>31</v>
      </c>
      <c r="C82" t="s">
        <v>67</v>
      </c>
      <c r="D82" t="s">
        <v>68</v>
      </c>
      <c r="E82" t="s">
        <v>31</v>
      </c>
      <c r="F82" t="s">
        <v>69</v>
      </c>
    </row>
    <row r="83" spans="1:11" x14ac:dyDescent="0.25">
      <c r="D83" t="s">
        <v>1219</v>
      </c>
      <c r="E83">
        <v>2457623.5550000002</v>
      </c>
      <c r="F83" t="s">
        <v>1920</v>
      </c>
      <c r="G83">
        <v>11.08</v>
      </c>
      <c r="H83">
        <v>0.05</v>
      </c>
      <c r="I83" t="s">
        <v>65</v>
      </c>
      <c r="J83" t="s">
        <v>66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27</v>
      </c>
      <c r="B85" t="s">
        <v>31</v>
      </c>
      <c r="C85" t="s">
        <v>67</v>
      </c>
      <c r="D85" t="s">
        <v>68</v>
      </c>
      <c r="E85" t="s">
        <v>31</v>
      </c>
      <c r="F85" t="s">
        <v>69</v>
      </c>
    </row>
    <row r="86" spans="1:11" x14ac:dyDescent="0.25">
      <c r="D86" t="s">
        <v>1219</v>
      </c>
      <c r="E86">
        <v>2457623.42441</v>
      </c>
      <c r="F86" t="s">
        <v>2081</v>
      </c>
      <c r="G86">
        <v>11.021000000000001</v>
      </c>
      <c r="H86">
        <v>0.01</v>
      </c>
      <c r="I86" t="s">
        <v>18</v>
      </c>
      <c r="J86" t="s">
        <v>19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27</v>
      </c>
      <c r="B88" t="s">
        <v>2082</v>
      </c>
      <c r="C88" t="s">
        <v>29</v>
      </c>
      <c r="D88" t="s">
        <v>1220</v>
      </c>
      <c r="E88" t="s">
        <v>31</v>
      </c>
      <c r="F88" t="s">
        <v>1064</v>
      </c>
    </row>
    <row r="89" spans="1:11" x14ac:dyDescent="0.25">
      <c r="D89" t="s">
        <v>1219</v>
      </c>
      <c r="E89">
        <v>2457623.4240999999</v>
      </c>
      <c r="F89" t="s">
        <v>2083</v>
      </c>
      <c r="G89">
        <v>11.968999999999999</v>
      </c>
      <c r="H89">
        <v>7.0000000000000001E-3</v>
      </c>
      <c r="I89" t="s">
        <v>34</v>
      </c>
      <c r="J89" t="s">
        <v>19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27</v>
      </c>
      <c r="B91" t="s">
        <v>2084</v>
      </c>
      <c r="C91" t="s">
        <v>29</v>
      </c>
      <c r="D91" t="s">
        <v>1220</v>
      </c>
      <c r="E91" t="s">
        <v>31</v>
      </c>
      <c r="F91" t="s">
        <v>1064</v>
      </c>
    </row>
    <row r="92" spans="1:11" x14ac:dyDescent="0.25">
      <c r="A92" t="s">
        <v>2085</v>
      </c>
    </row>
  </sheetData>
  <hyperlinks>
    <hyperlink ref="L1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Q26"/>
  <sheetViews>
    <sheetView workbookViewId="0"/>
  </sheetViews>
  <sheetFormatPr baseColWidth="10" defaultRowHeight="15" x14ac:dyDescent="0.25"/>
  <cols>
    <col min="1" max="1" width="10.140625" customWidth="1"/>
    <col min="2" max="2" width="18.5703125" customWidth="1"/>
    <col min="3" max="3" width="12.28515625" bestFit="1" customWidth="1"/>
    <col min="4" max="4" width="8.42578125" customWidth="1"/>
    <col min="5" max="5" width="15.5703125" bestFit="1" customWidth="1"/>
    <col min="6" max="6" width="44.140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1223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1224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1225</v>
      </c>
      <c r="E17">
        <v>2455566.613535</v>
      </c>
      <c r="F17" t="s">
        <v>1226</v>
      </c>
      <c r="G17">
        <v>5.16</v>
      </c>
      <c r="H17">
        <v>2.8000000000000001E-2</v>
      </c>
      <c r="I17" t="s">
        <v>18</v>
      </c>
      <c r="J17" t="s">
        <v>1227</v>
      </c>
      <c r="K17" t="s">
        <v>20</v>
      </c>
      <c r="M17" t="str">
        <f>+I17</f>
        <v>V</v>
      </c>
      <c r="N17">
        <f>+G17</f>
        <v>5.16</v>
      </c>
      <c r="O17" t="str">
        <f>+J17</f>
        <v>PSEB</v>
      </c>
      <c r="P17">
        <f>+E17</f>
        <v>2455566.613535</v>
      </c>
      <c r="Q17" t="str">
        <f>+F17</f>
        <v>2011 Jan. 05.11354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>
        <f>+I20</f>
        <v>0</v>
      </c>
      <c r="N18">
        <f>+G20</f>
        <v>0</v>
      </c>
      <c r="O18">
        <f>+J20</f>
        <v>0</v>
      </c>
      <c r="P18">
        <f>+E20</f>
        <v>0</v>
      </c>
      <c r="Q18">
        <f>+F20</f>
        <v>0</v>
      </c>
    </row>
    <row r="19" spans="1:17" x14ac:dyDescent="0.25">
      <c r="A19" t="s">
        <v>27</v>
      </c>
      <c r="B19" t="s">
        <v>1228</v>
      </c>
      <c r="C19" t="s">
        <v>29</v>
      </c>
      <c r="D19" t="s">
        <v>1229</v>
      </c>
      <c r="E19" t="s">
        <v>31</v>
      </c>
      <c r="F19" t="s">
        <v>1230</v>
      </c>
      <c r="M19">
        <f>+I23</f>
        <v>0</v>
      </c>
      <c r="N19">
        <f>+G23</f>
        <v>0</v>
      </c>
      <c r="O19">
        <f>+J23</f>
        <v>0</v>
      </c>
      <c r="P19">
        <f>+E23</f>
        <v>0</v>
      </c>
      <c r="Q19">
        <f>+F23</f>
        <v>0</v>
      </c>
    </row>
    <row r="20" spans="1:17" x14ac:dyDescent="0.25">
      <c r="M20">
        <f>+I26</f>
        <v>0</v>
      </c>
      <c r="N20">
        <f>+G26</f>
        <v>0</v>
      </c>
      <c r="O20">
        <f>+J26</f>
        <v>0</v>
      </c>
      <c r="P20">
        <f>+E26</f>
        <v>0</v>
      </c>
      <c r="Q20">
        <f>+F26</f>
        <v>0</v>
      </c>
    </row>
    <row r="21" spans="1:17" x14ac:dyDescent="0.25">
      <c r="M21">
        <f>+I29</f>
        <v>0</v>
      </c>
      <c r="N21">
        <f>+G29</f>
        <v>0</v>
      </c>
      <c r="O21">
        <f>+J29</f>
        <v>0</v>
      </c>
      <c r="P21">
        <f>+E29</f>
        <v>0</v>
      </c>
      <c r="Q21">
        <f>+F29</f>
        <v>0</v>
      </c>
    </row>
    <row r="22" spans="1:17" x14ac:dyDescent="0.25">
      <c r="M22">
        <f>+I32</f>
        <v>0</v>
      </c>
      <c r="N22">
        <f>+G32</f>
        <v>0</v>
      </c>
      <c r="O22">
        <f>+J32</f>
        <v>0</v>
      </c>
      <c r="P22">
        <f>+E32</f>
        <v>0</v>
      </c>
      <c r="Q22">
        <f>+F32</f>
        <v>0</v>
      </c>
    </row>
    <row r="23" spans="1:17" x14ac:dyDescent="0.25">
      <c r="M23">
        <f>+I35</f>
        <v>0</v>
      </c>
      <c r="N23">
        <f>+G35</f>
        <v>0</v>
      </c>
      <c r="O23">
        <f>+J35</f>
        <v>0</v>
      </c>
      <c r="P23">
        <f>+E35</f>
        <v>0</v>
      </c>
      <c r="Q23">
        <f>+F35</f>
        <v>0</v>
      </c>
    </row>
    <row r="24" spans="1:17" x14ac:dyDescent="0.25">
      <c r="M24">
        <f>+I38</f>
        <v>0</v>
      </c>
      <c r="N24">
        <f>+G38</f>
        <v>0</v>
      </c>
      <c r="O24">
        <f>+J38</f>
        <v>0</v>
      </c>
      <c r="P24">
        <f>+E38</f>
        <v>0</v>
      </c>
      <c r="Q24">
        <f>+F38</f>
        <v>0</v>
      </c>
    </row>
    <row r="25" spans="1:17" x14ac:dyDescent="0.25">
      <c r="M25">
        <f>+I41</f>
        <v>0</v>
      </c>
      <c r="N25">
        <f>+G41</f>
        <v>0</v>
      </c>
      <c r="O25">
        <f>+J41</f>
        <v>0</v>
      </c>
      <c r="P25">
        <f>+E41</f>
        <v>0</v>
      </c>
      <c r="Q25">
        <f>+F41</f>
        <v>0</v>
      </c>
    </row>
    <row r="26" spans="1:17" x14ac:dyDescent="0.25">
      <c r="M26">
        <f>+I44</f>
        <v>0</v>
      </c>
      <c r="N26">
        <f>+G44</f>
        <v>0</v>
      </c>
      <c r="O26">
        <f>+J44</f>
        <v>0</v>
      </c>
      <c r="P26">
        <f>+E44</f>
        <v>0</v>
      </c>
      <c r="Q26">
        <f>+F44</f>
        <v>0</v>
      </c>
    </row>
  </sheetData>
  <hyperlinks>
    <hyperlink ref="L1" r:id="rId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Q92"/>
  <sheetViews>
    <sheetView workbookViewId="0">
      <selection activeCell="F17" sqref="F17"/>
    </sheetView>
  </sheetViews>
  <sheetFormatPr baseColWidth="10" defaultRowHeight="15" x14ac:dyDescent="0.25"/>
  <cols>
    <col min="1" max="2" width="23.7109375" customWidth="1"/>
    <col min="3" max="3" width="12.28515625" bestFit="1" customWidth="1"/>
    <col min="4" max="4" width="21.85546875" customWidth="1"/>
    <col min="5" max="5" width="15.5703125" bestFit="1" customWidth="1"/>
    <col min="6" max="6" width="38.28515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378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2469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379</v>
      </c>
      <c r="E17">
        <v>2457715.4705400001</v>
      </c>
      <c r="F17" t="s">
        <v>2470</v>
      </c>
      <c r="G17">
        <v>10.489000000000001</v>
      </c>
      <c r="H17">
        <v>4.0000000000000001E-3</v>
      </c>
      <c r="I17" t="s">
        <v>18</v>
      </c>
      <c r="J17" t="s">
        <v>252</v>
      </c>
      <c r="K17" t="s">
        <v>20</v>
      </c>
      <c r="M17" t="str">
        <f>+I17</f>
        <v>V</v>
      </c>
      <c r="N17">
        <f>+G17</f>
        <v>10.489000000000001</v>
      </c>
      <c r="O17" t="str">
        <f>+J17</f>
        <v>DKS</v>
      </c>
      <c r="P17">
        <f>+E17</f>
        <v>2457715.4705400001</v>
      </c>
      <c r="Q17" t="str">
        <f>+F17</f>
        <v>2016 Nov. 22.97054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10.489000000000001</v>
      </c>
      <c r="O18" t="str">
        <f>+J20</f>
        <v>DKS</v>
      </c>
      <c r="P18">
        <f>+E20</f>
        <v>2457713.4693100001</v>
      </c>
      <c r="Q18" t="str">
        <f>+F20</f>
        <v>2016 Nov. 20.96931</v>
      </c>
    </row>
    <row r="19" spans="1:17" x14ac:dyDescent="0.25">
      <c r="A19" t="s">
        <v>381</v>
      </c>
      <c r="B19" t="s">
        <v>2471</v>
      </c>
      <c r="C19" t="s">
        <v>67</v>
      </c>
      <c r="D19" t="s">
        <v>382</v>
      </c>
      <c r="E19" t="s">
        <v>31</v>
      </c>
      <c r="F19" t="s">
        <v>255</v>
      </c>
      <c r="M19" t="str">
        <f>+I23</f>
        <v>V</v>
      </c>
      <c r="N19">
        <f>+G23</f>
        <v>10.361000000000001</v>
      </c>
      <c r="O19" t="str">
        <f>+J23</f>
        <v>DKS</v>
      </c>
      <c r="P19">
        <f>+E23</f>
        <v>2457708.4737300002</v>
      </c>
      <c r="Q19" t="str">
        <f>+F23</f>
        <v>2016 Nov. 15.97373</v>
      </c>
    </row>
    <row r="20" spans="1:17" x14ac:dyDescent="0.25">
      <c r="D20" t="s">
        <v>379</v>
      </c>
      <c r="E20">
        <v>2457713.4693100001</v>
      </c>
      <c r="F20" t="s">
        <v>2472</v>
      </c>
      <c r="G20">
        <v>10.489000000000001</v>
      </c>
      <c r="H20">
        <v>4.0000000000000001E-3</v>
      </c>
      <c r="I20" t="s">
        <v>18</v>
      </c>
      <c r="J20" t="s">
        <v>252</v>
      </c>
      <c r="K20" t="s">
        <v>20</v>
      </c>
      <c r="M20" t="str">
        <f>+I26</f>
        <v>V</v>
      </c>
      <c r="N20">
        <f>+G26</f>
        <v>10.484999999999999</v>
      </c>
      <c r="O20" t="str">
        <f>+J26</f>
        <v>DKS</v>
      </c>
      <c r="P20">
        <f>+E26</f>
        <v>2457703.47089</v>
      </c>
      <c r="Q20" t="str">
        <f>+F26</f>
        <v>2016 Nov. 10.97089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TG</v>
      </c>
      <c r="N21">
        <f>+G29</f>
        <v>10.57</v>
      </c>
      <c r="O21" t="str">
        <f>+J29</f>
        <v>MEV</v>
      </c>
      <c r="P21">
        <f>+E29</f>
        <v>2457693.3670000001</v>
      </c>
      <c r="Q21" t="str">
        <f>+F29</f>
        <v>2016 Oct. 31.86700</v>
      </c>
    </row>
    <row r="22" spans="1:17" x14ac:dyDescent="0.25">
      <c r="A22" t="s">
        <v>381</v>
      </c>
      <c r="B22" t="s">
        <v>2473</v>
      </c>
      <c r="C22" t="s">
        <v>67</v>
      </c>
      <c r="D22" t="s">
        <v>382</v>
      </c>
      <c r="E22" t="s">
        <v>31</v>
      </c>
      <c r="F22" t="s">
        <v>253</v>
      </c>
      <c r="M22" t="str">
        <f>+I32</f>
        <v>TG</v>
      </c>
      <c r="N22">
        <f>+G32</f>
        <v>10.49</v>
      </c>
      <c r="O22" t="str">
        <f>+J32</f>
        <v>MEV</v>
      </c>
      <c r="P22">
        <f>+E32</f>
        <v>2457691.3050000002</v>
      </c>
      <c r="Q22" t="str">
        <f>+F32</f>
        <v>2016 Oct. 29.80500</v>
      </c>
    </row>
    <row r="23" spans="1:17" x14ac:dyDescent="0.25">
      <c r="D23" t="s">
        <v>379</v>
      </c>
      <c r="E23">
        <v>2457708.4737300002</v>
      </c>
      <c r="F23" t="s">
        <v>2474</v>
      </c>
      <c r="G23">
        <v>10.361000000000001</v>
      </c>
      <c r="H23">
        <v>5.0000000000000001E-3</v>
      </c>
      <c r="I23" t="s">
        <v>18</v>
      </c>
      <c r="J23" t="s">
        <v>252</v>
      </c>
      <c r="K23" t="s">
        <v>20</v>
      </c>
      <c r="M23" t="str">
        <f>+I35</f>
        <v>TG</v>
      </c>
      <c r="N23">
        <f>+G35</f>
        <v>10.54</v>
      </c>
      <c r="O23" t="str">
        <f>+J35</f>
        <v>MEV</v>
      </c>
      <c r="P23">
        <f>+E35</f>
        <v>2457690.3059999999</v>
      </c>
      <c r="Q23" t="str">
        <f>+F35</f>
        <v>2016 Oct. 28.80600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TG</v>
      </c>
      <c r="N24">
        <f>+G38</f>
        <v>10.48</v>
      </c>
      <c r="O24" t="str">
        <f>+J38</f>
        <v>MEV</v>
      </c>
      <c r="P24">
        <f>+E38</f>
        <v>2457683.33</v>
      </c>
      <c r="Q24" t="str">
        <f>+F38</f>
        <v>2016 Oct. 21.83000</v>
      </c>
    </row>
    <row r="25" spans="1:17" x14ac:dyDescent="0.25">
      <c r="A25" t="s">
        <v>381</v>
      </c>
      <c r="B25" t="s">
        <v>2475</v>
      </c>
      <c r="C25" t="s">
        <v>67</v>
      </c>
      <c r="D25" t="s">
        <v>382</v>
      </c>
      <c r="E25" t="s">
        <v>31</v>
      </c>
      <c r="F25" t="s">
        <v>253</v>
      </c>
      <c r="M25" t="str">
        <f>+I41</f>
        <v>V</v>
      </c>
      <c r="N25">
        <f>+G41</f>
        <v>10.523</v>
      </c>
      <c r="O25" t="str">
        <f>+J41</f>
        <v>DKS</v>
      </c>
      <c r="P25">
        <f>+E41</f>
        <v>2457682.4797299998</v>
      </c>
      <c r="Q25" t="str">
        <f>+F41</f>
        <v>2016 Oct. 20.97973</v>
      </c>
    </row>
    <row r="26" spans="1:17" x14ac:dyDescent="0.25">
      <c r="D26" t="s">
        <v>379</v>
      </c>
      <c r="E26">
        <v>2457703.47089</v>
      </c>
      <c r="F26" t="s">
        <v>2476</v>
      </c>
      <c r="G26">
        <v>10.484999999999999</v>
      </c>
      <c r="H26">
        <v>4.0000000000000001E-3</v>
      </c>
      <c r="I26" t="s">
        <v>18</v>
      </c>
      <c r="J26" t="s">
        <v>252</v>
      </c>
      <c r="K26" t="s">
        <v>20</v>
      </c>
      <c r="M26" t="str">
        <f>+I44</f>
        <v>V</v>
      </c>
      <c r="N26">
        <f>+G44</f>
        <v>10.565</v>
      </c>
      <c r="O26" t="str">
        <f>+J44</f>
        <v>DKS</v>
      </c>
      <c r="P26">
        <f>+E44</f>
        <v>2457671.4859500001</v>
      </c>
      <c r="Q26" t="str">
        <f>+F44</f>
        <v>2016 Oct. 09.98595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381</v>
      </c>
      <c r="B28" t="s">
        <v>2477</v>
      </c>
      <c r="C28" t="s">
        <v>67</v>
      </c>
      <c r="D28" t="s">
        <v>382</v>
      </c>
      <c r="E28" t="s">
        <v>31</v>
      </c>
      <c r="F28" t="s">
        <v>253</v>
      </c>
    </row>
    <row r="29" spans="1:17" x14ac:dyDescent="0.25">
      <c r="D29" t="s">
        <v>379</v>
      </c>
      <c r="E29">
        <v>2457693.3670000001</v>
      </c>
      <c r="F29" t="s">
        <v>2478</v>
      </c>
      <c r="G29">
        <v>10.57</v>
      </c>
      <c r="H29">
        <v>0.05</v>
      </c>
      <c r="I29" t="s">
        <v>65</v>
      </c>
      <c r="J29" t="s">
        <v>66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27</v>
      </c>
      <c r="B31" t="s">
        <v>31</v>
      </c>
      <c r="C31" t="s">
        <v>67</v>
      </c>
      <c r="D31" t="s">
        <v>68</v>
      </c>
      <c r="E31" t="s">
        <v>31</v>
      </c>
      <c r="F31" t="s">
        <v>69</v>
      </c>
    </row>
    <row r="32" spans="1:17" x14ac:dyDescent="0.25">
      <c r="D32" t="s">
        <v>379</v>
      </c>
      <c r="E32">
        <v>2457691.3050000002</v>
      </c>
      <c r="F32" t="s">
        <v>2479</v>
      </c>
      <c r="G32">
        <v>10.49</v>
      </c>
      <c r="H32">
        <v>0.05</v>
      </c>
      <c r="I32" t="s">
        <v>65</v>
      </c>
      <c r="J32" t="s">
        <v>66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27</v>
      </c>
      <c r="B34" t="s">
        <v>31</v>
      </c>
      <c r="C34" t="s">
        <v>67</v>
      </c>
      <c r="D34" t="s">
        <v>68</v>
      </c>
      <c r="E34" t="s">
        <v>31</v>
      </c>
      <c r="F34" t="s">
        <v>69</v>
      </c>
    </row>
    <row r="35" spans="1:11" x14ac:dyDescent="0.25">
      <c r="D35" t="s">
        <v>379</v>
      </c>
      <c r="E35">
        <v>2457690.3059999999</v>
      </c>
      <c r="F35" t="s">
        <v>2480</v>
      </c>
      <c r="G35">
        <v>10.54</v>
      </c>
      <c r="H35">
        <v>0.05</v>
      </c>
      <c r="I35" t="s">
        <v>65</v>
      </c>
      <c r="J35" t="s">
        <v>66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27</v>
      </c>
      <c r="B37" t="s">
        <v>31</v>
      </c>
      <c r="C37" t="s">
        <v>67</v>
      </c>
      <c r="D37" t="s">
        <v>68</v>
      </c>
      <c r="E37" t="s">
        <v>31</v>
      </c>
      <c r="F37" t="s">
        <v>69</v>
      </c>
    </row>
    <row r="38" spans="1:11" x14ac:dyDescent="0.25">
      <c r="D38" t="s">
        <v>379</v>
      </c>
      <c r="E38">
        <v>2457683.33</v>
      </c>
      <c r="F38" t="s">
        <v>2481</v>
      </c>
      <c r="G38">
        <v>10.48</v>
      </c>
      <c r="H38">
        <v>0.05</v>
      </c>
      <c r="I38" t="s">
        <v>65</v>
      </c>
      <c r="J38" t="s">
        <v>66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27</v>
      </c>
      <c r="B40" t="s">
        <v>31</v>
      </c>
      <c r="C40" t="s">
        <v>67</v>
      </c>
      <c r="D40" t="s">
        <v>68</v>
      </c>
      <c r="E40" t="s">
        <v>31</v>
      </c>
      <c r="F40" t="s">
        <v>69</v>
      </c>
    </row>
    <row r="41" spans="1:11" x14ac:dyDescent="0.25">
      <c r="D41" t="s">
        <v>379</v>
      </c>
      <c r="E41">
        <v>2457682.4797299998</v>
      </c>
      <c r="F41" t="s">
        <v>2482</v>
      </c>
      <c r="G41">
        <v>10.523</v>
      </c>
      <c r="H41">
        <v>6.0000000000000001E-3</v>
      </c>
      <c r="I41" t="s">
        <v>18</v>
      </c>
      <c r="J41" t="s">
        <v>252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381</v>
      </c>
      <c r="B43" t="s">
        <v>2483</v>
      </c>
      <c r="C43" t="s">
        <v>67</v>
      </c>
      <c r="D43" t="s">
        <v>382</v>
      </c>
      <c r="E43" t="s">
        <v>31</v>
      </c>
      <c r="F43" t="s">
        <v>253</v>
      </c>
    </row>
    <row r="44" spans="1:11" x14ac:dyDescent="0.25">
      <c r="D44" t="s">
        <v>379</v>
      </c>
      <c r="E44">
        <v>2457671.4859500001</v>
      </c>
      <c r="F44" t="s">
        <v>2484</v>
      </c>
      <c r="G44">
        <v>10.565</v>
      </c>
      <c r="H44">
        <v>6.0000000000000001E-3</v>
      </c>
      <c r="I44" t="s">
        <v>18</v>
      </c>
      <c r="J44" t="s">
        <v>252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381</v>
      </c>
      <c r="B46" t="s">
        <v>2485</v>
      </c>
      <c r="C46" t="s">
        <v>67</v>
      </c>
      <c r="D46" t="s">
        <v>382</v>
      </c>
      <c r="E46" t="s">
        <v>31</v>
      </c>
      <c r="F46" t="s">
        <v>253</v>
      </c>
    </row>
    <row r="47" spans="1:11" x14ac:dyDescent="0.25">
      <c r="D47" t="s">
        <v>379</v>
      </c>
      <c r="E47">
        <v>2457667.6166300001</v>
      </c>
      <c r="F47" t="s">
        <v>2486</v>
      </c>
      <c r="G47">
        <v>10.619</v>
      </c>
      <c r="H47">
        <v>2.5000000000000001E-2</v>
      </c>
      <c r="I47" t="s">
        <v>18</v>
      </c>
      <c r="J47" t="s">
        <v>380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27</v>
      </c>
      <c r="B49" t="s">
        <v>2487</v>
      </c>
      <c r="C49" t="s">
        <v>67</v>
      </c>
      <c r="D49" t="s">
        <v>2488</v>
      </c>
      <c r="E49" t="s">
        <v>31</v>
      </c>
      <c r="F49" t="s">
        <v>31</v>
      </c>
    </row>
    <row r="50" spans="1:11" x14ac:dyDescent="0.25">
      <c r="D50" t="s">
        <v>379</v>
      </c>
      <c r="E50">
        <v>2457655.6321200002</v>
      </c>
      <c r="F50" t="s">
        <v>2229</v>
      </c>
      <c r="G50">
        <v>10.606</v>
      </c>
      <c r="H50">
        <v>3.7999999999999999E-2</v>
      </c>
      <c r="I50" t="s">
        <v>18</v>
      </c>
      <c r="J50" t="s">
        <v>380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27</v>
      </c>
      <c r="B52" t="s">
        <v>2230</v>
      </c>
      <c r="C52" t="s">
        <v>67</v>
      </c>
      <c r="D52" t="s">
        <v>2231</v>
      </c>
      <c r="E52" t="s">
        <v>31</v>
      </c>
      <c r="F52" t="s">
        <v>31</v>
      </c>
    </row>
    <row r="53" spans="1:11" x14ac:dyDescent="0.25">
      <c r="D53" t="s">
        <v>379</v>
      </c>
      <c r="E53">
        <v>2457641.3810000001</v>
      </c>
      <c r="F53" t="s">
        <v>2086</v>
      </c>
      <c r="G53">
        <v>10.46</v>
      </c>
      <c r="H53">
        <v>0.05</v>
      </c>
      <c r="I53" t="s">
        <v>65</v>
      </c>
      <c r="J53" t="s">
        <v>66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27</v>
      </c>
      <c r="B55" t="s">
        <v>31</v>
      </c>
      <c r="C55" t="s">
        <v>67</v>
      </c>
      <c r="D55" t="s">
        <v>68</v>
      </c>
      <c r="E55" t="s">
        <v>31</v>
      </c>
      <c r="F55" t="s">
        <v>69</v>
      </c>
    </row>
    <row r="56" spans="1:11" x14ac:dyDescent="0.25">
      <c r="D56" t="s">
        <v>379</v>
      </c>
      <c r="E56">
        <v>2457640.6730900002</v>
      </c>
      <c r="F56" t="s">
        <v>2232</v>
      </c>
      <c r="G56">
        <v>10.566000000000001</v>
      </c>
      <c r="H56">
        <v>4.8000000000000001E-2</v>
      </c>
      <c r="I56" t="s">
        <v>18</v>
      </c>
      <c r="J56" t="s">
        <v>380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27</v>
      </c>
      <c r="B58" t="s">
        <v>2233</v>
      </c>
      <c r="C58" t="s">
        <v>67</v>
      </c>
      <c r="D58" t="s">
        <v>2234</v>
      </c>
      <c r="E58" t="s">
        <v>31</v>
      </c>
      <c r="F58" t="s">
        <v>31</v>
      </c>
    </row>
    <row r="59" spans="1:11" x14ac:dyDescent="0.25">
      <c r="D59" t="s">
        <v>379</v>
      </c>
      <c r="E59">
        <v>2457640.5148100001</v>
      </c>
      <c r="F59" t="s">
        <v>2087</v>
      </c>
      <c r="G59">
        <v>10.507999999999999</v>
      </c>
      <c r="H59">
        <v>7.0000000000000001E-3</v>
      </c>
      <c r="I59" t="s">
        <v>18</v>
      </c>
      <c r="J59" t="s">
        <v>252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381</v>
      </c>
      <c r="B61" t="s">
        <v>2088</v>
      </c>
      <c r="C61" t="s">
        <v>67</v>
      </c>
      <c r="D61" t="s">
        <v>382</v>
      </c>
      <c r="E61" t="s">
        <v>31</v>
      </c>
      <c r="F61" t="s">
        <v>253</v>
      </c>
    </row>
    <row r="62" spans="1:11" x14ac:dyDescent="0.25">
      <c r="D62" t="s">
        <v>379</v>
      </c>
      <c r="E62">
        <v>2457640.3849999998</v>
      </c>
      <c r="F62" t="s">
        <v>2089</v>
      </c>
      <c r="G62">
        <v>10.47</v>
      </c>
      <c r="H62">
        <v>0.05</v>
      </c>
      <c r="I62" t="s">
        <v>65</v>
      </c>
      <c r="J62" t="s">
        <v>66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27</v>
      </c>
      <c r="B64" t="s">
        <v>31</v>
      </c>
      <c r="C64" t="s">
        <v>67</v>
      </c>
      <c r="D64" t="s">
        <v>68</v>
      </c>
      <c r="E64" t="s">
        <v>31</v>
      </c>
      <c r="F64" t="s">
        <v>69</v>
      </c>
    </row>
    <row r="65" spans="1:11" x14ac:dyDescent="0.25">
      <c r="D65" t="s">
        <v>379</v>
      </c>
      <c r="E65">
        <v>2457639.4160000002</v>
      </c>
      <c r="F65" t="s">
        <v>2090</v>
      </c>
      <c r="G65">
        <v>10.47</v>
      </c>
      <c r="H65">
        <v>0.05</v>
      </c>
      <c r="I65" t="s">
        <v>65</v>
      </c>
      <c r="J65" t="s">
        <v>66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27</v>
      </c>
      <c r="B67" t="s">
        <v>31</v>
      </c>
      <c r="C67" t="s">
        <v>67</v>
      </c>
      <c r="D67" t="s">
        <v>68</v>
      </c>
      <c r="E67" t="s">
        <v>31</v>
      </c>
      <c r="F67" t="s">
        <v>69</v>
      </c>
    </row>
    <row r="68" spans="1:11" x14ac:dyDescent="0.25">
      <c r="D68" t="s">
        <v>379</v>
      </c>
      <c r="E68">
        <v>2457634.3939999999</v>
      </c>
      <c r="F68" t="s">
        <v>2091</v>
      </c>
      <c r="G68">
        <v>10.5</v>
      </c>
      <c r="H68">
        <v>0.05</v>
      </c>
      <c r="I68" t="s">
        <v>65</v>
      </c>
      <c r="J68" t="s">
        <v>66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31</v>
      </c>
      <c r="C70" t="s">
        <v>67</v>
      </c>
      <c r="D70" t="s">
        <v>68</v>
      </c>
      <c r="E70" t="s">
        <v>31</v>
      </c>
      <c r="F70" t="s">
        <v>69</v>
      </c>
    </row>
    <row r="71" spans="1:11" x14ac:dyDescent="0.25">
      <c r="D71" t="s">
        <v>379</v>
      </c>
      <c r="E71">
        <v>2457629.4300000002</v>
      </c>
      <c r="F71" t="s">
        <v>2092</v>
      </c>
      <c r="G71">
        <v>10.5</v>
      </c>
      <c r="H71">
        <v>0.05</v>
      </c>
      <c r="I71" t="s">
        <v>65</v>
      </c>
      <c r="J71" t="s">
        <v>66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27</v>
      </c>
      <c r="B73" t="s">
        <v>31</v>
      </c>
      <c r="C73" t="s">
        <v>67</v>
      </c>
      <c r="D73" t="s">
        <v>68</v>
      </c>
      <c r="E73" t="s">
        <v>31</v>
      </c>
      <c r="F73" t="s">
        <v>69</v>
      </c>
    </row>
    <row r="74" spans="1:11" x14ac:dyDescent="0.25">
      <c r="D74" t="s">
        <v>379</v>
      </c>
      <c r="E74">
        <v>2457626.5325000002</v>
      </c>
      <c r="F74" t="s">
        <v>2093</v>
      </c>
      <c r="G74">
        <v>10.513</v>
      </c>
      <c r="H74">
        <v>7.0000000000000001E-3</v>
      </c>
      <c r="I74" t="s">
        <v>18</v>
      </c>
      <c r="J74" t="s">
        <v>252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381</v>
      </c>
      <c r="B76" t="s">
        <v>2094</v>
      </c>
      <c r="C76" t="s">
        <v>67</v>
      </c>
      <c r="D76" t="s">
        <v>382</v>
      </c>
      <c r="E76" t="s">
        <v>31</v>
      </c>
      <c r="F76" t="s">
        <v>253</v>
      </c>
    </row>
    <row r="77" spans="1:11" x14ac:dyDescent="0.25">
      <c r="D77" t="s">
        <v>379</v>
      </c>
      <c r="E77">
        <v>2457625.7140600001</v>
      </c>
      <c r="F77" t="s">
        <v>2095</v>
      </c>
      <c r="G77">
        <v>10.561</v>
      </c>
      <c r="H77">
        <v>2.1999999999999999E-2</v>
      </c>
      <c r="I77" t="s">
        <v>18</v>
      </c>
      <c r="J77" t="s">
        <v>380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27</v>
      </c>
      <c r="B79" t="s">
        <v>2096</v>
      </c>
      <c r="C79" t="s">
        <v>67</v>
      </c>
      <c r="D79" t="s">
        <v>2097</v>
      </c>
      <c r="E79" t="s">
        <v>31</v>
      </c>
      <c r="F79" t="s">
        <v>31</v>
      </c>
    </row>
    <row r="80" spans="1:11" x14ac:dyDescent="0.25">
      <c r="D80" t="s">
        <v>379</v>
      </c>
      <c r="E80">
        <v>2457625.3990000002</v>
      </c>
      <c r="F80" t="s">
        <v>2098</v>
      </c>
      <c r="G80">
        <v>10.47</v>
      </c>
      <c r="H80">
        <v>0.05</v>
      </c>
      <c r="I80" t="s">
        <v>65</v>
      </c>
      <c r="J80" t="s">
        <v>66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27</v>
      </c>
      <c r="B82" t="s">
        <v>31</v>
      </c>
      <c r="C82" t="s">
        <v>67</v>
      </c>
      <c r="D82" t="s">
        <v>68</v>
      </c>
      <c r="E82" t="s">
        <v>31</v>
      </c>
      <c r="F82" t="s">
        <v>69</v>
      </c>
    </row>
    <row r="83" spans="1:11" x14ac:dyDescent="0.25">
      <c r="D83" t="s">
        <v>379</v>
      </c>
      <c r="E83">
        <v>2457624.5084899999</v>
      </c>
      <c r="F83" t="s">
        <v>2099</v>
      </c>
      <c r="G83">
        <v>10.500999999999999</v>
      </c>
      <c r="H83">
        <v>3.0000000000000001E-3</v>
      </c>
      <c r="I83" t="s">
        <v>18</v>
      </c>
      <c r="J83" t="s">
        <v>2100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2101</v>
      </c>
      <c r="B85" t="s">
        <v>2102</v>
      </c>
      <c r="C85" t="s">
        <v>67</v>
      </c>
      <c r="D85" t="s">
        <v>2103</v>
      </c>
      <c r="E85" t="s">
        <v>31</v>
      </c>
      <c r="F85" t="s">
        <v>31</v>
      </c>
    </row>
    <row r="86" spans="1:11" x14ac:dyDescent="0.25">
      <c r="D86" t="s">
        <v>379</v>
      </c>
      <c r="E86">
        <v>2457624.5082</v>
      </c>
      <c r="F86" t="s">
        <v>2104</v>
      </c>
      <c r="G86">
        <v>10.488</v>
      </c>
      <c r="H86">
        <v>3.0000000000000001E-3</v>
      </c>
      <c r="I86" t="s">
        <v>18</v>
      </c>
      <c r="J86" t="s">
        <v>2100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2101</v>
      </c>
      <c r="B88" t="s">
        <v>2105</v>
      </c>
      <c r="C88" t="s">
        <v>67</v>
      </c>
      <c r="D88" t="s">
        <v>2103</v>
      </c>
      <c r="E88" t="s">
        <v>31</v>
      </c>
      <c r="F88" t="s">
        <v>31</v>
      </c>
    </row>
    <row r="89" spans="1:11" x14ac:dyDescent="0.25">
      <c r="D89" t="s">
        <v>379</v>
      </c>
      <c r="E89">
        <v>2457624.5079100002</v>
      </c>
      <c r="F89" t="s">
        <v>2106</v>
      </c>
      <c r="G89">
        <v>10.484999999999999</v>
      </c>
      <c r="H89">
        <v>3.0000000000000001E-3</v>
      </c>
      <c r="I89" t="s">
        <v>18</v>
      </c>
      <c r="J89" t="s">
        <v>2100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2101</v>
      </c>
      <c r="B91" t="s">
        <v>2107</v>
      </c>
      <c r="C91" t="s">
        <v>67</v>
      </c>
      <c r="D91" t="s">
        <v>2103</v>
      </c>
      <c r="E91" t="s">
        <v>31</v>
      </c>
      <c r="F91" t="s">
        <v>31</v>
      </c>
    </row>
    <row r="92" spans="1:11" x14ac:dyDescent="0.25">
      <c r="A92" t="s">
        <v>2108</v>
      </c>
    </row>
  </sheetData>
  <hyperlinks>
    <hyperlink ref="L1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Q92"/>
  <sheetViews>
    <sheetView workbookViewId="0"/>
  </sheetViews>
  <sheetFormatPr baseColWidth="10" defaultRowHeight="15" x14ac:dyDescent="0.25"/>
  <cols>
    <col min="1" max="1" width="18.28515625" customWidth="1"/>
    <col min="2" max="2" width="19.7109375" customWidth="1"/>
    <col min="3" max="3" width="12.28515625" bestFit="1" customWidth="1"/>
    <col min="4" max="4" width="17.42578125" customWidth="1"/>
    <col min="5" max="5" width="15.5703125" bestFit="1" customWidth="1"/>
    <col min="6" max="6" width="81.140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1384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1385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1386</v>
      </c>
      <c r="E17">
        <v>2457484.2652799999</v>
      </c>
      <c r="F17" t="s">
        <v>1387</v>
      </c>
      <c r="G17">
        <v>10.61</v>
      </c>
      <c r="H17">
        <v>0.04</v>
      </c>
      <c r="I17" t="s">
        <v>34</v>
      </c>
      <c r="J17" t="s">
        <v>254</v>
      </c>
      <c r="K17" t="s">
        <v>20</v>
      </c>
      <c r="M17" t="str">
        <f>+I17</f>
        <v>B</v>
      </c>
      <c r="N17">
        <f>+G17</f>
        <v>10.61</v>
      </c>
      <c r="O17" t="str">
        <f>+J17</f>
        <v>TIA</v>
      </c>
      <c r="P17">
        <f>+E17</f>
        <v>2457484.2652799999</v>
      </c>
      <c r="Q17" t="str">
        <f>+F17</f>
        <v>2016 Apr. 05.76528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9.9600000000000009</v>
      </c>
      <c r="O18" t="str">
        <f>+J20</f>
        <v>TIA</v>
      </c>
      <c r="P18">
        <f>+E20</f>
        <v>2457484.2652799999</v>
      </c>
      <c r="Q18" t="str">
        <f>+F20</f>
        <v>2016 Apr. 05.76528</v>
      </c>
    </row>
    <row r="19" spans="1:17" x14ac:dyDescent="0.25">
      <c r="A19" t="s">
        <v>1388</v>
      </c>
      <c r="B19" t="s">
        <v>1389</v>
      </c>
      <c r="C19" t="s">
        <v>67</v>
      </c>
      <c r="D19" t="s">
        <v>1390</v>
      </c>
      <c r="E19" t="s">
        <v>31</v>
      </c>
      <c r="F19" t="s">
        <v>31</v>
      </c>
      <c r="M19" t="str">
        <f>+I23</f>
        <v>V</v>
      </c>
      <c r="N19">
        <f>+G23</f>
        <v>10.212999999999999</v>
      </c>
      <c r="O19" t="str">
        <f>+J23</f>
        <v>BDG</v>
      </c>
      <c r="P19">
        <f>+E23</f>
        <v>2457429.4956700001</v>
      </c>
      <c r="Q19" t="str">
        <f>+F23</f>
        <v>2016 Feb. 10.99567</v>
      </c>
    </row>
    <row r="20" spans="1:17" x14ac:dyDescent="0.25">
      <c r="D20" t="s">
        <v>1386</v>
      </c>
      <c r="E20">
        <v>2457484.2652799999</v>
      </c>
      <c r="F20" t="s">
        <v>1387</v>
      </c>
      <c r="G20">
        <v>9.9600000000000009</v>
      </c>
      <c r="H20">
        <v>0.02</v>
      </c>
      <c r="I20" t="s">
        <v>18</v>
      </c>
      <c r="J20" t="s">
        <v>254</v>
      </c>
      <c r="K20" t="s">
        <v>20</v>
      </c>
      <c r="M20" t="str">
        <f>+I26</f>
        <v>B</v>
      </c>
      <c r="N20">
        <f>+G26</f>
        <v>11.01</v>
      </c>
      <c r="O20" t="str">
        <f>+J26</f>
        <v>BDG</v>
      </c>
      <c r="P20">
        <f>+E26</f>
        <v>2457429.4954599999</v>
      </c>
      <c r="Q20" t="str">
        <f>+F26</f>
        <v>2016 Feb. 10.99546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10.23</v>
      </c>
      <c r="O21" t="str">
        <f>+J29</f>
        <v>TIA</v>
      </c>
      <c r="P21">
        <f>+E29</f>
        <v>2457424.2513899999</v>
      </c>
      <c r="Q21" t="str">
        <f>+F29</f>
        <v>2016 Feb. 05.75139</v>
      </c>
    </row>
    <row r="22" spans="1:17" x14ac:dyDescent="0.25">
      <c r="A22" t="s">
        <v>1391</v>
      </c>
      <c r="B22" t="s">
        <v>1392</v>
      </c>
      <c r="C22" t="s">
        <v>67</v>
      </c>
      <c r="D22" t="s">
        <v>1390</v>
      </c>
      <c r="E22" t="s">
        <v>31</v>
      </c>
      <c r="F22" t="s">
        <v>31</v>
      </c>
      <c r="M22" t="str">
        <f>+I32</f>
        <v>B</v>
      </c>
      <c r="N22">
        <f>+G32</f>
        <v>11.17</v>
      </c>
      <c r="O22" t="str">
        <f>+J32</f>
        <v>TIA</v>
      </c>
      <c r="P22">
        <f>+E32</f>
        <v>2457387.3722199998</v>
      </c>
      <c r="Q22" t="str">
        <f>+F32</f>
        <v>2015 Dec. 30.87222</v>
      </c>
    </row>
    <row r="23" spans="1:17" x14ac:dyDescent="0.25">
      <c r="D23" t="s">
        <v>1386</v>
      </c>
      <c r="E23">
        <v>2457429.4956700001</v>
      </c>
      <c r="F23" t="s">
        <v>1393</v>
      </c>
      <c r="G23">
        <v>10.212999999999999</v>
      </c>
      <c r="H23">
        <v>5.0000000000000001E-3</v>
      </c>
      <c r="I23" t="s">
        <v>18</v>
      </c>
      <c r="J23" t="s">
        <v>19</v>
      </c>
      <c r="K23" t="s">
        <v>20</v>
      </c>
      <c r="M23" t="str">
        <f>+I35</f>
        <v>V</v>
      </c>
      <c r="N23">
        <f>+G35</f>
        <v>10.27</v>
      </c>
      <c r="O23" t="str">
        <f>+J35</f>
        <v>TIA</v>
      </c>
      <c r="P23">
        <f>+E35</f>
        <v>2457387.3722199998</v>
      </c>
      <c r="Q23" t="str">
        <f>+F35</f>
        <v>2015 Dec. 30.87222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12.56</v>
      </c>
      <c r="O24" t="str">
        <f>+J38</f>
        <v>TIA</v>
      </c>
      <c r="P24">
        <f>+E38</f>
        <v>2457226.3277799999</v>
      </c>
      <c r="Q24" t="str">
        <f>+F38</f>
        <v>2015 Jul. 22.82778</v>
      </c>
    </row>
    <row r="25" spans="1:17" x14ac:dyDescent="0.25">
      <c r="A25" t="s">
        <v>27</v>
      </c>
      <c r="B25" t="s">
        <v>1394</v>
      </c>
      <c r="C25" t="s">
        <v>29</v>
      </c>
      <c r="D25" t="s">
        <v>1395</v>
      </c>
      <c r="E25" t="s">
        <v>31</v>
      </c>
      <c r="F25" t="s">
        <v>1064</v>
      </c>
      <c r="M25" t="str">
        <f>+I41</f>
        <v>V</v>
      </c>
      <c r="N25">
        <f>+G41</f>
        <v>12.07</v>
      </c>
      <c r="O25" t="str">
        <f>+J41</f>
        <v>TIA</v>
      </c>
      <c r="P25">
        <f>+E41</f>
        <v>2457105.2652799999</v>
      </c>
      <c r="Q25" t="str">
        <f>+F41</f>
        <v>2015 Mar. 23.76528</v>
      </c>
    </row>
    <row r="26" spans="1:17" x14ac:dyDescent="0.25">
      <c r="D26" t="s">
        <v>1386</v>
      </c>
      <c r="E26">
        <v>2457429.4954599999</v>
      </c>
      <c r="F26" t="s">
        <v>1396</v>
      </c>
      <c r="G26">
        <v>11.01</v>
      </c>
      <c r="H26">
        <v>6.0000000000000001E-3</v>
      </c>
      <c r="I26" t="s">
        <v>34</v>
      </c>
      <c r="J26" t="s">
        <v>19</v>
      </c>
      <c r="K26" t="s">
        <v>20</v>
      </c>
      <c r="M26" t="str">
        <f>+I44</f>
        <v>R</v>
      </c>
      <c r="N26">
        <f>+G44</f>
        <v>10.61</v>
      </c>
      <c r="O26" t="str">
        <f>+J44</f>
        <v>TIA</v>
      </c>
      <c r="P26">
        <f>+E44</f>
        <v>2457105.2652799999</v>
      </c>
      <c r="Q26" t="str">
        <f>+F44</f>
        <v>2015 Mar. 23.76528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27</v>
      </c>
      <c r="B28" t="s">
        <v>1397</v>
      </c>
      <c r="C28" t="s">
        <v>29</v>
      </c>
      <c r="D28" t="s">
        <v>1395</v>
      </c>
      <c r="E28" t="s">
        <v>31</v>
      </c>
      <c r="F28" t="s">
        <v>1064</v>
      </c>
    </row>
    <row r="29" spans="1:17" x14ac:dyDescent="0.25">
      <c r="D29" t="s">
        <v>1386</v>
      </c>
      <c r="E29">
        <v>2457424.2513899999</v>
      </c>
      <c r="F29" t="s">
        <v>1398</v>
      </c>
      <c r="G29">
        <v>10.23</v>
      </c>
      <c r="H29">
        <v>0.02</v>
      </c>
      <c r="I29" t="s">
        <v>18</v>
      </c>
      <c r="J29" t="s">
        <v>254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1391</v>
      </c>
      <c r="B31" t="s">
        <v>1392</v>
      </c>
      <c r="C31" t="s">
        <v>67</v>
      </c>
      <c r="D31" t="s">
        <v>1390</v>
      </c>
      <c r="E31" t="s">
        <v>31</v>
      </c>
      <c r="F31" t="s">
        <v>31</v>
      </c>
    </row>
    <row r="32" spans="1:17" x14ac:dyDescent="0.25">
      <c r="D32" t="s">
        <v>1386</v>
      </c>
      <c r="E32">
        <v>2457387.3722199998</v>
      </c>
      <c r="F32" t="s">
        <v>1399</v>
      </c>
      <c r="G32">
        <v>11.17</v>
      </c>
      <c r="H32">
        <v>0.02</v>
      </c>
      <c r="I32" t="s">
        <v>34</v>
      </c>
      <c r="J32" t="s">
        <v>254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1388</v>
      </c>
      <c r="B34" t="s">
        <v>1389</v>
      </c>
      <c r="C34" t="s">
        <v>67</v>
      </c>
      <c r="D34" t="s">
        <v>1390</v>
      </c>
      <c r="E34" t="s">
        <v>31</v>
      </c>
      <c r="F34" t="s">
        <v>31</v>
      </c>
    </row>
    <row r="35" spans="1:11" x14ac:dyDescent="0.25">
      <c r="D35" t="s">
        <v>1386</v>
      </c>
      <c r="E35">
        <v>2457387.3722199998</v>
      </c>
      <c r="F35" t="s">
        <v>1399</v>
      </c>
      <c r="G35">
        <v>10.27</v>
      </c>
      <c r="H35">
        <v>2.5000000000000001E-2</v>
      </c>
      <c r="I35" t="s">
        <v>18</v>
      </c>
      <c r="J35" t="s">
        <v>254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1400</v>
      </c>
      <c r="B37" t="s">
        <v>1392</v>
      </c>
      <c r="C37" t="s">
        <v>67</v>
      </c>
      <c r="D37" t="s">
        <v>1390</v>
      </c>
      <c r="E37" t="s">
        <v>31</v>
      </c>
      <c r="F37" t="s">
        <v>31</v>
      </c>
    </row>
    <row r="38" spans="1:11" x14ac:dyDescent="0.25">
      <c r="D38" t="s">
        <v>1386</v>
      </c>
      <c r="E38">
        <v>2457226.3277799999</v>
      </c>
      <c r="F38" t="s">
        <v>1401</v>
      </c>
      <c r="G38">
        <v>12.56</v>
      </c>
      <c r="H38">
        <v>1.4999999999999999E-2</v>
      </c>
      <c r="I38" t="s">
        <v>18</v>
      </c>
      <c r="J38" t="s">
        <v>254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1402</v>
      </c>
      <c r="B40" t="s">
        <v>31</v>
      </c>
      <c r="C40" t="s">
        <v>67</v>
      </c>
      <c r="D40" t="s">
        <v>1403</v>
      </c>
      <c r="E40" t="s">
        <v>31</v>
      </c>
      <c r="F40" t="s">
        <v>31</v>
      </c>
    </row>
    <row r="41" spans="1:11" x14ac:dyDescent="0.25">
      <c r="D41" t="s">
        <v>1386</v>
      </c>
      <c r="E41">
        <v>2457105.2652799999</v>
      </c>
      <c r="F41" t="s">
        <v>1404</v>
      </c>
      <c r="G41">
        <v>12.07</v>
      </c>
      <c r="H41">
        <v>1.4999999999999999E-2</v>
      </c>
      <c r="I41" t="s">
        <v>18</v>
      </c>
      <c r="J41" t="s">
        <v>254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1405</v>
      </c>
      <c r="B43" t="s">
        <v>31</v>
      </c>
      <c r="C43" t="s">
        <v>67</v>
      </c>
      <c r="D43" t="s">
        <v>1406</v>
      </c>
      <c r="E43" t="s">
        <v>31</v>
      </c>
      <c r="F43" t="s">
        <v>31</v>
      </c>
    </row>
    <row r="44" spans="1:11" x14ac:dyDescent="0.25">
      <c r="D44" t="s">
        <v>1386</v>
      </c>
      <c r="E44">
        <v>2457105.2652799999</v>
      </c>
      <c r="F44" t="s">
        <v>1404</v>
      </c>
      <c r="G44">
        <v>10.61</v>
      </c>
      <c r="H44">
        <v>1.4999999999999999E-2</v>
      </c>
      <c r="I44" t="s">
        <v>250</v>
      </c>
      <c r="J44" t="s">
        <v>254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1407</v>
      </c>
      <c r="B46" t="s">
        <v>31</v>
      </c>
      <c r="C46" t="s">
        <v>67</v>
      </c>
      <c r="D46" t="s">
        <v>1406</v>
      </c>
      <c r="E46" t="s">
        <v>31</v>
      </c>
      <c r="F46" t="s">
        <v>31</v>
      </c>
    </row>
    <row r="47" spans="1:11" x14ac:dyDescent="0.25">
      <c r="D47" t="s">
        <v>1386</v>
      </c>
      <c r="E47">
        <v>2457099.3138899999</v>
      </c>
      <c r="F47" t="s">
        <v>1408</v>
      </c>
      <c r="G47">
        <v>11.95</v>
      </c>
      <c r="H47">
        <v>1.4999999999999999E-2</v>
      </c>
      <c r="I47" t="s">
        <v>18</v>
      </c>
      <c r="J47" t="s">
        <v>254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1405</v>
      </c>
      <c r="B49" t="s">
        <v>31</v>
      </c>
      <c r="C49" t="s">
        <v>67</v>
      </c>
      <c r="D49" t="s">
        <v>1406</v>
      </c>
      <c r="E49" t="s">
        <v>31</v>
      </c>
      <c r="F49" t="s">
        <v>31</v>
      </c>
    </row>
    <row r="50" spans="1:11" x14ac:dyDescent="0.25">
      <c r="D50" t="s">
        <v>1386</v>
      </c>
      <c r="E50">
        <v>2457099.3138899999</v>
      </c>
      <c r="F50" t="s">
        <v>1408</v>
      </c>
      <c r="G50">
        <v>10.48</v>
      </c>
      <c r="H50">
        <v>1.4999999999999999E-2</v>
      </c>
      <c r="I50" t="s">
        <v>250</v>
      </c>
      <c r="J50" t="s">
        <v>254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1407</v>
      </c>
      <c r="B52" t="s">
        <v>31</v>
      </c>
      <c r="C52" t="s">
        <v>67</v>
      </c>
      <c r="D52" t="s">
        <v>1406</v>
      </c>
      <c r="E52" t="s">
        <v>31</v>
      </c>
      <c r="F52" t="s">
        <v>31</v>
      </c>
    </row>
    <row r="53" spans="1:11" x14ac:dyDescent="0.25">
      <c r="D53" t="s">
        <v>1386</v>
      </c>
      <c r="E53">
        <v>2457091.2659700001</v>
      </c>
      <c r="F53" t="s">
        <v>1409</v>
      </c>
      <c r="G53">
        <v>11.79</v>
      </c>
      <c r="H53">
        <v>0.01</v>
      </c>
      <c r="I53" t="s">
        <v>18</v>
      </c>
      <c r="J53" t="s">
        <v>254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1405</v>
      </c>
      <c r="B55" t="s">
        <v>31</v>
      </c>
      <c r="C55" t="s">
        <v>67</v>
      </c>
      <c r="D55" t="s">
        <v>1406</v>
      </c>
      <c r="E55" t="s">
        <v>31</v>
      </c>
      <c r="F55" t="s">
        <v>31</v>
      </c>
    </row>
    <row r="56" spans="1:11" x14ac:dyDescent="0.25">
      <c r="D56" t="s">
        <v>1386</v>
      </c>
      <c r="E56">
        <v>2457091.2659700001</v>
      </c>
      <c r="F56" t="s">
        <v>1409</v>
      </c>
      <c r="G56">
        <v>10.39</v>
      </c>
      <c r="H56">
        <v>0.01</v>
      </c>
      <c r="I56" t="s">
        <v>250</v>
      </c>
      <c r="J56" t="s">
        <v>254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1407</v>
      </c>
      <c r="B58" t="s">
        <v>31</v>
      </c>
      <c r="C58" t="s">
        <v>67</v>
      </c>
      <c r="D58" t="s">
        <v>1406</v>
      </c>
      <c r="E58" t="s">
        <v>31</v>
      </c>
      <c r="F58" t="s">
        <v>31</v>
      </c>
    </row>
    <row r="59" spans="1:11" x14ac:dyDescent="0.25">
      <c r="D59" t="s">
        <v>126</v>
      </c>
      <c r="E59">
        <v>2457066.2937500002</v>
      </c>
      <c r="F59" t="s">
        <v>1410</v>
      </c>
      <c r="G59">
        <v>11.87</v>
      </c>
      <c r="H59">
        <v>1.4999999999999999E-2</v>
      </c>
      <c r="I59" t="s">
        <v>18</v>
      </c>
      <c r="J59" t="s">
        <v>254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1411</v>
      </c>
      <c r="B61" t="s">
        <v>31</v>
      </c>
      <c r="C61" t="s">
        <v>67</v>
      </c>
      <c r="D61" t="s">
        <v>1406</v>
      </c>
      <c r="E61" t="s">
        <v>31</v>
      </c>
      <c r="F61" t="s">
        <v>31</v>
      </c>
    </row>
    <row r="62" spans="1:11" x14ac:dyDescent="0.25">
      <c r="D62" t="s">
        <v>126</v>
      </c>
      <c r="E62">
        <v>2457066.2937500002</v>
      </c>
      <c r="F62" t="s">
        <v>1410</v>
      </c>
      <c r="G62">
        <v>10.5</v>
      </c>
      <c r="H62">
        <v>0.01</v>
      </c>
      <c r="I62" t="s">
        <v>250</v>
      </c>
      <c r="J62" t="s">
        <v>254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1412</v>
      </c>
      <c r="B64" t="s">
        <v>31</v>
      </c>
      <c r="C64" t="s">
        <v>67</v>
      </c>
      <c r="D64" t="s">
        <v>1406</v>
      </c>
      <c r="E64" t="s">
        <v>31</v>
      </c>
      <c r="F64" t="s">
        <v>31</v>
      </c>
    </row>
    <row r="65" spans="1:11" x14ac:dyDescent="0.25">
      <c r="D65" t="s">
        <v>1386</v>
      </c>
      <c r="E65">
        <v>2457036.3638900002</v>
      </c>
      <c r="F65" t="s">
        <v>1413</v>
      </c>
      <c r="G65">
        <v>12.15</v>
      </c>
      <c r="H65">
        <v>0.01</v>
      </c>
      <c r="I65" t="s">
        <v>18</v>
      </c>
      <c r="J65" t="s">
        <v>254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1411</v>
      </c>
      <c r="B67" t="s">
        <v>31</v>
      </c>
      <c r="C67" t="s">
        <v>67</v>
      </c>
      <c r="D67" t="s">
        <v>1406</v>
      </c>
      <c r="E67" t="s">
        <v>31</v>
      </c>
      <c r="F67" t="s">
        <v>31</v>
      </c>
    </row>
    <row r="68" spans="1:11" x14ac:dyDescent="0.25">
      <c r="D68" t="s">
        <v>1386</v>
      </c>
      <c r="E68">
        <v>2457036.3638900002</v>
      </c>
      <c r="F68" t="s">
        <v>1413</v>
      </c>
      <c r="G68">
        <v>10.67</v>
      </c>
      <c r="H68">
        <v>0.02</v>
      </c>
      <c r="I68" t="s">
        <v>250</v>
      </c>
      <c r="J68" t="s">
        <v>254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1412</v>
      </c>
      <c r="B70" t="s">
        <v>31</v>
      </c>
      <c r="C70" t="s">
        <v>67</v>
      </c>
      <c r="D70" t="s">
        <v>1406</v>
      </c>
      <c r="E70" t="s">
        <v>31</v>
      </c>
      <c r="F70" t="s">
        <v>31</v>
      </c>
    </row>
    <row r="71" spans="1:11" x14ac:dyDescent="0.25">
      <c r="D71" t="s">
        <v>1386</v>
      </c>
      <c r="E71">
        <v>2457036.3638900002</v>
      </c>
      <c r="F71" t="s">
        <v>1413</v>
      </c>
      <c r="G71">
        <v>8.98</v>
      </c>
      <c r="H71">
        <v>1.4999999999999999E-2</v>
      </c>
      <c r="I71" t="s">
        <v>249</v>
      </c>
      <c r="J71" t="s">
        <v>254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1414</v>
      </c>
      <c r="B73" t="s">
        <v>31</v>
      </c>
      <c r="C73" t="s">
        <v>67</v>
      </c>
      <c r="D73" t="s">
        <v>1406</v>
      </c>
      <c r="E73" t="s">
        <v>31</v>
      </c>
      <c r="F73" t="s">
        <v>31</v>
      </c>
    </row>
    <row r="74" spans="1:11" x14ac:dyDescent="0.25">
      <c r="D74" t="s">
        <v>1386</v>
      </c>
      <c r="E74">
        <v>2456747.3054399998</v>
      </c>
      <c r="F74" t="s">
        <v>1415</v>
      </c>
      <c r="G74">
        <v>8.3550000000000004</v>
      </c>
      <c r="H74">
        <v>5.5E-2</v>
      </c>
      <c r="I74" t="s">
        <v>249</v>
      </c>
      <c r="J74" t="s">
        <v>470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471</v>
      </c>
      <c r="B76" t="s">
        <v>1416</v>
      </c>
      <c r="C76" t="s">
        <v>29</v>
      </c>
      <c r="D76" t="s">
        <v>1417</v>
      </c>
      <c r="E76" t="s">
        <v>31</v>
      </c>
      <c r="F76" t="s">
        <v>1418</v>
      </c>
    </row>
    <row r="77" spans="1:11" x14ac:dyDescent="0.25">
      <c r="D77" t="s">
        <v>1386</v>
      </c>
      <c r="E77">
        <v>2456747.3028699998</v>
      </c>
      <c r="F77" t="s">
        <v>1419</v>
      </c>
      <c r="G77">
        <v>9.5640000000000001</v>
      </c>
      <c r="H77">
        <v>2.1999999999999999E-2</v>
      </c>
      <c r="I77" t="s">
        <v>250</v>
      </c>
      <c r="J77" t="s">
        <v>470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471</v>
      </c>
      <c r="B79" t="s">
        <v>1420</v>
      </c>
      <c r="C79" t="s">
        <v>29</v>
      </c>
      <c r="D79" t="s">
        <v>1417</v>
      </c>
      <c r="E79" t="s">
        <v>31</v>
      </c>
      <c r="F79" t="s">
        <v>1418</v>
      </c>
    </row>
    <row r="80" spans="1:11" x14ac:dyDescent="0.25">
      <c r="D80" t="s">
        <v>1386</v>
      </c>
      <c r="E80">
        <v>2456747.2952000001</v>
      </c>
      <c r="F80" t="s">
        <v>1421</v>
      </c>
      <c r="G80">
        <v>10.367000000000001</v>
      </c>
      <c r="H80">
        <v>2.3E-2</v>
      </c>
      <c r="I80" t="s">
        <v>18</v>
      </c>
      <c r="J80" t="s">
        <v>470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471</v>
      </c>
      <c r="B82" t="s">
        <v>1422</v>
      </c>
      <c r="C82" t="s">
        <v>29</v>
      </c>
      <c r="D82" t="s">
        <v>1417</v>
      </c>
      <c r="E82" t="s">
        <v>31</v>
      </c>
      <c r="F82" t="s">
        <v>1423</v>
      </c>
    </row>
    <row r="83" spans="1:11" x14ac:dyDescent="0.25">
      <c r="D83" t="s">
        <v>1386</v>
      </c>
      <c r="E83">
        <v>2456747.2860599998</v>
      </c>
      <c r="F83" t="s">
        <v>1424</v>
      </c>
      <c r="G83">
        <v>11.131</v>
      </c>
      <c r="H83">
        <v>2.5999999999999999E-2</v>
      </c>
      <c r="I83" t="s">
        <v>34</v>
      </c>
      <c r="J83" t="s">
        <v>470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471</v>
      </c>
      <c r="B85" t="s">
        <v>1425</v>
      </c>
      <c r="C85" t="s">
        <v>29</v>
      </c>
      <c r="D85" t="s">
        <v>1417</v>
      </c>
      <c r="E85" t="s">
        <v>31</v>
      </c>
      <c r="F85" t="s">
        <v>1426</v>
      </c>
    </row>
    <row r="86" spans="1:11" x14ac:dyDescent="0.25">
      <c r="D86" t="s">
        <v>1386</v>
      </c>
      <c r="E86">
        <v>2456724.3568899999</v>
      </c>
      <c r="F86" t="s">
        <v>1427</v>
      </c>
      <c r="G86">
        <v>8.2959999999999994</v>
      </c>
      <c r="H86">
        <v>0.04</v>
      </c>
      <c r="I86" t="s">
        <v>249</v>
      </c>
      <c r="J86" t="s">
        <v>470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471</v>
      </c>
      <c r="B88" t="s">
        <v>1428</v>
      </c>
      <c r="C88" t="s">
        <v>29</v>
      </c>
      <c r="D88" t="s">
        <v>1417</v>
      </c>
      <c r="E88" t="s">
        <v>31</v>
      </c>
      <c r="F88" t="s">
        <v>1418</v>
      </c>
    </row>
    <row r="89" spans="1:11" x14ac:dyDescent="0.25">
      <c r="D89" t="s">
        <v>1386</v>
      </c>
      <c r="E89">
        <v>2456724.3544299998</v>
      </c>
      <c r="F89" t="s">
        <v>1429</v>
      </c>
      <c r="G89">
        <v>9.5259999999999998</v>
      </c>
      <c r="H89">
        <v>2.3E-2</v>
      </c>
      <c r="I89" t="s">
        <v>250</v>
      </c>
      <c r="J89" t="s">
        <v>470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471</v>
      </c>
      <c r="B91" t="s">
        <v>1430</v>
      </c>
      <c r="C91" t="s">
        <v>29</v>
      </c>
      <c r="D91" t="s">
        <v>1417</v>
      </c>
      <c r="E91" t="s">
        <v>31</v>
      </c>
      <c r="F91" t="s">
        <v>1418</v>
      </c>
    </row>
    <row r="92" spans="1:11" x14ac:dyDescent="0.25">
      <c r="A92" t="s">
        <v>1431</v>
      </c>
    </row>
  </sheetData>
  <hyperlinks>
    <hyperlink ref="L1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Q92"/>
  <sheetViews>
    <sheetView topLeftCell="C1" workbookViewId="0">
      <selection activeCell="F17" sqref="F17"/>
    </sheetView>
  </sheetViews>
  <sheetFormatPr baseColWidth="10" defaultRowHeight="15" x14ac:dyDescent="0.25"/>
  <cols>
    <col min="1" max="2" width="19" customWidth="1"/>
    <col min="3" max="3" width="12.28515625" customWidth="1"/>
    <col min="4" max="4" width="10.5703125" customWidth="1"/>
    <col min="5" max="5" width="15.5703125" customWidth="1"/>
    <col min="6" max="6" width="81.140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0" x14ac:dyDescent="0.25">
      <c r="A1" t="s">
        <v>0</v>
      </c>
    </row>
    <row r="3" spans="1:10" x14ac:dyDescent="0.25">
      <c r="A3" t="s">
        <v>1</v>
      </c>
    </row>
    <row r="4" spans="1:10" x14ac:dyDescent="0.25">
      <c r="A4" t="s">
        <v>2</v>
      </c>
    </row>
    <row r="5" spans="1:10" x14ac:dyDescent="0.25">
      <c r="A5" t="s">
        <v>3</v>
      </c>
    </row>
    <row r="6" spans="1:10" x14ac:dyDescent="0.25">
      <c r="A6" t="s">
        <v>4</v>
      </c>
    </row>
    <row r="8" spans="1:10" x14ac:dyDescent="0.25">
      <c r="A8" t="s">
        <v>5</v>
      </c>
    </row>
    <row r="10" spans="1:10" x14ac:dyDescent="0.25">
      <c r="A10" t="s">
        <v>2280</v>
      </c>
    </row>
    <row r="12" spans="1:10" x14ac:dyDescent="0.25">
      <c r="A12" t="s">
        <v>6</v>
      </c>
    </row>
    <row r="13" spans="1:10" x14ac:dyDescent="0.25">
      <c r="A13" t="s">
        <v>7</v>
      </c>
    </row>
    <row r="14" spans="1:10" x14ac:dyDescent="0.25">
      <c r="A14" t="s">
        <v>8</v>
      </c>
    </row>
    <row r="16" spans="1:10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251</v>
      </c>
      <c r="E17">
        <v>2457713.4655499998</v>
      </c>
      <c r="F17" t="s">
        <v>2281</v>
      </c>
      <c r="G17">
        <v>10.987</v>
      </c>
      <c r="H17">
        <v>5.0000000000000001E-3</v>
      </c>
      <c r="I17" t="s">
        <v>18</v>
      </c>
      <c r="J17" t="s">
        <v>252</v>
      </c>
      <c r="K17" t="s">
        <v>20</v>
      </c>
      <c r="M17" t="str">
        <f>+I17</f>
        <v>V</v>
      </c>
      <c r="N17">
        <f>+G17</f>
        <v>10.987</v>
      </c>
      <c r="O17" t="str">
        <f>+J17</f>
        <v>DKS</v>
      </c>
      <c r="P17">
        <f>+E17</f>
        <v>2457713.4655499998</v>
      </c>
      <c r="Q17" t="str">
        <f>+F17</f>
        <v>2016 Nov. 20.96555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10.981</v>
      </c>
      <c r="O18" t="str">
        <f>+J20</f>
        <v>DKS</v>
      </c>
      <c r="P18">
        <f>+E20</f>
        <v>2457712.4690700001</v>
      </c>
      <c r="Q18" t="str">
        <f>+F20</f>
        <v>2016 Nov. 19.96907</v>
      </c>
    </row>
    <row r="19" spans="1:17" x14ac:dyDescent="0.25">
      <c r="A19" t="s">
        <v>2110</v>
      </c>
      <c r="B19" t="s">
        <v>2282</v>
      </c>
      <c r="C19" t="s">
        <v>67</v>
      </c>
      <c r="D19" t="s">
        <v>2112</v>
      </c>
      <c r="E19" t="s">
        <v>31</v>
      </c>
      <c r="F19" t="s">
        <v>253</v>
      </c>
      <c r="M19" t="str">
        <f>+I23</f>
        <v>V</v>
      </c>
      <c r="N19">
        <f>+G23</f>
        <v>10.920999999999999</v>
      </c>
      <c r="O19" t="str">
        <f>+J23</f>
        <v>DKS</v>
      </c>
      <c r="P19">
        <f>+E23</f>
        <v>2457708.4682900002</v>
      </c>
      <c r="Q19" t="str">
        <f>+F23</f>
        <v>2016 Nov. 15.96829</v>
      </c>
    </row>
    <row r="20" spans="1:17" x14ac:dyDescent="0.25">
      <c r="D20" t="s">
        <v>251</v>
      </c>
      <c r="E20">
        <v>2457712.4690700001</v>
      </c>
      <c r="F20" t="s">
        <v>2283</v>
      </c>
      <c r="G20">
        <v>10.981</v>
      </c>
      <c r="H20">
        <v>4.0000000000000001E-3</v>
      </c>
      <c r="I20" t="s">
        <v>18</v>
      </c>
      <c r="J20" t="s">
        <v>252</v>
      </c>
      <c r="K20" t="s">
        <v>20</v>
      </c>
      <c r="M20" t="str">
        <f>+I26</f>
        <v>V</v>
      </c>
      <c r="N20">
        <f>+G26</f>
        <v>10.936999999999999</v>
      </c>
      <c r="O20" t="str">
        <f>+J26</f>
        <v>DKS</v>
      </c>
      <c r="P20">
        <f>+E26</f>
        <v>2457698.54287</v>
      </c>
      <c r="Q20" t="str">
        <f>+F26</f>
        <v>2016 Nov. 06.04287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10.938000000000001</v>
      </c>
      <c r="O21" t="str">
        <f>+J29</f>
        <v>DKS</v>
      </c>
      <c r="P21">
        <f>+E29</f>
        <v>2457695.5629400001</v>
      </c>
      <c r="Q21" t="str">
        <f>+F29</f>
        <v>2016 Nov. 03.06294</v>
      </c>
    </row>
    <row r="22" spans="1:17" x14ac:dyDescent="0.25">
      <c r="A22" t="s">
        <v>2110</v>
      </c>
      <c r="B22" t="s">
        <v>2282</v>
      </c>
      <c r="C22" t="s">
        <v>67</v>
      </c>
      <c r="D22" t="s">
        <v>2112</v>
      </c>
      <c r="E22" t="s">
        <v>31</v>
      </c>
      <c r="F22" t="s">
        <v>253</v>
      </c>
      <c r="M22" t="str">
        <f>+I32</f>
        <v>V</v>
      </c>
      <c r="N22">
        <f>+G32</f>
        <v>10.925000000000001</v>
      </c>
      <c r="O22" t="str">
        <f>+J32</f>
        <v>DKS</v>
      </c>
      <c r="P22">
        <f>+E32</f>
        <v>2457685.4838299998</v>
      </c>
      <c r="Q22" t="str">
        <f>+F32</f>
        <v>2016 Oct. 23.98383</v>
      </c>
    </row>
    <row r="23" spans="1:17" x14ac:dyDescent="0.25">
      <c r="D23" t="s">
        <v>251</v>
      </c>
      <c r="E23">
        <v>2457708.4682900002</v>
      </c>
      <c r="F23" t="s">
        <v>2284</v>
      </c>
      <c r="G23">
        <v>10.920999999999999</v>
      </c>
      <c r="H23">
        <v>6.0000000000000001E-3</v>
      </c>
      <c r="I23" t="s">
        <v>18</v>
      </c>
      <c r="J23" t="s">
        <v>252</v>
      </c>
      <c r="K23" t="s">
        <v>20</v>
      </c>
      <c r="M23" t="str">
        <f>+I35</f>
        <v>V</v>
      </c>
      <c r="N23">
        <f>+G35</f>
        <v>10.923</v>
      </c>
      <c r="O23" t="str">
        <f>+J35</f>
        <v>DKS</v>
      </c>
      <c r="P23">
        <f>+E35</f>
        <v>2457681.4781300002</v>
      </c>
      <c r="Q23" t="str">
        <f>+F35</f>
        <v>2016 Oct. 19.97813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10.898999999999999</v>
      </c>
      <c r="O24" t="str">
        <f>+J38</f>
        <v>DKS</v>
      </c>
      <c r="P24">
        <f>+E38</f>
        <v>2457680.6142299999</v>
      </c>
      <c r="Q24" t="str">
        <f>+F38</f>
        <v>2016 Oct. 19.11423</v>
      </c>
    </row>
    <row r="25" spans="1:17" x14ac:dyDescent="0.25">
      <c r="A25" t="s">
        <v>2110</v>
      </c>
      <c r="B25" t="s">
        <v>2285</v>
      </c>
      <c r="C25" t="s">
        <v>67</v>
      </c>
      <c r="D25" t="s">
        <v>2112</v>
      </c>
      <c r="E25" t="s">
        <v>31</v>
      </c>
      <c r="F25" t="s">
        <v>253</v>
      </c>
      <c r="M25" t="str">
        <f>+I41</f>
        <v>V</v>
      </c>
      <c r="N25">
        <f>+G41</f>
        <v>10.869</v>
      </c>
      <c r="O25" t="str">
        <f>+J41</f>
        <v>DKS</v>
      </c>
      <c r="P25">
        <f>+E41</f>
        <v>2457671.4892299999</v>
      </c>
      <c r="Q25" t="str">
        <f>+F41</f>
        <v>2016 Oct. 09.98923</v>
      </c>
    </row>
    <row r="26" spans="1:17" x14ac:dyDescent="0.25">
      <c r="D26" t="s">
        <v>251</v>
      </c>
      <c r="E26">
        <v>2457698.54287</v>
      </c>
      <c r="F26" t="s">
        <v>2286</v>
      </c>
      <c r="G26">
        <v>10.936999999999999</v>
      </c>
      <c r="H26">
        <v>7.0000000000000001E-3</v>
      </c>
      <c r="I26" t="s">
        <v>18</v>
      </c>
      <c r="J26" t="s">
        <v>252</v>
      </c>
      <c r="K26" t="s">
        <v>20</v>
      </c>
      <c r="M26" t="str">
        <f>+I44</f>
        <v>V</v>
      </c>
      <c r="N26">
        <f>+G44</f>
        <v>10.82</v>
      </c>
      <c r="O26" t="str">
        <f>+J44</f>
        <v>TIA</v>
      </c>
      <c r="P26">
        <f>+E44</f>
        <v>2457659.2638900001</v>
      </c>
      <c r="Q26" t="str">
        <f>+F44</f>
        <v>2016 Sep. 27.76389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2110</v>
      </c>
      <c r="B28" t="s">
        <v>2287</v>
      </c>
      <c r="C28" t="s">
        <v>67</v>
      </c>
      <c r="D28" t="s">
        <v>2112</v>
      </c>
      <c r="E28" t="s">
        <v>31</v>
      </c>
      <c r="F28" t="s">
        <v>253</v>
      </c>
    </row>
    <row r="29" spans="1:17" x14ac:dyDescent="0.25">
      <c r="D29" t="s">
        <v>251</v>
      </c>
      <c r="E29">
        <v>2457695.5629400001</v>
      </c>
      <c r="F29" t="s">
        <v>2288</v>
      </c>
      <c r="G29">
        <v>10.938000000000001</v>
      </c>
      <c r="H29">
        <v>7.0000000000000001E-3</v>
      </c>
      <c r="I29" t="s">
        <v>18</v>
      </c>
      <c r="J29" t="s">
        <v>252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2110</v>
      </c>
      <c r="B31" t="s">
        <v>2289</v>
      </c>
      <c r="C31" t="s">
        <v>67</v>
      </c>
      <c r="D31" t="s">
        <v>2112</v>
      </c>
      <c r="E31" t="s">
        <v>31</v>
      </c>
      <c r="F31" t="s">
        <v>253</v>
      </c>
    </row>
    <row r="32" spans="1:17" x14ac:dyDescent="0.25">
      <c r="D32" t="s">
        <v>251</v>
      </c>
      <c r="E32">
        <v>2457685.4838299998</v>
      </c>
      <c r="F32" t="s">
        <v>2290</v>
      </c>
      <c r="G32">
        <v>10.925000000000001</v>
      </c>
      <c r="H32">
        <v>6.0000000000000001E-3</v>
      </c>
      <c r="I32" t="s">
        <v>18</v>
      </c>
      <c r="J32" t="s">
        <v>252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2110</v>
      </c>
      <c r="B34" t="s">
        <v>2289</v>
      </c>
      <c r="C34" t="s">
        <v>67</v>
      </c>
      <c r="D34" t="s">
        <v>2112</v>
      </c>
      <c r="E34" t="s">
        <v>31</v>
      </c>
      <c r="F34" t="s">
        <v>253</v>
      </c>
    </row>
    <row r="35" spans="1:11" x14ac:dyDescent="0.25">
      <c r="D35" t="s">
        <v>251</v>
      </c>
      <c r="E35">
        <v>2457681.4781300002</v>
      </c>
      <c r="F35" t="s">
        <v>2291</v>
      </c>
      <c r="G35">
        <v>10.923</v>
      </c>
      <c r="H35">
        <v>8.0000000000000002E-3</v>
      </c>
      <c r="I35" t="s">
        <v>18</v>
      </c>
      <c r="J35" t="s">
        <v>252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2110</v>
      </c>
      <c r="B37" t="s">
        <v>2292</v>
      </c>
      <c r="C37" t="s">
        <v>67</v>
      </c>
      <c r="D37" t="s">
        <v>2112</v>
      </c>
      <c r="E37" t="s">
        <v>31</v>
      </c>
      <c r="F37" t="s">
        <v>253</v>
      </c>
    </row>
    <row r="38" spans="1:11" x14ac:dyDescent="0.25">
      <c r="D38" t="s">
        <v>251</v>
      </c>
      <c r="E38">
        <v>2457680.6142299999</v>
      </c>
      <c r="F38" t="s">
        <v>2293</v>
      </c>
      <c r="G38">
        <v>10.898999999999999</v>
      </c>
      <c r="H38">
        <v>8.0000000000000002E-3</v>
      </c>
      <c r="I38" t="s">
        <v>18</v>
      </c>
      <c r="J38" t="s">
        <v>252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2110</v>
      </c>
      <c r="B40" t="s">
        <v>2294</v>
      </c>
      <c r="C40" t="s">
        <v>67</v>
      </c>
      <c r="D40" t="s">
        <v>2112</v>
      </c>
      <c r="E40" t="s">
        <v>31</v>
      </c>
      <c r="F40" t="s">
        <v>253</v>
      </c>
    </row>
    <row r="41" spans="1:11" x14ac:dyDescent="0.25">
      <c r="D41" t="s">
        <v>251</v>
      </c>
      <c r="E41">
        <v>2457671.4892299999</v>
      </c>
      <c r="F41" t="s">
        <v>2295</v>
      </c>
      <c r="G41">
        <v>10.869</v>
      </c>
      <c r="H41">
        <v>8.0000000000000002E-3</v>
      </c>
      <c r="I41" t="s">
        <v>18</v>
      </c>
      <c r="J41" t="s">
        <v>252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2110</v>
      </c>
      <c r="B43" t="s">
        <v>2296</v>
      </c>
      <c r="C43" t="s">
        <v>67</v>
      </c>
      <c r="D43" t="s">
        <v>2112</v>
      </c>
      <c r="E43" t="s">
        <v>31</v>
      </c>
      <c r="F43" t="s">
        <v>253</v>
      </c>
    </row>
    <row r="44" spans="1:11" x14ac:dyDescent="0.25">
      <c r="D44" t="s">
        <v>251</v>
      </c>
      <c r="E44">
        <v>2457659.2638900001</v>
      </c>
      <c r="F44" t="s">
        <v>2297</v>
      </c>
      <c r="G44">
        <v>10.82</v>
      </c>
      <c r="H44">
        <v>0.02</v>
      </c>
      <c r="I44" t="s">
        <v>18</v>
      </c>
      <c r="J44" t="s">
        <v>254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1731</v>
      </c>
      <c r="B46" t="s">
        <v>31</v>
      </c>
      <c r="C46" t="s">
        <v>67</v>
      </c>
      <c r="D46" t="s">
        <v>1732</v>
      </c>
      <c r="E46" t="s">
        <v>31</v>
      </c>
      <c r="F46" t="s">
        <v>31</v>
      </c>
    </row>
    <row r="47" spans="1:11" x14ac:dyDescent="0.25">
      <c r="D47" t="s">
        <v>251</v>
      </c>
      <c r="E47">
        <v>2457659.2638900001</v>
      </c>
      <c r="F47" t="s">
        <v>2297</v>
      </c>
      <c r="G47">
        <v>12.02</v>
      </c>
      <c r="H47">
        <v>0.02</v>
      </c>
      <c r="I47" t="s">
        <v>34</v>
      </c>
      <c r="J47" t="s">
        <v>254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1733</v>
      </c>
      <c r="B49" t="s">
        <v>31</v>
      </c>
      <c r="C49" t="s">
        <v>67</v>
      </c>
      <c r="D49" t="s">
        <v>1732</v>
      </c>
      <c r="E49" t="s">
        <v>31</v>
      </c>
      <c r="F49" t="s">
        <v>31</v>
      </c>
    </row>
    <row r="50" spans="1:11" x14ac:dyDescent="0.25">
      <c r="D50" t="s">
        <v>251</v>
      </c>
      <c r="E50">
        <v>2457643.5163199999</v>
      </c>
      <c r="F50" t="s">
        <v>2201</v>
      </c>
      <c r="G50">
        <v>10.881</v>
      </c>
      <c r="H50">
        <v>7.0000000000000001E-3</v>
      </c>
      <c r="I50" t="s">
        <v>18</v>
      </c>
      <c r="J50" t="s">
        <v>252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2110</v>
      </c>
      <c r="B52" t="s">
        <v>2202</v>
      </c>
      <c r="C52" t="s">
        <v>67</v>
      </c>
      <c r="D52" t="s">
        <v>2112</v>
      </c>
      <c r="E52" t="s">
        <v>31</v>
      </c>
      <c r="F52" t="s">
        <v>253</v>
      </c>
    </row>
    <row r="53" spans="1:11" x14ac:dyDescent="0.25">
      <c r="D53" t="s">
        <v>251</v>
      </c>
      <c r="E53">
        <v>2457639.51278</v>
      </c>
      <c r="F53" t="s">
        <v>2109</v>
      </c>
      <c r="G53">
        <v>10.89</v>
      </c>
      <c r="H53">
        <v>8.9999999999999993E-3</v>
      </c>
      <c r="I53" t="s">
        <v>18</v>
      </c>
      <c r="J53" t="s">
        <v>252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2110</v>
      </c>
      <c r="B55" t="s">
        <v>2111</v>
      </c>
      <c r="C55" t="s">
        <v>67</v>
      </c>
      <c r="D55" t="s">
        <v>2112</v>
      </c>
      <c r="E55" t="s">
        <v>31</v>
      </c>
      <c r="F55" t="s">
        <v>253</v>
      </c>
    </row>
    <row r="56" spans="1:11" x14ac:dyDescent="0.25">
      <c r="D56" t="s">
        <v>251</v>
      </c>
      <c r="E56">
        <v>2457639.3409699998</v>
      </c>
      <c r="F56" t="s">
        <v>2203</v>
      </c>
      <c r="G56">
        <v>10.87</v>
      </c>
      <c r="H56">
        <v>0.02</v>
      </c>
      <c r="I56" t="s">
        <v>18</v>
      </c>
      <c r="J56" t="s">
        <v>254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1731</v>
      </c>
      <c r="B58" t="s">
        <v>31</v>
      </c>
      <c r="C58" t="s">
        <v>67</v>
      </c>
      <c r="D58" t="s">
        <v>1732</v>
      </c>
      <c r="E58" t="s">
        <v>31</v>
      </c>
      <c r="F58" t="s">
        <v>31</v>
      </c>
    </row>
    <row r="59" spans="1:11" x14ac:dyDescent="0.25">
      <c r="D59" t="s">
        <v>251</v>
      </c>
      <c r="E59">
        <v>2457639.3409699998</v>
      </c>
      <c r="F59" t="s">
        <v>2203</v>
      </c>
      <c r="G59">
        <v>12.06</v>
      </c>
      <c r="H59">
        <v>0.01</v>
      </c>
      <c r="I59" t="s">
        <v>34</v>
      </c>
      <c r="J59" t="s">
        <v>254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1733</v>
      </c>
      <c r="B61" t="s">
        <v>31</v>
      </c>
      <c r="C61" t="s">
        <v>67</v>
      </c>
      <c r="D61" t="s">
        <v>1732</v>
      </c>
      <c r="E61" t="s">
        <v>31</v>
      </c>
      <c r="F61" t="s">
        <v>31</v>
      </c>
    </row>
    <row r="62" spans="1:11" x14ac:dyDescent="0.25">
      <c r="D62" t="s">
        <v>251</v>
      </c>
      <c r="E62">
        <v>2457629.7466899999</v>
      </c>
      <c r="F62" t="s">
        <v>2113</v>
      </c>
      <c r="G62">
        <v>10.853</v>
      </c>
      <c r="H62">
        <v>1E-3</v>
      </c>
      <c r="I62" t="s">
        <v>18</v>
      </c>
      <c r="J62" t="s">
        <v>2114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2115</v>
      </c>
      <c r="B64" t="s">
        <v>2116</v>
      </c>
      <c r="C64" t="s">
        <v>67</v>
      </c>
      <c r="D64" t="s">
        <v>2117</v>
      </c>
      <c r="E64" t="s">
        <v>31</v>
      </c>
      <c r="F64" t="s">
        <v>2118</v>
      </c>
    </row>
    <row r="65" spans="1:11" x14ac:dyDescent="0.25">
      <c r="D65" t="s">
        <v>251</v>
      </c>
      <c r="E65">
        <v>2457628.57161</v>
      </c>
      <c r="F65" t="s">
        <v>2119</v>
      </c>
      <c r="G65">
        <v>10.91</v>
      </c>
      <c r="H65">
        <v>7.0000000000000001E-3</v>
      </c>
      <c r="I65" t="s">
        <v>18</v>
      </c>
      <c r="J65" t="s">
        <v>252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2110</v>
      </c>
      <c r="B67" t="s">
        <v>2120</v>
      </c>
      <c r="C67" t="s">
        <v>67</v>
      </c>
      <c r="D67" t="s">
        <v>2112</v>
      </c>
      <c r="E67" t="s">
        <v>31</v>
      </c>
      <c r="F67" t="s">
        <v>253</v>
      </c>
    </row>
    <row r="68" spans="1:11" x14ac:dyDescent="0.25">
      <c r="D68" t="s">
        <v>251</v>
      </c>
      <c r="E68">
        <v>2457628.3131900001</v>
      </c>
      <c r="F68" t="s">
        <v>2121</v>
      </c>
      <c r="G68">
        <v>10.86</v>
      </c>
      <c r="H68">
        <v>1.4999999999999999E-2</v>
      </c>
      <c r="I68" t="s">
        <v>18</v>
      </c>
      <c r="J68" t="s">
        <v>254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1731</v>
      </c>
      <c r="B70" t="s">
        <v>31</v>
      </c>
      <c r="C70" t="s">
        <v>67</v>
      </c>
      <c r="D70" t="s">
        <v>1732</v>
      </c>
      <c r="E70" t="s">
        <v>31</v>
      </c>
      <c r="F70" t="s">
        <v>31</v>
      </c>
    </row>
    <row r="71" spans="1:11" x14ac:dyDescent="0.25">
      <c r="D71" t="s">
        <v>251</v>
      </c>
      <c r="E71">
        <v>2457628.3131900001</v>
      </c>
      <c r="F71" t="s">
        <v>2121</v>
      </c>
      <c r="G71">
        <v>12.08</v>
      </c>
      <c r="H71">
        <v>1.4999999999999999E-2</v>
      </c>
      <c r="I71" t="s">
        <v>34</v>
      </c>
      <c r="J71" t="s">
        <v>254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1733</v>
      </c>
      <c r="B73" t="s">
        <v>31</v>
      </c>
      <c r="C73" t="s">
        <v>67</v>
      </c>
      <c r="D73" t="s">
        <v>1732</v>
      </c>
      <c r="E73" t="s">
        <v>31</v>
      </c>
      <c r="F73" t="s">
        <v>31</v>
      </c>
    </row>
    <row r="74" spans="1:11" x14ac:dyDescent="0.25">
      <c r="D74" t="s">
        <v>251</v>
      </c>
      <c r="E74">
        <v>2457599.36944</v>
      </c>
      <c r="F74" t="s">
        <v>1730</v>
      </c>
      <c r="G74">
        <v>10.63</v>
      </c>
      <c r="H74">
        <v>1.4999999999999999E-2</v>
      </c>
      <c r="I74" t="s">
        <v>18</v>
      </c>
      <c r="J74" t="s">
        <v>254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1731</v>
      </c>
      <c r="B76" t="s">
        <v>31</v>
      </c>
      <c r="C76" t="s">
        <v>67</v>
      </c>
      <c r="D76" t="s">
        <v>1732</v>
      </c>
      <c r="E76" t="s">
        <v>31</v>
      </c>
      <c r="F76" t="s">
        <v>31</v>
      </c>
    </row>
    <row r="77" spans="1:11" x14ac:dyDescent="0.25">
      <c r="D77" t="s">
        <v>251</v>
      </c>
      <c r="E77">
        <v>2457599.36944</v>
      </c>
      <c r="F77" t="s">
        <v>1730</v>
      </c>
      <c r="G77">
        <v>11.91</v>
      </c>
      <c r="H77">
        <v>0.01</v>
      </c>
      <c r="I77" t="s">
        <v>34</v>
      </c>
      <c r="J77" t="s">
        <v>254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1733</v>
      </c>
      <c r="B79" t="s">
        <v>31</v>
      </c>
      <c r="C79" t="s">
        <v>67</v>
      </c>
      <c r="D79" t="s">
        <v>1732</v>
      </c>
      <c r="E79" t="s">
        <v>31</v>
      </c>
      <c r="F79" t="s">
        <v>31</v>
      </c>
    </row>
    <row r="80" spans="1:11" x14ac:dyDescent="0.25">
      <c r="D80" t="s">
        <v>251</v>
      </c>
      <c r="E80">
        <v>2457593.9005399998</v>
      </c>
      <c r="F80" t="s">
        <v>1713</v>
      </c>
      <c r="G80">
        <v>7.6849999999999996</v>
      </c>
      <c r="H80">
        <v>5.7000000000000002E-2</v>
      </c>
      <c r="I80" t="s">
        <v>249</v>
      </c>
      <c r="J80" t="s">
        <v>1583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1714</v>
      </c>
      <c r="B82" t="s">
        <v>1715</v>
      </c>
      <c r="C82" t="s">
        <v>29</v>
      </c>
      <c r="D82" t="s">
        <v>1716</v>
      </c>
      <c r="E82" t="s">
        <v>31</v>
      </c>
      <c r="F82" t="s">
        <v>1717</v>
      </c>
    </row>
    <row r="83" spans="1:11" x14ac:dyDescent="0.25">
      <c r="D83" t="s">
        <v>251</v>
      </c>
      <c r="E83">
        <v>2457593.9001600002</v>
      </c>
      <c r="F83" t="s">
        <v>1718</v>
      </c>
      <c r="G83">
        <v>7.6870000000000003</v>
      </c>
      <c r="H83">
        <v>5.7000000000000002E-2</v>
      </c>
      <c r="I83" t="s">
        <v>249</v>
      </c>
      <c r="J83" t="s">
        <v>1583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1719</v>
      </c>
      <c r="B85" t="s">
        <v>1720</v>
      </c>
      <c r="C85" t="s">
        <v>29</v>
      </c>
      <c r="D85" t="s">
        <v>1716</v>
      </c>
      <c r="E85" t="s">
        <v>31</v>
      </c>
      <c r="F85" t="s">
        <v>1721</v>
      </c>
    </row>
    <row r="86" spans="1:11" x14ac:dyDescent="0.25">
      <c r="D86" t="s">
        <v>251</v>
      </c>
      <c r="E86">
        <v>2457593.8997900002</v>
      </c>
      <c r="F86" t="s">
        <v>1722</v>
      </c>
      <c r="G86">
        <v>7.6980000000000004</v>
      </c>
      <c r="H86">
        <v>5.7000000000000002E-2</v>
      </c>
      <c r="I86" t="s">
        <v>249</v>
      </c>
      <c r="J86" t="s">
        <v>1583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1723</v>
      </c>
      <c r="B88" t="s">
        <v>1724</v>
      </c>
      <c r="C88" t="s">
        <v>29</v>
      </c>
      <c r="D88" t="s">
        <v>1716</v>
      </c>
      <c r="E88" t="s">
        <v>31</v>
      </c>
      <c r="F88" t="s">
        <v>1725</v>
      </c>
    </row>
    <row r="89" spans="1:11" x14ac:dyDescent="0.25">
      <c r="D89" t="s">
        <v>251</v>
      </c>
      <c r="E89">
        <v>2457593.8985799998</v>
      </c>
      <c r="F89" t="s">
        <v>1726</v>
      </c>
      <c r="G89">
        <v>12.015000000000001</v>
      </c>
      <c r="H89">
        <v>4.2999999999999997E-2</v>
      </c>
      <c r="I89" t="s">
        <v>34</v>
      </c>
      <c r="J89" t="s">
        <v>1583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1727</v>
      </c>
      <c r="B91" t="s">
        <v>1728</v>
      </c>
      <c r="C91" t="s">
        <v>29</v>
      </c>
      <c r="D91" t="s">
        <v>1716</v>
      </c>
      <c r="E91" t="s">
        <v>31</v>
      </c>
      <c r="F91" t="s">
        <v>1729</v>
      </c>
    </row>
    <row r="92" spans="1:11" x14ac:dyDescent="0.25">
      <c r="A92" t="s">
        <v>2204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Q92"/>
  <sheetViews>
    <sheetView topLeftCell="A4" workbookViewId="0">
      <selection activeCell="D11" sqref="D11"/>
    </sheetView>
  </sheetViews>
  <sheetFormatPr baseColWidth="10" defaultRowHeight="15" x14ac:dyDescent="0.25"/>
  <cols>
    <col min="1" max="2" width="19.5703125" customWidth="1"/>
    <col min="3" max="3" width="12.28515625" customWidth="1"/>
    <col min="4" max="4" width="9.28515625" customWidth="1"/>
    <col min="5" max="5" width="15.5703125" customWidth="1"/>
    <col min="6" max="6" width="33.57031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374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2298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246</v>
      </c>
      <c r="E17">
        <v>2457717.5988599998</v>
      </c>
      <c r="F17" t="s">
        <v>2299</v>
      </c>
      <c r="G17">
        <v>6.6760000000000002</v>
      </c>
      <c r="H17">
        <v>0.02</v>
      </c>
      <c r="I17" t="s">
        <v>250</v>
      </c>
      <c r="J17" t="s">
        <v>248</v>
      </c>
      <c r="K17" t="s">
        <v>20</v>
      </c>
      <c r="M17" t="str">
        <f>+I17</f>
        <v>R</v>
      </c>
      <c r="N17">
        <f>+G17</f>
        <v>6.6760000000000002</v>
      </c>
      <c r="O17" t="str">
        <f>+J17</f>
        <v>JM</v>
      </c>
      <c r="P17">
        <f>+E17</f>
        <v>2457717.5988599998</v>
      </c>
      <c r="Q17" t="str">
        <f>+F17</f>
        <v>2016 Nov. 25.09886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8.6110000000000007</v>
      </c>
      <c r="O18" t="str">
        <f>+J20</f>
        <v>JM</v>
      </c>
      <c r="P18">
        <f>+E20</f>
        <v>2457717.5985400002</v>
      </c>
      <c r="Q18" t="str">
        <f>+F20</f>
        <v>2016 Nov. 25.09854</v>
      </c>
    </row>
    <row r="19" spans="1:17" x14ac:dyDescent="0.25">
      <c r="A19" t="s">
        <v>2028</v>
      </c>
      <c r="B19" t="s">
        <v>2300</v>
      </c>
      <c r="C19" t="s">
        <v>67</v>
      </c>
      <c r="D19" t="s">
        <v>2029</v>
      </c>
      <c r="E19" t="s">
        <v>31</v>
      </c>
      <c r="F19" t="s">
        <v>31</v>
      </c>
      <c r="M19" t="str">
        <f>+I23</f>
        <v>B</v>
      </c>
      <c r="N19">
        <f>+G23</f>
        <v>9.8919999999999995</v>
      </c>
      <c r="O19" t="str">
        <f>+J23</f>
        <v>JM</v>
      </c>
      <c r="P19">
        <f>+E23</f>
        <v>2457717.5981899998</v>
      </c>
      <c r="Q19" t="str">
        <f>+F23</f>
        <v>2016 Nov. 25.09819</v>
      </c>
    </row>
    <row r="20" spans="1:17" x14ac:dyDescent="0.25">
      <c r="D20" t="s">
        <v>246</v>
      </c>
      <c r="E20">
        <v>2457717.5985400002</v>
      </c>
      <c r="F20" t="s">
        <v>2301</v>
      </c>
      <c r="G20">
        <v>8.6110000000000007</v>
      </c>
      <c r="H20">
        <v>0.02</v>
      </c>
      <c r="I20" t="s">
        <v>18</v>
      </c>
      <c r="J20" t="s">
        <v>248</v>
      </c>
      <c r="K20" t="s">
        <v>20</v>
      </c>
      <c r="M20" t="str">
        <f>+I26</f>
        <v>R</v>
      </c>
      <c r="N20">
        <f>+G26</f>
        <v>6.5819999999999999</v>
      </c>
      <c r="O20" t="str">
        <f>+J26</f>
        <v>JM</v>
      </c>
      <c r="P20">
        <f>+E26</f>
        <v>2457715.6093799998</v>
      </c>
      <c r="Q20" t="str">
        <f>+F26</f>
        <v>2016 Nov. 23.10938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8.2799999999999994</v>
      </c>
      <c r="O21" t="str">
        <f>+J29</f>
        <v>JM</v>
      </c>
      <c r="P21">
        <f>+E29</f>
        <v>2457715.6090500001</v>
      </c>
      <c r="Q21" t="str">
        <f>+F29</f>
        <v>2016 Nov. 23.10905</v>
      </c>
    </row>
    <row r="22" spans="1:17" x14ac:dyDescent="0.25">
      <c r="A22" t="s">
        <v>2030</v>
      </c>
      <c r="B22" t="s">
        <v>2302</v>
      </c>
      <c r="C22" t="s">
        <v>67</v>
      </c>
      <c r="D22" t="s">
        <v>2029</v>
      </c>
      <c r="E22" t="s">
        <v>31</v>
      </c>
      <c r="F22" t="s">
        <v>31</v>
      </c>
      <c r="M22" t="str">
        <f>+I32</f>
        <v>B</v>
      </c>
      <c r="N22">
        <f>+G32</f>
        <v>9.4619999999999997</v>
      </c>
      <c r="O22" t="str">
        <f>+J32</f>
        <v>JM</v>
      </c>
      <c r="P22">
        <f>+E32</f>
        <v>2457715.6087199999</v>
      </c>
      <c r="Q22" t="str">
        <f>+F32</f>
        <v>2016 Nov. 23.10872</v>
      </c>
    </row>
    <row r="23" spans="1:17" x14ac:dyDescent="0.25">
      <c r="D23" t="s">
        <v>246</v>
      </c>
      <c r="E23">
        <v>2457717.5981899998</v>
      </c>
      <c r="F23" t="s">
        <v>2303</v>
      </c>
      <c r="G23">
        <v>9.8919999999999995</v>
      </c>
      <c r="H23">
        <v>0.02</v>
      </c>
      <c r="I23" t="s">
        <v>34</v>
      </c>
      <c r="J23" t="s">
        <v>248</v>
      </c>
      <c r="K23" t="s">
        <v>20</v>
      </c>
      <c r="M23" t="str">
        <f>+I35</f>
        <v>R</v>
      </c>
      <c r="N23">
        <f>+G35</f>
        <v>6.6929999999999996</v>
      </c>
      <c r="O23" t="str">
        <f>+J35</f>
        <v>JM</v>
      </c>
      <c r="P23">
        <f>+E35</f>
        <v>2457713.5934700002</v>
      </c>
      <c r="Q23" t="str">
        <f>+F35</f>
        <v>2016 Nov. 21.09347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8.4250000000000007</v>
      </c>
      <c r="O24" t="str">
        <f>+J38</f>
        <v>JM</v>
      </c>
      <c r="P24">
        <f>+E38</f>
        <v>2457713.5930699999</v>
      </c>
      <c r="Q24" t="str">
        <f>+F38</f>
        <v>2016 Nov. 21.09307</v>
      </c>
    </row>
    <row r="25" spans="1:17" x14ac:dyDescent="0.25">
      <c r="A25" t="s">
        <v>2031</v>
      </c>
      <c r="B25" t="s">
        <v>2304</v>
      </c>
      <c r="C25" t="s">
        <v>67</v>
      </c>
      <c r="D25" t="s">
        <v>2029</v>
      </c>
      <c r="E25" t="s">
        <v>31</v>
      </c>
      <c r="F25" t="s">
        <v>31</v>
      </c>
      <c r="M25" t="str">
        <f>+I41</f>
        <v>B</v>
      </c>
      <c r="N25">
        <f>+G41</f>
        <v>9.4619999999999997</v>
      </c>
      <c r="O25" t="str">
        <f>+J41</f>
        <v>JM</v>
      </c>
      <c r="P25">
        <f>+E41</f>
        <v>2457713.5926299999</v>
      </c>
      <c r="Q25" t="str">
        <f>+F41</f>
        <v>2016 Nov. 21.09263</v>
      </c>
    </row>
    <row r="26" spans="1:17" x14ac:dyDescent="0.25">
      <c r="D26" t="s">
        <v>246</v>
      </c>
      <c r="E26">
        <v>2457715.6093799998</v>
      </c>
      <c r="F26" t="s">
        <v>2305</v>
      </c>
      <c r="G26">
        <v>6.5819999999999999</v>
      </c>
      <c r="H26">
        <v>0.02</v>
      </c>
      <c r="I26" t="s">
        <v>250</v>
      </c>
      <c r="J26" t="s">
        <v>248</v>
      </c>
      <c r="K26" t="s">
        <v>20</v>
      </c>
      <c r="M26" t="str">
        <f>+I44</f>
        <v>R</v>
      </c>
      <c r="N26">
        <f>+G44</f>
        <v>6.673</v>
      </c>
      <c r="O26" t="str">
        <f>+J44</f>
        <v>JM</v>
      </c>
      <c r="P26">
        <f>+E44</f>
        <v>2457712.5990599999</v>
      </c>
      <c r="Q26" t="str">
        <f>+F44</f>
        <v>2016 Nov. 20.09906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2028</v>
      </c>
      <c r="B28" t="s">
        <v>2306</v>
      </c>
      <c r="C28" t="s">
        <v>67</v>
      </c>
      <c r="D28" t="s">
        <v>2029</v>
      </c>
      <c r="E28" t="s">
        <v>31</v>
      </c>
      <c r="F28" t="s">
        <v>31</v>
      </c>
    </row>
    <row r="29" spans="1:17" x14ac:dyDescent="0.25">
      <c r="D29" t="s">
        <v>246</v>
      </c>
      <c r="E29">
        <v>2457715.6090500001</v>
      </c>
      <c r="F29" t="s">
        <v>2307</v>
      </c>
      <c r="G29">
        <v>8.2799999999999994</v>
      </c>
      <c r="H29">
        <v>0.02</v>
      </c>
      <c r="I29" t="s">
        <v>18</v>
      </c>
      <c r="J29" t="s">
        <v>248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2030</v>
      </c>
      <c r="B31" t="s">
        <v>2308</v>
      </c>
      <c r="C31" t="s">
        <v>67</v>
      </c>
      <c r="D31" t="s">
        <v>2029</v>
      </c>
      <c r="E31" t="s">
        <v>31</v>
      </c>
      <c r="F31" t="s">
        <v>31</v>
      </c>
    </row>
    <row r="32" spans="1:17" x14ac:dyDescent="0.25">
      <c r="D32" t="s">
        <v>246</v>
      </c>
      <c r="E32">
        <v>2457715.6087199999</v>
      </c>
      <c r="F32" t="s">
        <v>2309</v>
      </c>
      <c r="G32">
        <v>9.4619999999999997</v>
      </c>
      <c r="H32">
        <v>0.02</v>
      </c>
      <c r="I32" t="s">
        <v>34</v>
      </c>
      <c r="J32" t="s">
        <v>248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2031</v>
      </c>
      <c r="B34" t="s">
        <v>2310</v>
      </c>
      <c r="C34" t="s">
        <v>67</v>
      </c>
      <c r="D34" t="s">
        <v>2029</v>
      </c>
      <c r="E34" t="s">
        <v>31</v>
      </c>
      <c r="F34" t="s">
        <v>31</v>
      </c>
    </row>
    <row r="35" spans="1:11" x14ac:dyDescent="0.25">
      <c r="D35" t="s">
        <v>246</v>
      </c>
      <c r="E35">
        <v>2457713.5934700002</v>
      </c>
      <c r="F35" t="s">
        <v>2311</v>
      </c>
      <c r="G35">
        <v>6.6929999999999996</v>
      </c>
      <c r="H35">
        <v>0.02</v>
      </c>
      <c r="I35" t="s">
        <v>250</v>
      </c>
      <c r="J35" t="s">
        <v>248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2028</v>
      </c>
      <c r="B37" t="s">
        <v>2312</v>
      </c>
      <c r="C37" t="s">
        <v>67</v>
      </c>
      <c r="D37" t="s">
        <v>2029</v>
      </c>
      <c r="E37" t="s">
        <v>31</v>
      </c>
      <c r="F37" t="s">
        <v>31</v>
      </c>
    </row>
    <row r="38" spans="1:11" x14ac:dyDescent="0.25">
      <c r="D38" t="s">
        <v>246</v>
      </c>
      <c r="E38">
        <v>2457713.5930699999</v>
      </c>
      <c r="F38" t="s">
        <v>2313</v>
      </c>
      <c r="G38">
        <v>8.4250000000000007</v>
      </c>
      <c r="H38">
        <v>0.02</v>
      </c>
      <c r="I38" t="s">
        <v>18</v>
      </c>
      <c r="J38" t="s">
        <v>248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2030</v>
      </c>
      <c r="B40" t="s">
        <v>2314</v>
      </c>
      <c r="C40" t="s">
        <v>67</v>
      </c>
      <c r="D40" t="s">
        <v>2029</v>
      </c>
      <c r="E40" t="s">
        <v>31</v>
      </c>
      <c r="F40" t="s">
        <v>31</v>
      </c>
    </row>
    <row r="41" spans="1:11" x14ac:dyDescent="0.25">
      <c r="D41" t="s">
        <v>246</v>
      </c>
      <c r="E41">
        <v>2457713.5926299999</v>
      </c>
      <c r="F41" t="s">
        <v>2315</v>
      </c>
      <c r="G41">
        <v>9.4619999999999997</v>
      </c>
      <c r="H41">
        <v>0.02</v>
      </c>
      <c r="I41" t="s">
        <v>34</v>
      </c>
      <c r="J41" t="s">
        <v>248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2031</v>
      </c>
      <c r="B43" t="s">
        <v>2316</v>
      </c>
      <c r="C43" t="s">
        <v>67</v>
      </c>
      <c r="D43" t="s">
        <v>2029</v>
      </c>
      <c r="E43" t="s">
        <v>31</v>
      </c>
      <c r="F43" t="s">
        <v>31</v>
      </c>
    </row>
    <row r="44" spans="1:11" x14ac:dyDescent="0.25">
      <c r="D44" t="s">
        <v>246</v>
      </c>
      <c r="E44">
        <v>2457712.5990599999</v>
      </c>
      <c r="F44" t="s">
        <v>2317</v>
      </c>
      <c r="G44">
        <v>6.673</v>
      </c>
      <c r="H44">
        <v>0.02</v>
      </c>
      <c r="I44" t="s">
        <v>250</v>
      </c>
      <c r="J44" t="s">
        <v>248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2028</v>
      </c>
      <c r="B46" t="s">
        <v>2318</v>
      </c>
      <c r="C46" t="s">
        <v>67</v>
      </c>
      <c r="D46" t="s">
        <v>2029</v>
      </c>
      <c r="E46" t="s">
        <v>31</v>
      </c>
      <c r="F46" t="s">
        <v>31</v>
      </c>
    </row>
    <row r="47" spans="1:11" x14ac:dyDescent="0.25">
      <c r="D47" t="s">
        <v>246</v>
      </c>
      <c r="E47">
        <v>2457712.5987300002</v>
      </c>
      <c r="F47" t="s">
        <v>2319</v>
      </c>
      <c r="G47">
        <v>8.3989999999999991</v>
      </c>
      <c r="H47">
        <v>0.02</v>
      </c>
      <c r="I47" t="s">
        <v>18</v>
      </c>
      <c r="J47" t="s">
        <v>248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2030</v>
      </c>
      <c r="B49" t="s">
        <v>2320</v>
      </c>
      <c r="C49" t="s">
        <v>67</v>
      </c>
      <c r="D49" t="s">
        <v>2029</v>
      </c>
      <c r="E49" t="s">
        <v>31</v>
      </c>
      <c r="F49" t="s">
        <v>31</v>
      </c>
    </row>
    <row r="50" spans="1:11" x14ac:dyDescent="0.25">
      <c r="D50" t="s">
        <v>246</v>
      </c>
      <c r="E50">
        <v>2457712.5983899999</v>
      </c>
      <c r="F50" t="s">
        <v>2321</v>
      </c>
      <c r="G50">
        <v>9.4710000000000001</v>
      </c>
      <c r="H50">
        <v>0.02</v>
      </c>
      <c r="I50" t="s">
        <v>34</v>
      </c>
      <c r="J50" t="s">
        <v>248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2031</v>
      </c>
      <c r="B52" t="s">
        <v>2322</v>
      </c>
      <c r="C52" t="s">
        <v>67</v>
      </c>
      <c r="D52" t="s">
        <v>2029</v>
      </c>
      <c r="E52" t="s">
        <v>31</v>
      </c>
      <c r="F52" t="s">
        <v>31</v>
      </c>
    </row>
    <row r="53" spans="1:11" x14ac:dyDescent="0.25">
      <c r="D53" t="s">
        <v>246</v>
      </c>
      <c r="E53">
        <v>2457711.6081599998</v>
      </c>
      <c r="F53" t="s">
        <v>2323</v>
      </c>
      <c r="G53">
        <v>6.7220000000000004</v>
      </c>
      <c r="H53">
        <v>0.02</v>
      </c>
      <c r="I53" t="s">
        <v>250</v>
      </c>
      <c r="J53" t="s">
        <v>248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2028</v>
      </c>
      <c r="B55" t="s">
        <v>2324</v>
      </c>
      <c r="C55" t="s">
        <v>67</v>
      </c>
      <c r="D55" t="s">
        <v>2029</v>
      </c>
      <c r="E55" t="s">
        <v>31</v>
      </c>
      <c r="F55" t="s">
        <v>31</v>
      </c>
    </row>
    <row r="56" spans="1:11" x14ac:dyDescent="0.25">
      <c r="D56" t="s">
        <v>246</v>
      </c>
      <c r="E56">
        <v>2457711.6079699998</v>
      </c>
      <c r="F56" t="s">
        <v>2325</v>
      </c>
      <c r="G56">
        <v>8.3119999999999994</v>
      </c>
      <c r="H56">
        <v>0.02</v>
      </c>
      <c r="I56" t="s">
        <v>18</v>
      </c>
      <c r="J56" t="s">
        <v>248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2030</v>
      </c>
      <c r="B58" t="s">
        <v>2326</v>
      </c>
      <c r="C58" t="s">
        <v>67</v>
      </c>
      <c r="D58" t="s">
        <v>2029</v>
      </c>
      <c r="E58" t="s">
        <v>31</v>
      </c>
      <c r="F58" t="s">
        <v>31</v>
      </c>
    </row>
    <row r="59" spans="1:11" x14ac:dyDescent="0.25">
      <c r="D59" t="s">
        <v>246</v>
      </c>
      <c r="E59">
        <v>2457711.6077800002</v>
      </c>
      <c r="F59" t="s">
        <v>2327</v>
      </c>
      <c r="G59">
        <v>9.4819999999999993</v>
      </c>
      <c r="H59">
        <v>0.02</v>
      </c>
      <c r="I59" t="s">
        <v>34</v>
      </c>
      <c r="J59" t="s">
        <v>248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2031</v>
      </c>
      <c r="B61" t="s">
        <v>2328</v>
      </c>
      <c r="C61" t="s">
        <v>67</v>
      </c>
      <c r="D61" t="s">
        <v>2029</v>
      </c>
      <c r="E61" t="s">
        <v>31</v>
      </c>
      <c r="F61" t="s">
        <v>31</v>
      </c>
    </row>
    <row r="62" spans="1:11" x14ac:dyDescent="0.25">
      <c r="D62" t="s">
        <v>246</v>
      </c>
      <c r="E62">
        <v>2457710.6012900001</v>
      </c>
      <c r="F62" t="s">
        <v>2329</v>
      </c>
      <c r="G62">
        <v>6.5789999999999997</v>
      </c>
      <c r="H62">
        <v>0.02</v>
      </c>
      <c r="I62" t="s">
        <v>250</v>
      </c>
      <c r="J62" t="s">
        <v>248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2028</v>
      </c>
      <c r="B64" t="s">
        <v>2330</v>
      </c>
      <c r="C64" t="s">
        <v>67</v>
      </c>
      <c r="D64" t="s">
        <v>2029</v>
      </c>
      <c r="E64" t="s">
        <v>31</v>
      </c>
      <c r="F64" t="s">
        <v>31</v>
      </c>
    </row>
    <row r="65" spans="1:11" x14ac:dyDescent="0.25">
      <c r="D65" t="s">
        <v>246</v>
      </c>
      <c r="E65">
        <v>2457710.6008299999</v>
      </c>
      <c r="F65" t="s">
        <v>2331</v>
      </c>
      <c r="G65">
        <v>8.4499999999999993</v>
      </c>
      <c r="H65">
        <v>0.02</v>
      </c>
      <c r="I65" t="s">
        <v>18</v>
      </c>
      <c r="J65" t="s">
        <v>248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2030</v>
      </c>
      <c r="B67" t="s">
        <v>2332</v>
      </c>
      <c r="C67" t="s">
        <v>67</v>
      </c>
      <c r="D67" t="s">
        <v>2029</v>
      </c>
      <c r="E67" t="s">
        <v>31</v>
      </c>
      <c r="F67" t="s">
        <v>31</v>
      </c>
    </row>
    <row r="68" spans="1:11" x14ac:dyDescent="0.25">
      <c r="D68" t="s">
        <v>246</v>
      </c>
      <c r="E68">
        <v>2457707.6181100002</v>
      </c>
      <c r="F68" t="s">
        <v>2333</v>
      </c>
      <c r="G68">
        <v>6.6280000000000001</v>
      </c>
      <c r="H68">
        <v>0.02</v>
      </c>
      <c r="I68" t="s">
        <v>250</v>
      </c>
      <c r="J68" t="s">
        <v>248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2028</v>
      </c>
      <c r="B70" t="s">
        <v>2334</v>
      </c>
      <c r="C70" t="s">
        <v>67</v>
      </c>
      <c r="D70" t="s">
        <v>2029</v>
      </c>
      <c r="E70" t="s">
        <v>31</v>
      </c>
      <c r="F70" t="s">
        <v>31</v>
      </c>
    </row>
    <row r="71" spans="1:11" x14ac:dyDescent="0.25">
      <c r="D71" t="s">
        <v>246</v>
      </c>
      <c r="E71">
        <v>2457707.61778</v>
      </c>
      <c r="F71" t="s">
        <v>2335</v>
      </c>
      <c r="G71">
        <v>8.1769999999999996</v>
      </c>
      <c r="H71">
        <v>0.02</v>
      </c>
      <c r="I71" t="s">
        <v>18</v>
      </c>
      <c r="J71" t="s">
        <v>248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2030</v>
      </c>
      <c r="B73" t="s">
        <v>2336</v>
      </c>
      <c r="C73" t="s">
        <v>67</v>
      </c>
      <c r="D73" t="s">
        <v>2029</v>
      </c>
      <c r="E73" t="s">
        <v>31</v>
      </c>
      <c r="F73" t="s">
        <v>31</v>
      </c>
    </row>
    <row r="74" spans="1:11" x14ac:dyDescent="0.25">
      <c r="D74" t="s">
        <v>246</v>
      </c>
      <c r="E74">
        <v>2457707.6174499998</v>
      </c>
      <c r="F74" t="s">
        <v>2337</v>
      </c>
      <c r="G74">
        <v>9.0640000000000001</v>
      </c>
      <c r="H74">
        <v>0.02</v>
      </c>
      <c r="I74" t="s">
        <v>34</v>
      </c>
      <c r="J74" t="s">
        <v>248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2031</v>
      </c>
      <c r="B76" t="s">
        <v>2338</v>
      </c>
      <c r="C76" t="s">
        <v>67</v>
      </c>
      <c r="D76" t="s">
        <v>2029</v>
      </c>
      <c r="E76" t="s">
        <v>31</v>
      </c>
      <c r="F76" t="s">
        <v>31</v>
      </c>
    </row>
    <row r="77" spans="1:11" x14ac:dyDescent="0.25">
      <c r="D77" t="s">
        <v>246</v>
      </c>
      <c r="E77">
        <v>2457706.5992899998</v>
      </c>
      <c r="F77" t="s">
        <v>2339</v>
      </c>
      <c r="G77">
        <v>6.5949999999999998</v>
      </c>
      <c r="H77">
        <v>0.02</v>
      </c>
      <c r="I77" t="s">
        <v>250</v>
      </c>
      <c r="J77" t="s">
        <v>248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2028</v>
      </c>
      <c r="B79" t="s">
        <v>2340</v>
      </c>
      <c r="C79" t="s">
        <v>67</v>
      </c>
      <c r="D79" t="s">
        <v>2029</v>
      </c>
      <c r="E79" t="s">
        <v>31</v>
      </c>
      <c r="F79" t="s">
        <v>31</v>
      </c>
    </row>
    <row r="80" spans="1:11" x14ac:dyDescent="0.25">
      <c r="D80" t="s">
        <v>246</v>
      </c>
      <c r="E80">
        <v>2457706.5989299999</v>
      </c>
      <c r="F80" t="s">
        <v>2341</v>
      </c>
      <c r="G80">
        <v>8.1839999999999993</v>
      </c>
      <c r="H80">
        <v>0.02</v>
      </c>
      <c r="I80" t="s">
        <v>18</v>
      </c>
      <c r="J80" t="s">
        <v>248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2030</v>
      </c>
      <c r="B82" t="s">
        <v>2342</v>
      </c>
      <c r="C82" t="s">
        <v>67</v>
      </c>
      <c r="D82" t="s">
        <v>2029</v>
      </c>
      <c r="E82" t="s">
        <v>31</v>
      </c>
      <c r="F82" t="s">
        <v>31</v>
      </c>
    </row>
    <row r="83" spans="1:11" x14ac:dyDescent="0.25">
      <c r="D83" t="s">
        <v>246</v>
      </c>
      <c r="E83">
        <v>2457706.5985500002</v>
      </c>
      <c r="F83" t="s">
        <v>2343</v>
      </c>
      <c r="G83">
        <v>9.1609999999999996</v>
      </c>
      <c r="H83">
        <v>0.02</v>
      </c>
      <c r="I83" t="s">
        <v>34</v>
      </c>
      <c r="J83" t="s">
        <v>248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2031</v>
      </c>
      <c r="B85" t="s">
        <v>2344</v>
      </c>
      <c r="C85" t="s">
        <v>67</v>
      </c>
      <c r="D85" t="s">
        <v>2029</v>
      </c>
      <c r="E85" t="s">
        <v>31</v>
      </c>
      <c r="F85" t="s">
        <v>31</v>
      </c>
    </row>
    <row r="86" spans="1:11" x14ac:dyDescent="0.25">
      <c r="D86" t="s">
        <v>246</v>
      </c>
      <c r="E86">
        <v>2457706.5856300001</v>
      </c>
      <c r="F86" t="s">
        <v>2345</v>
      </c>
      <c r="G86">
        <v>6.1920000000000002</v>
      </c>
      <c r="H86">
        <v>7.4999999999999997E-2</v>
      </c>
      <c r="I86" t="s">
        <v>250</v>
      </c>
      <c r="J86" t="s">
        <v>2346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2347</v>
      </c>
      <c r="B88" t="s">
        <v>2348</v>
      </c>
      <c r="C88" t="s">
        <v>67</v>
      </c>
      <c r="D88" t="s">
        <v>2349</v>
      </c>
      <c r="E88" t="s">
        <v>31</v>
      </c>
      <c r="F88" t="s">
        <v>2350</v>
      </c>
    </row>
    <row r="89" spans="1:11" x14ac:dyDescent="0.25">
      <c r="D89" t="s">
        <v>246</v>
      </c>
      <c r="E89">
        <v>2457706.5833899998</v>
      </c>
      <c r="F89" t="s">
        <v>2351</v>
      </c>
      <c r="G89">
        <v>6.2949999999999999</v>
      </c>
      <c r="H89">
        <v>4.3999999999999997E-2</v>
      </c>
      <c r="I89" t="s">
        <v>250</v>
      </c>
      <c r="J89" t="s">
        <v>2346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2352</v>
      </c>
      <c r="B91" t="s">
        <v>2353</v>
      </c>
      <c r="C91" t="s">
        <v>29</v>
      </c>
      <c r="D91" t="s">
        <v>2349</v>
      </c>
      <c r="E91" t="s">
        <v>31</v>
      </c>
      <c r="F91" t="s">
        <v>2350</v>
      </c>
    </row>
    <row r="92" spans="1:11" x14ac:dyDescent="0.25">
      <c r="A92" t="s">
        <v>2354</v>
      </c>
    </row>
  </sheetData>
  <hyperlinks>
    <hyperlink ref="L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Q26"/>
  <sheetViews>
    <sheetView topLeftCell="C1" workbookViewId="0">
      <selection activeCell="M17" sqref="M17"/>
    </sheetView>
  </sheetViews>
  <sheetFormatPr baseColWidth="10" defaultRowHeight="15" x14ac:dyDescent="0.25"/>
  <cols>
    <col min="1" max="1" width="18.85546875" bestFit="1" customWidth="1"/>
    <col min="2" max="2" width="19.28515625" bestFit="1" customWidth="1"/>
    <col min="3" max="3" width="12.28515625" bestFit="1" customWidth="1"/>
    <col min="4" max="5" width="15.5703125" bestFit="1" customWidth="1"/>
    <col min="6" max="6" width="81.140625" bestFit="1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  <col min="14" max="14" width="7" bestFit="1" customWidth="1"/>
    <col min="15" max="15" width="5.5703125" bestFit="1" customWidth="1"/>
    <col min="16" max="16" width="6" bestFit="1" customWidth="1"/>
    <col min="17" max="17" width="5.5703125" bestFit="1" customWidth="1"/>
  </cols>
  <sheetData>
    <row r="1" spans="1:12" ht="15.75" x14ac:dyDescent="0.25">
      <c r="A1" t="s">
        <v>0</v>
      </c>
      <c r="L1" s="1" t="s">
        <v>1277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1278</v>
      </c>
    </row>
    <row r="17" spans="13:17" x14ac:dyDescent="0.25">
      <c r="M17">
        <f>+I17</f>
        <v>0</v>
      </c>
      <c r="N17">
        <f>+G17</f>
        <v>0</v>
      </c>
      <c r="O17">
        <f>+J17</f>
        <v>0</v>
      </c>
      <c r="P17">
        <f>+E17</f>
        <v>0</v>
      </c>
      <c r="Q17">
        <f>+F17</f>
        <v>0</v>
      </c>
    </row>
    <row r="18" spans="13:17" x14ac:dyDescent="0.25">
      <c r="M18">
        <f>+I20</f>
        <v>0</v>
      </c>
      <c r="N18">
        <f>+G20</f>
        <v>0</v>
      </c>
      <c r="O18">
        <f>+J20</f>
        <v>0</v>
      </c>
      <c r="P18">
        <f>+E20</f>
        <v>0</v>
      </c>
      <c r="Q18">
        <f>+F20</f>
        <v>0</v>
      </c>
    </row>
    <row r="19" spans="13:17" x14ac:dyDescent="0.25">
      <c r="M19">
        <f>+I23</f>
        <v>0</v>
      </c>
      <c r="N19">
        <f>+G23</f>
        <v>0</v>
      </c>
      <c r="O19">
        <f>+J23</f>
        <v>0</v>
      </c>
      <c r="P19">
        <f>+E23</f>
        <v>0</v>
      </c>
      <c r="Q19">
        <f>+F23</f>
        <v>0</v>
      </c>
    </row>
    <row r="20" spans="13:17" x14ac:dyDescent="0.25">
      <c r="M20">
        <f>+I26</f>
        <v>0</v>
      </c>
      <c r="N20">
        <f>+G26</f>
        <v>0</v>
      </c>
      <c r="O20">
        <f>+J26</f>
        <v>0</v>
      </c>
      <c r="P20">
        <f>+E26</f>
        <v>0</v>
      </c>
      <c r="Q20">
        <f>+F26</f>
        <v>0</v>
      </c>
    </row>
    <row r="21" spans="13:17" x14ac:dyDescent="0.25">
      <c r="M21">
        <f>+I29</f>
        <v>0</v>
      </c>
      <c r="N21">
        <f>+G29</f>
        <v>0</v>
      </c>
      <c r="O21">
        <f>+J29</f>
        <v>0</v>
      </c>
      <c r="P21">
        <f>+E29</f>
        <v>0</v>
      </c>
      <c r="Q21">
        <f>+F29</f>
        <v>0</v>
      </c>
    </row>
    <row r="22" spans="13:17" x14ac:dyDescent="0.25">
      <c r="M22">
        <f>+I32</f>
        <v>0</v>
      </c>
      <c r="N22">
        <f>+G32</f>
        <v>0</v>
      </c>
      <c r="O22">
        <f>+J32</f>
        <v>0</v>
      </c>
      <c r="P22">
        <f>+E32</f>
        <v>0</v>
      </c>
      <c r="Q22">
        <f>+F32</f>
        <v>0</v>
      </c>
    </row>
    <row r="23" spans="13:17" x14ac:dyDescent="0.25">
      <c r="M23">
        <f>+I35</f>
        <v>0</v>
      </c>
      <c r="N23">
        <f>+G35</f>
        <v>0</v>
      </c>
      <c r="O23">
        <f>+J35</f>
        <v>0</v>
      </c>
      <c r="P23">
        <f>+E35</f>
        <v>0</v>
      </c>
      <c r="Q23">
        <f>+F35</f>
        <v>0</v>
      </c>
    </row>
    <row r="24" spans="13:17" x14ac:dyDescent="0.25">
      <c r="M24">
        <f>+I38</f>
        <v>0</v>
      </c>
      <c r="N24">
        <f>+G38</f>
        <v>0</v>
      </c>
      <c r="O24">
        <f>+J38</f>
        <v>0</v>
      </c>
      <c r="P24">
        <f>+E38</f>
        <v>0</v>
      </c>
      <c r="Q24">
        <f>+F38</f>
        <v>0</v>
      </c>
    </row>
    <row r="25" spans="13:17" x14ac:dyDescent="0.25">
      <c r="M25">
        <f>+I41</f>
        <v>0</v>
      </c>
      <c r="N25">
        <f>+G41</f>
        <v>0</v>
      </c>
      <c r="O25">
        <f>+J41</f>
        <v>0</v>
      </c>
      <c r="P25">
        <f>+E41</f>
        <v>0</v>
      </c>
      <c r="Q25">
        <f>+F41</f>
        <v>0</v>
      </c>
    </row>
    <row r="26" spans="13:17" x14ac:dyDescent="0.25">
      <c r="M26">
        <f>+I44</f>
        <v>0</v>
      </c>
      <c r="N26">
        <f>+G44</f>
        <v>0</v>
      </c>
      <c r="O26">
        <f>+J44</f>
        <v>0</v>
      </c>
      <c r="P26">
        <f>+E44</f>
        <v>0</v>
      </c>
      <c r="Q26">
        <f>+F44</f>
        <v>0</v>
      </c>
    </row>
  </sheetData>
  <hyperlinks>
    <hyperlink ref="L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Q92"/>
  <sheetViews>
    <sheetView workbookViewId="0">
      <selection activeCell="M6" sqref="M6"/>
    </sheetView>
  </sheetViews>
  <sheetFormatPr baseColWidth="10" defaultRowHeight="15" x14ac:dyDescent="0.25"/>
  <cols>
    <col min="1" max="2" width="19" customWidth="1"/>
    <col min="3" max="3" width="12.28515625" customWidth="1"/>
    <col min="4" max="4" width="9.7109375" customWidth="1"/>
    <col min="5" max="5" width="15.5703125" customWidth="1"/>
    <col min="6" max="6" width="38.28515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3" ht="15.75" x14ac:dyDescent="0.25">
      <c r="A1" t="s">
        <v>0</v>
      </c>
      <c r="L1" s="1" t="s">
        <v>1212</v>
      </c>
    </row>
    <row r="3" spans="1:13" x14ac:dyDescent="0.25">
      <c r="A3" t="s">
        <v>1</v>
      </c>
    </row>
    <row r="4" spans="1:13" x14ac:dyDescent="0.25">
      <c r="A4" t="s">
        <v>2</v>
      </c>
    </row>
    <row r="5" spans="1:13" x14ac:dyDescent="0.25">
      <c r="A5" t="s">
        <v>3</v>
      </c>
    </row>
    <row r="6" spans="1:13" x14ac:dyDescent="0.25">
      <c r="A6" t="s">
        <v>4</v>
      </c>
    </row>
    <row r="8" spans="1:13" x14ac:dyDescent="0.25">
      <c r="A8" t="s">
        <v>5</v>
      </c>
    </row>
    <row r="9" spans="1:13" x14ac:dyDescent="0.25">
      <c r="L9">
        <v>12</v>
      </c>
      <c r="M9">
        <v>13</v>
      </c>
    </row>
    <row r="10" spans="1:13" x14ac:dyDescent="0.25">
      <c r="A10" t="s">
        <v>2499</v>
      </c>
    </row>
    <row r="12" spans="1:13" x14ac:dyDescent="0.25">
      <c r="A12" t="s">
        <v>6</v>
      </c>
    </row>
    <row r="13" spans="1:13" x14ac:dyDescent="0.25">
      <c r="A13" t="s">
        <v>7</v>
      </c>
    </row>
    <row r="14" spans="1:13" x14ac:dyDescent="0.25">
      <c r="A14" t="s">
        <v>8</v>
      </c>
    </row>
    <row r="16" spans="1:13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1213</v>
      </c>
      <c r="E17">
        <v>2457713.4741199999</v>
      </c>
      <c r="F17" t="s">
        <v>2500</v>
      </c>
      <c r="G17">
        <v>8.8179999999999996</v>
      </c>
      <c r="H17">
        <v>4.0000000000000001E-3</v>
      </c>
      <c r="I17" t="s">
        <v>34</v>
      </c>
      <c r="J17" t="s">
        <v>252</v>
      </c>
      <c r="K17" t="s">
        <v>20</v>
      </c>
      <c r="M17" t="str">
        <f>+I17</f>
        <v>B</v>
      </c>
      <c r="N17">
        <f>+G17</f>
        <v>8.8179999999999996</v>
      </c>
      <c r="O17" t="str">
        <f>+J17</f>
        <v>DKS</v>
      </c>
      <c r="P17">
        <f>+E17</f>
        <v>2457713.4741199999</v>
      </c>
      <c r="Q17" t="str">
        <f>+F17</f>
        <v>2016 Nov. 20.97412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7.8659999999999997</v>
      </c>
      <c r="O18" t="str">
        <f>+J20</f>
        <v>DKS</v>
      </c>
      <c r="P18">
        <f>+E20</f>
        <v>2457703.4682300002</v>
      </c>
      <c r="Q18" t="str">
        <f>+F20</f>
        <v>2016 Nov. 10.96823</v>
      </c>
    </row>
    <row r="19" spans="1:17" x14ac:dyDescent="0.25">
      <c r="A19" t="s">
        <v>1216</v>
      </c>
      <c r="B19" t="s">
        <v>2501</v>
      </c>
      <c r="C19" t="s">
        <v>67</v>
      </c>
      <c r="D19" t="s">
        <v>1217</v>
      </c>
      <c r="E19" t="s">
        <v>31</v>
      </c>
      <c r="F19" t="s">
        <v>253</v>
      </c>
      <c r="M19" t="str">
        <f>+I23</f>
        <v>B</v>
      </c>
      <c r="N19">
        <f>+G23</f>
        <v>8.91</v>
      </c>
      <c r="O19" t="str">
        <f>+J23</f>
        <v>DKS</v>
      </c>
      <c r="P19">
        <f>+E23</f>
        <v>2457703.4672599998</v>
      </c>
      <c r="Q19" t="str">
        <f>+F23</f>
        <v>2016 Nov. 10.96726</v>
      </c>
    </row>
    <row r="20" spans="1:17" x14ac:dyDescent="0.25">
      <c r="D20" t="s">
        <v>1213</v>
      </c>
      <c r="E20">
        <v>2457703.4682300002</v>
      </c>
      <c r="F20" t="s">
        <v>2502</v>
      </c>
      <c r="G20">
        <v>7.8659999999999997</v>
      </c>
      <c r="H20">
        <v>5.0000000000000001E-3</v>
      </c>
      <c r="I20" t="s">
        <v>18</v>
      </c>
      <c r="J20" t="s">
        <v>252</v>
      </c>
      <c r="K20" t="s">
        <v>20</v>
      </c>
      <c r="M20" t="str">
        <f>+I26</f>
        <v>V</v>
      </c>
      <c r="N20">
        <f>+G26</f>
        <v>7.8380000000000001</v>
      </c>
      <c r="O20" t="str">
        <f>+J26</f>
        <v>DKS</v>
      </c>
      <c r="P20">
        <f>+E26</f>
        <v>2457696.7421800001</v>
      </c>
      <c r="Q20" t="str">
        <f>+F26</f>
        <v>2016 Nov. 04.24218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B</v>
      </c>
      <c r="N21">
        <f>+G29</f>
        <v>8.8819999999999997</v>
      </c>
      <c r="O21" t="str">
        <f>+J29</f>
        <v>DKS</v>
      </c>
      <c r="P21">
        <f>+E29</f>
        <v>2457696.7412899998</v>
      </c>
      <c r="Q21" t="str">
        <f>+F29</f>
        <v>2016 Nov. 04.24129</v>
      </c>
    </row>
    <row r="22" spans="1:17" x14ac:dyDescent="0.25">
      <c r="A22" t="s">
        <v>1214</v>
      </c>
      <c r="B22" t="s">
        <v>1886</v>
      </c>
      <c r="C22" t="s">
        <v>29</v>
      </c>
      <c r="D22" t="s">
        <v>1215</v>
      </c>
      <c r="E22" t="s">
        <v>31</v>
      </c>
      <c r="F22" t="s">
        <v>253</v>
      </c>
      <c r="M22" t="str">
        <f>+I32</f>
        <v>V</v>
      </c>
      <c r="N22">
        <f>+G32</f>
        <v>7.8360000000000003</v>
      </c>
      <c r="O22" t="str">
        <f>+J32</f>
        <v>DKS</v>
      </c>
      <c r="P22">
        <f>+E32</f>
        <v>2457694.7460099999</v>
      </c>
      <c r="Q22" t="str">
        <f>+F32</f>
        <v>2016 Nov. 02.24601</v>
      </c>
    </row>
    <row r="23" spans="1:17" x14ac:dyDescent="0.25">
      <c r="D23" t="s">
        <v>1213</v>
      </c>
      <c r="E23">
        <v>2457703.4672599998</v>
      </c>
      <c r="F23" t="s">
        <v>2503</v>
      </c>
      <c r="G23">
        <v>8.91</v>
      </c>
      <c r="H23">
        <v>6.0000000000000001E-3</v>
      </c>
      <c r="I23" t="s">
        <v>34</v>
      </c>
      <c r="J23" t="s">
        <v>252</v>
      </c>
      <c r="K23" t="s">
        <v>20</v>
      </c>
      <c r="M23" t="str">
        <f>+I35</f>
        <v>B</v>
      </c>
      <c r="N23">
        <f>+G35</f>
        <v>8.9039999999999999</v>
      </c>
      <c r="O23" t="str">
        <f>+J35</f>
        <v>DKS</v>
      </c>
      <c r="P23">
        <f>+E35</f>
        <v>2457694.7451399998</v>
      </c>
      <c r="Q23" t="str">
        <f>+F35</f>
        <v>2016 Nov. 02.24514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7.8460000000000001</v>
      </c>
      <c r="O24" t="str">
        <f>+J38</f>
        <v>DKS</v>
      </c>
      <c r="P24">
        <f>+E38</f>
        <v>2457682.7941100001</v>
      </c>
      <c r="Q24" t="str">
        <f>+F38</f>
        <v>2016 Oct. 21.29411</v>
      </c>
    </row>
    <row r="25" spans="1:17" x14ac:dyDescent="0.25">
      <c r="A25" t="s">
        <v>1216</v>
      </c>
      <c r="B25" t="s">
        <v>2504</v>
      </c>
      <c r="C25" t="s">
        <v>29</v>
      </c>
      <c r="D25" t="s">
        <v>1217</v>
      </c>
      <c r="E25" t="s">
        <v>31</v>
      </c>
      <c r="F25" t="s">
        <v>253</v>
      </c>
      <c r="M25" t="str">
        <f>+I41</f>
        <v>B</v>
      </c>
      <c r="N25">
        <f>+G41</f>
        <v>8.9</v>
      </c>
      <c r="O25" t="str">
        <f>+J41</f>
        <v>DKS</v>
      </c>
      <c r="P25">
        <f>+E41</f>
        <v>2457682.7932199999</v>
      </c>
      <c r="Q25" t="str">
        <f>+F41</f>
        <v>2016 Oct. 21.29322</v>
      </c>
    </row>
    <row r="26" spans="1:17" x14ac:dyDescent="0.25">
      <c r="D26" t="s">
        <v>1213</v>
      </c>
      <c r="E26">
        <v>2457696.7421800001</v>
      </c>
      <c r="F26" t="s">
        <v>2505</v>
      </c>
      <c r="G26">
        <v>7.8380000000000001</v>
      </c>
      <c r="H26">
        <v>7.0000000000000001E-3</v>
      </c>
      <c r="I26" t="s">
        <v>18</v>
      </c>
      <c r="J26" t="s">
        <v>252</v>
      </c>
      <c r="K26" t="s">
        <v>20</v>
      </c>
      <c r="M26" t="str">
        <f>+I44</f>
        <v>V</v>
      </c>
      <c r="N26">
        <f>+G44</f>
        <v>8.0410000000000004</v>
      </c>
      <c r="O26" t="str">
        <f>+J44</f>
        <v>DKS</v>
      </c>
      <c r="P26">
        <f>+E44</f>
        <v>2457680.6522300001</v>
      </c>
      <c r="Q26" t="str">
        <f>+F44</f>
        <v>2016 Oct. 19.15223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1214</v>
      </c>
      <c r="B28" t="s">
        <v>1887</v>
      </c>
      <c r="C28" t="s">
        <v>29</v>
      </c>
      <c r="D28" t="s">
        <v>1215</v>
      </c>
      <c r="E28" t="s">
        <v>31</v>
      </c>
      <c r="F28" t="s">
        <v>253</v>
      </c>
    </row>
    <row r="29" spans="1:17" x14ac:dyDescent="0.25">
      <c r="D29" t="s">
        <v>1213</v>
      </c>
      <c r="E29">
        <v>2457696.7412899998</v>
      </c>
      <c r="F29" t="s">
        <v>2506</v>
      </c>
      <c r="G29">
        <v>8.8819999999999997</v>
      </c>
      <c r="H29">
        <v>6.0000000000000001E-3</v>
      </c>
      <c r="I29" t="s">
        <v>34</v>
      </c>
      <c r="J29" t="s">
        <v>252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1216</v>
      </c>
      <c r="B31" t="s">
        <v>2507</v>
      </c>
      <c r="C31" t="s">
        <v>29</v>
      </c>
      <c r="D31" t="s">
        <v>1217</v>
      </c>
      <c r="E31" t="s">
        <v>31</v>
      </c>
      <c r="F31" t="s">
        <v>253</v>
      </c>
    </row>
    <row r="32" spans="1:17" x14ac:dyDescent="0.25">
      <c r="D32" t="s">
        <v>1213</v>
      </c>
      <c r="E32">
        <v>2457694.7460099999</v>
      </c>
      <c r="F32" t="s">
        <v>2508</v>
      </c>
      <c r="G32">
        <v>7.8360000000000003</v>
      </c>
      <c r="H32">
        <v>5.0000000000000001E-3</v>
      </c>
      <c r="I32" t="s">
        <v>18</v>
      </c>
      <c r="J32" t="s">
        <v>252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1214</v>
      </c>
      <c r="B34" t="s">
        <v>2509</v>
      </c>
      <c r="C34" t="s">
        <v>29</v>
      </c>
      <c r="D34" t="s">
        <v>1215</v>
      </c>
      <c r="E34" t="s">
        <v>31</v>
      </c>
      <c r="F34" t="s">
        <v>253</v>
      </c>
    </row>
    <row r="35" spans="1:11" x14ac:dyDescent="0.25">
      <c r="D35" t="s">
        <v>1213</v>
      </c>
      <c r="E35">
        <v>2457694.7451399998</v>
      </c>
      <c r="F35" t="s">
        <v>2510</v>
      </c>
      <c r="G35">
        <v>8.9039999999999999</v>
      </c>
      <c r="H35">
        <v>7.0000000000000001E-3</v>
      </c>
      <c r="I35" t="s">
        <v>34</v>
      </c>
      <c r="J35" t="s">
        <v>252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1216</v>
      </c>
      <c r="B37" t="s">
        <v>2511</v>
      </c>
      <c r="C37" t="s">
        <v>29</v>
      </c>
      <c r="D37" t="s">
        <v>1217</v>
      </c>
      <c r="E37" t="s">
        <v>31</v>
      </c>
      <c r="F37" t="s">
        <v>253</v>
      </c>
    </row>
    <row r="38" spans="1:11" x14ac:dyDescent="0.25">
      <c r="D38" t="s">
        <v>1213</v>
      </c>
      <c r="E38">
        <v>2457682.7941100001</v>
      </c>
      <c r="F38" t="s">
        <v>2512</v>
      </c>
      <c r="G38">
        <v>7.8460000000000001</v>
      </c>
      <c r="H38">
        <v>6.0000000000000001E-3</v>
      </c>
      <c r="I38" t="s">
        <v>18</v>
      </c>
      <c r="J38" t="s">
        <v>252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1214</v>
      </c>
      <c r="B40" t="s">
        <v>2513</v>
      </c>
      <c r="C40" t="s">
        <v>29</v>
      </c>
      <c r="D40" t="s">
        <v>1215</v>
      </c>
      <c r="E40" t="s">
        <v>31</v>
      </c>
      <c r="F40" t="s">
        <v>253</v>
      </c>
    </row>
    <row r="41" spans="1:11" x14ac:dyDescent="0.25">
      <c r="D41" t="s">
        <v>1213</v>
      </c>
      <c r="E41">
        <v>2457682.7932199999</v>
      </c>
      <c r="F41" t="s">
        <v>2514</v>
      </c>
      <c r="G41">
        <v>8.9</v>
      </c>
      <c r="H41">
        <v>6.0000000000000001E-3</v>
      </c>
      <c r="I41" t="s">
        <v>34</v>
      </c>
      <c r="J41" t="s">
        <v>252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1216</v>
      </c>
      <c r="B43" t="s">
        <v>2515</v>
      </c>
      <c r="C43" t="s">
        <v>29</v>
      </c>
      <c r="D43" t="s">
        <v>1217</v>
      </c>
      <c r="E43" t="s">
        <v>31</v>
      </c>
      <c r="F43" t="s">
        <v>253</v>
      </c>
    </row>
    <row r="44" spans="1:11" x14ac:dyDescent="0.25">
      <c r="D44" t="s">
        <v>1213</v>
      </c>
      <c r="E44">
        <v>2457680.6522300001</v>
      </c>
      <c r="F44" t="s">
        <v>2516</v>
      </c>
      <c r="G44">
        <v>8.0410000000000004</v>
      </c>
      <c r="H44">
        <v>1.2E-2</v>
      </c>
      <c r="I44" t="s">
        <v>18</v>
      </c>
      <c r="J44" t="s">
        <v>252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1214</v>
      </c>
      <c r="B46" t="s">
        <v>1886</v>
      </c>
      <c r="C46" t="s">
        <v>29</v>
      </c>
      <c r="D46" t="s">
        <v>1215</v>
      </c>
      <c r="E46" t="s">
        <v>31</v>
      </c>
      <c r="F46" t="s">
        <v>253</v>
      </c>
    </row>
    <row r="47" spans="1:11" x14ac:dyDescent="0.25">
      <c r="D47" t="s">
        <v>1213</v>
      </c>
      <c r="E47">
        <v>2457680.6513499999</v>
      </c>
      <c r="F47" t="s">
        <v>2517</v>
      </c>
      <c r="G47">
        <v>8.9</v>
      </c>
      <c r="H47">
        <v>5.0000000000000001E-3</v>
      </c>
      <c r="I47" t="s">
        <v>34</v>
      </c>
      <c r="J47" t="s">
        <v>252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1216</v>
      </c>
      <c r="B49" t="s">
        <v>2515</v>
      </c>
      <c r="C49" t="s">
        <v>29</v>
      </c>
      <c r="D49" t="s">
        <v>1217</v>
      </c>
      <c r="E49" t="s">
        <v>31</v>
      </c>
      <c r="F49" t="s">
        <v>253</v>
      </c>
    </row>
    <row r="50" spans="1:11" x14ac:dyDescent="0.25">
      <c r="D50" t="s">
        <v>1213</v>
      </c>
      <c r="E50">
        <v>2457672.6492300001</v>
      </c>
      <c r="F50" t="s">
        <v>2518</v>
      </c>
      <c r="G50">
        <v>7.8369999999999997</v>
      </c>
      <c r="H50">
        <v>8.0000000000000002E-3</v>
      </c>
      <c r="I50" t="s">
        <v>18</v>
      </c>
      <c r="J50" t="s">
        <v>252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1214</v>
      </c>
      <c r="B52" t="s">
        <v>2519</v>
      </c>
      <c r="C52" t="s">
        <v>29</v>
      </c>
      <c r="D52" t="s">
        <v>1215</v>
      </c>
      <c r="E52" t="s">
        <v>31</v>
      </c>
      <c r="F52" t="s">
        <v>253</v>
      </c>
    </row>
    <row r="53" spans="1:11" x14ac:dyDescent="0.25">
      <c r="D53" t="s">
        <v>1213</v>
      </c>
      <c r="E53">
        <v>2457672.6483700001</v>
      </c>
      <c r="F53" t="s">
        <v>2520</v>
      </c>
      <c r="G53">
        <v>8.8729999999999993</v>
      </c>
      <c r="H53">
        <v>8.9999999999999993E-3</v>
      </c>
      <c r="I53" t="s">
        <v>34</v>
      </c>
      <c r="J53" t="s">
        <v>252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1216</v>
      </c>
      <c r="B55" t="s">
        <v>2521</v>
      </c>
      <c r="C55" t="s">
        <v>29</v>
      </c>
      <c r="D55" t="s">
        <v>1217</v>
      </c>
      <c r="E55" t="s">
        <v>31</v>
      </c>
      <c r="F55" t="s">
        <v>253</v>
      </c>
    </row>
    <row r="56" spans="1:11" x14ac:dyDescent="0.25">
      <c r="D56" t="s">
        <v>1213</v>
      </c>
      <c r="E56">
        <v>2457659.9378800001</v>
      </c>
      <c r="F56" t="s">
        <v>2235</v>
      </c>
      <c r="G56">
        <v>7.7969999999999997</v>
      </c>
      <c r="H56">
        <v>1.4999999999999999E-2</v>
      </c>
      <c r="I56" t="s">
        <v>18</v>
      </c>
      <c r="J56" t="s">
        <v>252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1214</v>
      </c>
      <c r="B58" t="s">
        <v>2236</v>
      </c>
      <c r="C58" t="s">
        <v>29</v>
      </c>
      <c r="D58" t="s">
        <v>1215</v>
      </c>
      <c r="E58" t="s">
        <v>31</v>
      </c>
      <c r="F58" t="s">
        <v>253</v>
      </c>
    </row>
    <row r="59" spans="1:11" x14ac:dyDescent="0.25">
      <c r="D59" t="s">
        <v>1213</v>
      </c>
      <c r="E59">
        <v>2457659.9370300001</v>
      </c>
      <c r="F59" t="s">
        <v>2237</v>
      </c>
      <c r="G59">
        <v>8.8260000000000005</v>
      </c>
      <c r="H59">
        <v>7.0000000000000001E-3</v>
      </c>
      <c r="I59" t="s">
        <v>34</v>
      </c>
      <c r="J59" t="s">
        <v>252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1216</v>
      </c>
      <c r="B61" t="s">
        <v>2238</v>
      </c>
      <c r="C61" t="s">
        <v>29</v>
      </c>
      <c r="D61" t="s">
        <v>1217</v>
      </c>
      <c r="E61" t="s">
        <v>31</v>
      </c>
      <c r="F61" t="s">
        <v>253</v>
      </c>
    </row>
    <row r="62" spans="1:11" x14ac:dyDescent="0.25">
      <c r="D62" t="s">
        <v>1213</v>
      </c>
      <c r="E62">
        <v>2457648.9343500002</v>
      </c>
      <c r="F62" t="s">
        <v>2239</v>
      </c>
      <c r="G62">
        <v>7.8369999999999997</v>
      </c>
      <c r="H62">
        <v>8.0000000000000002E-3</v>
      </c>
      <c r="I62" t="s">
        <v>18</v>
      </c>
      <c r="J62" t="s">
        <v>252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1214</v>
      </c>
      <c r="B64" t="s">
        <v>2240</v>
      </c>
      <c r="C64" t="s">
        <v>29</v>
      </c>
      <c r="D64" t="s">
        <v>1215</v>
      </c>
      <c r="E64" t="s">
        <v>31</v>
      </c>
      <c r="F64" t="s">
        <v>253</v>
      </c>
    </row>
    <row r="65" spans="1:11" x14ac:dyDescent="0.25">
      <c r="D65" t="s">
        <v>1213</v>
      </c>
      <c r="E65">
        <v>2457648.9334900002</v>
      </c>
      <c r="F65" t="s">
        <v>2241</v>
      </c>
      <c r="G65">
        <v>8.8520000000000003</v>
      </c>
      <c r="H65">
        <v>8.0000000000000002E-3</v>
      </c>
      <c r="I65" t="s">
        <v>34</v>
      </c>
      <c r="J65" t="s">
        <v>252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1216</v>
      </c>
      <c r="B67" t="s">
        <v>2242</v>
      </c>
      <c r="C67" t="s">
        <v>29</v>
      </c>
      <c r="D67" t="s">
        <v>1217</v>
      </c>
      <c r="E67" t="s">
        <v>31</v>
      </c>
      <c r="F67" t="s">
        <v>253</v>
      </c>
    </row>
    <row r="68" spans="1:11" x14ac:dyDescent="0.25">
      <c r="D68" t="s">
        <v>1213</v>
      </c>
      <c r="E68">
        <v>2457643.9342899998</v>
      </c>
      <c r="F68" t="s">
        <v>2243</v>
      </c>
      <c r="G68">
        <v>7.7939999999999996</v>
      </c>
      <c r="H68">
        <v>1.0999999999999999E-2</v>
      </c>
      <c r="I68" t="s">
        <v>18</v>
      </c>
      <c r="J68" t="s">
        <v>252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1214</v>
      </c>
      <c r="B70" t="s">
        <v>2244</v>
      </c>
      <c r="C70" t="s">
        <v>29</v>
      </c>
      <c r="D70" t="s">
        <v>1215</v>
      </c>
      <c r="E70" t="s">
        <v>31</v>
      </c>
      <c r="F70" t="s">
        <v>253</v>
      </c>
    </row>
    <row r="71" spans="1:11" x14ac:dyDescent="0.25">
      <c r="D71" t="s">
        <v>1213</v>
      </c>
      <c r="E71">
        <v>2457643.9334300002</v>
      </c>
      <c r="F71" t="s">
        <v>2245</v>
      </c>
      <c r="G71">
        <v>8.8539999999999992</v>
      </c>
      <c r="H71">
        <v>1.0999999999999999E-2</v>
      </c>
      <c r="I71" t="s">
        <v>34</v>
      </c>
      <c r="J71" t="s">
        <v>252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1216</v>
      </c>
      <c r="B73" t="s">
        <v>2246</v>
      </c>
      <c r="C73" t="s">
        <v>29</v>
      </c>
      <c r="D73" t="s">
        <v>1217</v>
      </c>
      <c r="E73" t="s">
        <v>31</v>
      </c>
      <c r="F73" t="s">
        <v>253</v>
      </c>
    </row>
    <row r="74" spans="1:11" x14ac:dyDescent="0.25">
      <c r="D74" t="s">
        <v>1213</v>
      </c>
      <c r="E74">
        <v>2457638.9281199998</v>
      </c>
      <c r="F74" t="s">
        <v>2122</v>
      </c>
      <c r="G74">
        <v>7.742</v>
      </c>
      <c r="H74">
        <v>0.01</v>
      </c>
      <c r="I74" t="s">
        <v>18</v>
      </c>
      <c r="J74" t="s">
        <v>252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1214</v>
      </c>
      <c r="B76" t="s">
        <v>2123</v>
      </c>
      <c r="C76" t="s">
        <v>29</v>
      </c>
      <c r="D76" t="s">
        <v>1215</v>
      </c>
      <c r="E76" t="s">
        <v>31</v>
      </c>
      <c r="F76" t="s">
        <v>253</v>
      </c>
    </row>
    <row r="77" spans="1:11" x14ac:dyDescent="0.25">
      <c r="D77" t="s">
        <v>1213</v>
      </c>
      <c r="E77">
        <v>2457638.9272500002</v>
      </c>
      <c r="F77" t="s">
        <v>2124</v>
      </c>
      <c r="G77">
        <v>8.782</v>
      </c>
      <c r="H77">
        <v>8.9999999999999993E-3</v>
      </c>
      <c r="I77" t="s">
        <v>34</v>
      </c>
      <c r="J77" t="s">
        <v>252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1216</v>
      </c>
      <c r="B79" t="s">
        <v>2125</v>
      </c>
      <c r="C79" t="s">
        <v>29</v>
      </c>
      <c r="D79" t="s">
        <v>1217</v>
      </c>
      <c r="E79" t="s">
        <v>31</v>
      </c>
      <c r="F79" t="s">
        <v>253</v>
      </c>
    </row>
    <row r="80" spans="1:11" x14ac:dyDescent="0.25">
      <c r="D80" t="s">
        <v>1213</v>
      </c>
      <c r="E80">
        <v>2457626.92686</v>
      </c>
      <c r="F80" t="s">
        <v>2126</v>
      </c>
      <c r="G80">
        <v>7.9420000000000002</v>
      </c>
      <c r="H80">
        <v>1.2E-2</v>
      </c>
      <c r="I80" t="s">
        <v>18</v>
      </c>
      <c r="J80" t="s">
        <v>252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1214</v>
      </c>
      <c r="B82" t="s">
        <v>2127</v>
      </c>
      <c r="C82" t="s">
        <v>29</v>
      </c>
      <c r="D82" t="s">
        <v>1215</v>
      </c>
      <c r="E82" t="s">
        <v>31</v>
      </c>
      <c r="F82" t="s">
        <v>255</v>
      </c>
    </row>
    <row r="83" spans="1:11" x14ac:dyDescent="0.25">
      <c r="D83" t="s">
        <v>1213</v>
      </c>
      <c r="E83">
        <v>2457626.9257999999</v>
      </c>
      <c r="F83" t="s">
        <v>2128</v>
      </c>
      <c r="G83">
        <v>8.9640000000000004</v>
      </c>
      <c r="H83">
        <v>1.4999999999999999E-2</v>
      </c>
      <c r="I83" t="s">
        <v>34</v>
      </c>
      <c r="J83" t="s">
        <v>252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1216</v>
      </c>
      <c r="B85" t="s">
        <v>2129</v>
      </c>
      <c r="C85" t="s">
        <v>29</v>
      </c>
      <c r="D85" t="s">
        <v>1217</v>
      </c>
      <c r="E85" t="s">
        <v>31</v>
      </c>
      <c r="F85" t="s">
        <v>255</v>
      </c>
    </row>
    <row r="86" spans="1:11" x14ac:dyDescent="0.25">
      <c r="D86" t="s">
        <v>1213</v>
      </c>
      <c r="E86">
        <v>2457587.9070000001</v>
      </c>
      <c r="F86" t="s">
        <v>1882</v>
      </c>
      <c r="G86">
        <v>7.89</v>
      </c>
      <c r="H86">
        <v>1.2E-2</v>
      </c>
      <c r="I86" t="s">
        <v>18</v>
      </c>
      <c r="J86" t="s">
        <v>252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1214</v>
      </c>
      <c r="B88" t="s">
        <v>1883</v>
      </c>
      <c r="C88" t="s">
        <v>29</v>
      </c>
      <c r="D88" t="s">
        <v>1215</v>
      </c>
      <c r="E88" t="s">
        <v>31</v>
      </c>
      <c r="F88" t="s">
        <v>253</v>
      </c>
    </row>
    <row r="89" spans="1:11" x14ac:dyDescent="0.25">
      <c r="D89" t="s">
        <v>1213</v>
      </c>
      <c r="E89">
        <v>2457587.9060399998</v>
      </c>
      <c r="F89" t="s">
        <v>1884</v>
      </c>
      <c r="G89">
        <v>8.7810000000000006</v>
      </c>
      <c r="H89">
        <v>7.0000000000000001E-3</v>
      </c>
      <c r="I89" t="s">
        <v>34</v>
      </c>
      <c r="J89" t="s">
        <v>252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1216</v>
      </c>
      <c r="B91" t="s">
        <v>1885</v>
      </c>
      <c r="C91" t="s">
        <v>29</v>
      </c>
      <c r="D91" t="s">
        <v>1217</v>
      </c>
      <c r="E91" t="s">
        <v>31</v>
      </c>
      <c r="F91" t="s">
        <v>253</v>
      </c>
    </row>
    <row r="92" spans="1:11" x14ac:dyDescent="0.25">
      <c r="A92" t="s">
        <v>2247</v>
      </c>
    </row>
  </sheetData>
  <hyperlinks>
    <hyperlink ref="L1" r:id="rId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Q92"/>
  <sheetViews>
    <sheetView workbookViewId="0">
      <selection activeCell="F19" sqref="F19"/>
    </sheetView>
  </sheetViews>
  <sheetFormatPr baseColWidth="10" defaultRowHeight="15" x14ac:dyDescent="0.25"/>
  <cols>
    <col min="1" max="1" width="10.42578125" customWidth="1"/>
    <col min="2" max="2" width="18.85546875" customWidth="1"/>
    <col min="3" max="3" width="12.28515625" customWidth="1"/>
    <col min="4" max="4" width="8.5703125" customWidth="1"/>
    <col min="5" max="5" width="15.5703125" customWidth="1"/>
    <col min="6" max="6" width="81.140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964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965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966</v>
      </c>
      <c r="E17">
        <v>2457210.5085419999</v>
      </c>
      <c r="F17" t="s">
        <v>967</v>
      </c>
      <c r="G17">
        <v>10.247</v>
      </c>
      <c r="H17">
        <v>0.15</v>
      </c>
      <c r="I17" t="s">
        <v>18</v>
      </c>
      <c r="J17" t="s">
        <v>709</v>
      </c>
      <c r="K17" t="s">
        <v>20</v>
      </c>
      <c r="M17" t="str">
        <f>+I17</f>
        <v>V</v>
      </c>
      <c r="N17">
        <f>+G17</f>
        <v>10.247</v>
      </c>
      <c r="O17" t="str">
        <f>+J17</f>
        <v>LCLA</v>
      </c>
      <c r="P17">
        <f>+E17</f>
        <v>2457210.5085419999</v>
      </c>
      <c r="Q17" t="str">
        <f>+F17</f>
        <v>2015 Jul. 07.00854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10.31</v>
      </c>
      <c r="O18" t="str">
        <f>+J20</f>
        <v>GCO</v>
      </c>
      <c r="P18">
        <f>+E20</f>
        <v>2456875.5453900001</v>
      </c>
      <c r="Q18" t="str">
        <f>+F20</f>
        <v>2014 Aug. 06.04539</v>
      </c>
    </row>
    <row r="19" spans="1:17" x14ac:dyDescent="0.25">
      <c r="A19" t="s">
        <v>27</v>
      </c>
      <c r="B19" t="s">
        <v>968</v>
      </c>
      <c r="C19" t="s">
        <v>67</v>
      </c>
      <c r="E19" t="s">
        <v>31</v>
      </c>
      <c r="F19" t="s">
        <v>969</v>
      </c>
      <c r="M19" t="str">
        <f>+I23</f>
        <v>B</v>
      </c>
      <c r="N19">
        <f>+G23</f>
        <v>12.087</v>
      </c>
      <c r="O19" t="str">
        <f>+J23</f>
        <v>GCO</v>
      </c>
      <c r="P19">
        <f>+E23</f>
        <v>2456875.5353100002</v>
      </c>
      <c r="Q19" t="str">
        <f>+F23</f>
        <v>2014 Aug. 06.03531</v>
      </c>
    </row>
    <row r="20" spans="1:17" x14ac:dyDescent="0.25">
      <c r="D20" t="s">
        <v>966</v>
      </c>
      <c r="E20">
        <v>2456875.5453900001</v>
      </c>
      <c r="F20" t="s">
        <v>970</v>
      </c>
      <c r="G20">
        <v>10.31</v>
      </c>
      <c r="H20">
        <v>6.2E-2</v>
      </c>
      <c r="I20" t="s">
        <v>18</v>
      </c>
      <c r="J20" t="s">
        <v>470</v>
      </c>
      <c r="K20" t="s">
        <v>20</v>
      </c>
      <c r="M20" t="str">
        <f>+I26</f>
        <v>I</v>
      </c>
      <c r="N20">
        <f>+G26</f>
        <v>7.585</v>
      </c>
      <c r="O20" t="str">
        <f>+J26</f>
        <v>GCO</v>
      </c>
      <c r="P20">
        <f>+E26</f>
        <v>2456856.6087400001</v>
      </c>
      <c r="Q20" t="str">
        <f>+F26</f>
        <v>2014 Jul. 18.10874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R</v>
      </c>
      <c r="N21">
        <f>+G29</f>
        <v>9.0739999999999998</v>
      </c>
      <c r="O21" t="str">
        <f>+J29</f>
        <v>GCO</v>
      </c>
      <c r="P21">
        <f>+E29</f>
        <v>2456856.6025800002</v>
      </c>
      <c r="Q21" t="str">
        <f>+F29</f>
        <v>2014 Jul. 18.10258</v>
      </c>
    </row>
    <row r="22" spans="1:17" x14ac:dyDescent="0.25">
      <c r="A22" t="s">
        <v>471</v>
      </c>
      <c r="B22" t="s">
        <v>971</v>
      </c>
      <c r="C22" t="s">
        <v>29</v>
      </c>
      <c r="D22" t="s">
        <v>972</v>
      </c>
      <c r="E22" t="s">
        <v>31</v>
      </c>
      <c r="F22" t="s">
        <v>973</v>
      </c>
      <c r="M22" t="str">
        <f>+I32</f>
        <v>V</v>
      </c>
      <c r="N22">
        <f>+G32</f>
        <v>10.321999999999999</v>
      </c>
      <c r="O22" t="str">
        <f>+J32</f>
        <v>GCO</v>
      </c>
      <c r="P22">
        <f>+E32</f>
        <v>2456856.5965700001</v>
      </c>
      <c r="Q22" t="str">
        <f>+F32</f>
        <v>2014 Jul. 18.09657</v>
      </c>
    </row>
    <row r="23" spans="1:17" x14ac:dyDescent="0.25">
      <c r="D23" t="s">
        <v>966</v>
      </c>
      <c r="E23">
        <v>2456875.5353100002</v>
      </c>
      <c r="F23" t="s">
        <v>974</v>
      </c>
      <c r="G23">
        <v>12.087</v>
      </c>
      <c r="H23">
        <v>2.7E-2</v>
      </c>
      <c r="I23" t="s">
        <v>34</v>
      </c>
      <c r="J23" t="s">
        <v>470</v>
      </c>
      <c r="K23" t="s">
        <v>20</v>
      </c>
      <c r="M23" t="str">
        <f>+I35</f>
        <v>B</v>
      </c>
      <c r="N23">
        <f>+G35</f>
        <v>12.074999999999999</v>
      </c>
      <c r="O23" t="str">
        <f>+J35</f>
        <v>GCO</v>
      </c>
      <c r="P23">
        <f>+E35</f>
        <v>2456856.5870400001</v>
      </c>
      <c r="Q23" t="str">
        <f>+F35</f>
        <v>2014 Jul. 18.08704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I</v>
      </c>
      <c r="N24">
        <f>+G38</f>
        <v>7.6070000000000002</v>
      </c>
      <c r="O24" t="str">
        <f>+J38</f>
        <v>GCO</v>
      </c>
      <c r="P24">
        <f>+E38</f>
        <v>2456603.2617600001</v>
      </c>
      <c r="Q24" t="str">
        <f>+F38</f>
        <v>2013 Nov. 06.76176</v>
      </c>
    </row>
    <row r="25" spans="1:17" x14ac:dyDescent="0.25">
      <c r="A25" t="s">
        <v>471</v>
      </c>
      <c r="B25" t="s">
        <v>975</v>
      </c>
      <c r="C25" t="s">
        <v>29</v>
      </c>
      <c r="D25" t="s">
        <v>972</v>
      </c>
      <c r="E25" t="s">
        <v>31</v>
      </c>
      <c r="F25" t="s">
        <v>976</v>
      </c>
      <c r="M25" t="str">
        <f>+I41</f>
        <v>R</v>
      </c>
      <c r="N25">
        <f>+G41</f>
        <v>9.0820000000000007</v>
      </c>
      <c r="O25" t="str">
        <f>+J41</f>
        <v>GCO</v>
      </c>
      <c r="P25">
        <f>+E41</f>
        <v>2456603.2596100001</v>
      </c>
      <c r="Q25" t="str">
        <f>+F41</f>
        <v>2013 Nov. 06.75961</v>
      </c>
    </row>
    <row r="26" spans="1:17" x14ac:dyDescent="0.25">
      <c r="D26" t="s">
        <v>966</v>
      </c>
      <c r="E26">
        <v>2456856.6087400001</v>
      </c>
      <c r="F26" t="s">
        <v>977</v>
      </c>
      <c r="G26">
        <v>7.585</v>
      </c>
      <c r="H26">
        <v>1.9E-2</v>
      </c>
      <c r="I26" t="s">
        <v>249</v>
      </c>
      <c r="J26" t="s">
        <v>470</v>
      </c>
      <c r="K26" t="s">
        <v>20</v>
      </c>
      <c r="M26" t="str">
        <f>+I44</f>
        <v>V</v>
      </c>
      <c r="N26">
        <f>+G44</f>
        <v>10.212999999999999</v>
      </c>
      <c r="O26" t="str">
        <f>+J44</f>
        <v>GCO</v>
      </c>
      <c r="P26">
        <f>+E44</f>
        <v>2456603.2574399998</v>
      </c>
      <c r="Q26" t="str">
        <f>+F44</f>
        <v>2013 Nov. 06.75744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471</v>
      </c>
      <c r="B28" t="s">
        <v>978</v>
      </c>
      <c r="C28" t="s">
        <v>29</v>
      </c>
      <c r="D28" t="s">
        <v>972</v>
      </c>
      <c r="E28" t="s">
        <v>31</v>
      </c>
      <c r="F28" t="s">
        <v>979</v>
      </c>
    </row>
    <row r="29" spans="1:17" x14ac:dyDescent="0.25">
      <c r="D29" t="s">
        <v>966</v>
      </c>
      <c r="E29">
        <v>2456856.6025800002</v>
      </c>
      <c r="F29" t="s">
        <v>980</v>
      </c>
      <c r="G29">
        <v>9.0739999999999998</v>
      </c>
      <c r="H29">
        <v>3.4000000000000002E-2</v>
      </c>
      <c r="I29" t="s">
        <v>250</v>
      </c>
      <c r="J29" t="s">
        <v>470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471</v>
      </c>
      <c r="B31" t="s">
        <v>981</v>
      </c>
      <c r="C31" t="s">
        <v>29</v>
      </c>
      <c r="D31" t="s">
        <v>972</v>
      </c>
      <c r="E31" t="s">
        <v>31</v>
      </c>
      <c r="F31" t="s">
        <v>982</v>
      </c>
    </row>
    <row r="32" spans="1:17" x14ac:dyDescent="0.25">
      <c r="D32" t="s">
        <v>966</v>
      </c>
      <c r="E32">
        <v>2456856.5965700001</v>
      </c>
      <c r="F32" t="s">
        <v>983</v>
      </c>
      <c r="G32">
        <v>10.321999999999999</v>
      </c>
      <c r="H32">
        <v>4.5999999999999999E-2</v>
      </c>
      <c r="I32" t="s">
        <v>18</v>
      </c>
      <c r="J32" t="s">
        <v>470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471</v>
      </c>
      <c r="B34" t="s">
        <v>984</v>
      </c>
      <c r="C34" t="s">
        <v>29</v>
      </c>
      <c r="D34" t="s">
        <v>972</v>
      </c>
      <c r="E34" t="s">
        <v>31</v>
      </c>
      <c r="F34" t="s">
        <v>973</v>
      </c>
    </row>
    <row r="35" spans="1:11" x14ac:dyDescent="0.25">
      <c r="D35" t="s">
        <v>966</v>
      </c>
      <c r="E35">
        <v>2456856.5870400001</v>
      </c>
      <c r="F35" t="s">
        <v>985</v>
      </c>
      <c r="G35">
        <v>12.074999999999999</v>
      </c>
      <c r="H35">
        <v>0.08</v>
      </c>
      <c r="I35" t="s">
        <v>34</v>
      </c>
      <c r="J35" t="s">
        <v>470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471</v>
      </c>
      <c r="B37" t="s">
        <v>986</v>
      </c>
      <c r="C37" t="s">
        <v>29</v>
      </c>
      <c r="D37" t="s">
        <v>972</v>
      </c>
      <c r="E37" t="s">
        <v>31</v>
      </c>
      <c r="F37" t="s">
        <v>976</v>
      </c>
    </row>
    <row r="38" spans="1:11" x14ac:dyDescent="0.25">
      <c r="D38" t="s">
        <v>966</v>
      </c>
      <c r="E38">
        <v>2456603.2617600001</v>
      </c>
      <c r="F38" t="s">
        <v>987</v>
      </c>
      <c r="G38">
        <v>7.6070000000000002</v>
      </c>
      <c r="H38">
        <v>1.7999999999999999E-2</v>
      </c>
      <c r="I38" t="s">
        <v>249</v>
      </c>
      <c r="J38" t="s">
        <v>470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471</v>
      </c>
      <c r="B40" t="s">
        <v>988</v>
      </c>
      <c r="C40" t="s">
        <v>29</v>
      </c>
      <c r="D40" t="s">
        <v>972</v>
      </c>
      <c r="E40" t="s">
        <v>31</v>
      </c>
      <c r="F40" t="s">
        <v>989</v>
      </c>
    </row>
    <row r="41" spans="1:11" x14ac:dyDescent="0.25">
      <c r="D41" t="s">
        <v>966</v>
      </c>
      <c r="E41">
        <v>2456603.2596100001</v>
      </c>
      <c r="F41" t="s">
        <v>990</v>
      </c>
      <c r="G41">
        <v>9.0820000000000007</v>
      </c>
      <c r="H41">
        <v>2.4E-2</v>
      </c>
      <c r="I41" t="s">
        <v>250</v>
      </c>
      <c r="J41" t="s">
        <v>470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471</v>
      </c>
      <c r="B43" t="s">
        <v>991</v>
      </c>
      <c r="C43" t="s">
        <v>29</v>
      </c>
      <c r="D43" t="s">
        <v>972</v>
      </c>
      <c r="E43" t="s">
        <v>31</v>
      </c>
      <c r="F43" t="s">
        <v>992</v>
      </c>
    </row>
    <row r="44" spans="1:11" x14ac:dyDescent="0.25">
      <c r="D44" t="s">
        <v>966</v>
      </c>
      <c r="E44">
        <v>2456603.2574399998</v>
      </c>
      <c r="F44" t="s">
        <v>993</v>
      </c>
      <c r="G44">
        <v>10.212999999999999</v>
      </c>
      <c r="H44">
        <v>1.7999999999999999E-2</v>
      </c>
      <c r="I44" t="s">
        <v>18</v>
      </c>
      <c r="J44" t="s">
        <v>470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471</v>
      </c>
      <c r="B46" t="s">
        <v>994</v>
      </c>
      <c r="C46" t="s">
        <v>29</v>
      </c>
      <c r="D46" t="s">
        <v>972</v>
      </c>
      <c r="E46" t="s">
        <v>31</v>
      </c>
      <c r="F46" t="s">
        <v>989</v>
      </c>
    </row>
    <row r="47" spans="1:11" x14ac:dyDescent="0.25">
      <c r="D47" t="s">
        <v>966</v>
      </c>
      <c r="E47">
        <v>2456603.2499299999</v>
      </c>
      <c r="F47" t="s">
        <v>995</v>
      </c>
      <c r="G47">
        <v>12.036</v>
      </c>
      <c r="H47">
        <v>2.5000000000000001E-2</v>
      </c>
      <c r="I47" t="s">
        <v>34</v>
      </c>
      <c r="J47" t="s">
        <v>470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471</v>
      </c>
      <c r="B49" t="s">
        <v>996</v>
      </c>
      <c r="C49" t="s">
        <v>29</v>
      </c>
      <c r="D49" t="s">
        <v>972</v>
      </c>
      <c r="E49" t="s">
        <v>31</v>
      </c>
      <c r="F49" t="s">
        <v>997</v>
      </c>
    </row>
    <row r="50" spans="1:11" x14ac:dyDescent="0.25">
      <c r="D50" t="s">
        <v>966</v>
      </c>
      <c r="E50">
        <v>2456597.3118199999</v>
      </c>
      <c r="F50" t="s">
        <v>998</v>
      </c>
      <c r="G50">
        <v>7.5730000000000004</v>
      </c>
      <c r="H50">
        <v>2.7E-2</v>
      </c>
      <c r="I50" t="s">
        <v>249</v>
      </c>
      <c r="J50" t="s">
        <v>470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471</v>
      </c>
      <c r="B52" t="s">
        <v>999</v>
      </c>
      <c r="C52" t="s">
        <v>29</v>
      </c>
      <c r="D52" t="s">
        <v>972</v>
      </c>
      <c r="E52" t="s">
        <v>31</v>
      </c>
      <c r="F52" t="s">
        <v>989</v>
      </c>
    </row>
    <row r="53" spans="1:11" x14ac:dyDescent="0.25">
      <c r="D53" t="s">
        <v>966</v>
      </c>
      <c r="E53">
        <v>2456597.3097799998</v>
      </c>
      <c r="F53" t="s">
        <v>1000</v>
      </c>
      <c r="G53">
        <v>9.0619999999999994</v>
      </c>
      <c r="H53">
        <v>1.4999999999999999E-2</v>
      </c>
      <c r="I53" t="s">
        <v>250</v>
      </c>
      <c r="J53" t="s">
        <v>470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471</v>
      </c>
      <c r="B55" t="s">
        <v>1001</v>
      </c>
      <c r="C55" t="s">
        <v>29</v>
      </c>
      <c r="D55" t="s">
        <v>972</v>
      </c>
      <c r="E55" t="s">
        <v>31</v>
      </c>
      <c r="F55" t="s">
        <v>992</v>
      </c>
    </row>
    <row r="56" spans="1:11" x14ac:dyDescent="0.25">
      <c r="D56" t="s">
        <v>966</v>
      </c>
      <c r="E56">
        <v>2456597.3077099998</v>
      </c>
      <c r="F56" t="s">
        <v>1002</v>
      </c>
      <c r="G56">
        <v>10.18</v>
      </c>
      <c r="H56">
        <v>0.02</v>
      </c>
      <c r="I56" t="s">
        <v>18</v>
      </c>
      <c r="J56" t="s">
        <v>470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471</v>
      </c>
      <c r="B58" t="s">
        <v>1003</v>
      </c>
      <c r="C58" t="s">
        <v>29</v>
      </c>
      <c r="D58" t="s">
        <v>972</v>
      </c>
      <c r="E58" t="s">
        <v>31</v>
      </c>
      <c r="F58" t="s">
        <v>989</v>
      </c>
    </row>
    <row r="59" spans="1:11" x14ac:dyDescent="0.25">
      <c r="D59" t="s">
        <v>966</v>
      </c>
      <c r="E59">
        <v>2456597.30051</v>
      </c>
      <c r="F59" t="s">
        <v>1004</v>
      </c>
      <c r="G59">
        <v>12.013999999999999</v>
      </c>
      <c r="H59">
        <v>2.5000000000000001E-2</v>
      </c>
      <c r="I59" t="s">
        <v>34</v>
      </c>
      <c r="J59" t="s">
        <v>470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471</v>
      </c>
      <c r="B61" t="s">
        <v>1005</v>
      </c>
      <c r="C61" t="s">
        <v>29</v>
      </c>
      <c r="D61" t="s">
        <v>972</v>
      </c>
      <c r="E61" t="s">
        <v>31</v>
      </c>
      <c r="F61" t="s">
        <v>997</v>
      </c>
    </row>
    <row r="62" spans="1:11" x14ac:dyDescent="0.25">
      <c r="D62" t="s">
        <v>966</v>
      </c>
      <c r="E62">
        <v>2456545.4487700001</v>
      </c>
      <c r="F62" t="s">
        <v>1006</v>
      </c>
      <c r="G62">
        <v>7.4790000000000001</v>
      </c>
      <c r="H62">
        <v>2.5000000000000001E-2</v>
      </c>
      <c r="I62" t="s">
        <v>249</v>
      </c>
      <c r="J62" t="s">
        <v>470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471</v>
      </c>
      <c r="B64" t="s">
        <v>1007</v>
      </c>
      <c r="C64" t="s">
        <v>29</v>
      </c>
      <c r="D64" t="s">
        <v>972</v>
      </c>
      <c r="E64" t="s">
        <v>31</v>
      </c>
      <c r="F64" t="s">
        <v>1008</v>
      </c>
    </row>
    <row r="65" spans="1:11" x14ac:dyDescent="0.25">
      <c r="D65" t="s">
        <v>966</v>
      </c>
      <c r="E65">
        <v>2456545.4465299998</v>
      </c>
      <c r="F65" t="s">
        <v>1009</v>
      </c>
      <c r="G65">
        <v>8.92</v>
      </c>
      <c r="H65">
        <v>2.3E-2</v>
      </c>
      <c r="I65" t="s">
        <v>250</v>
      </c>
      <c r="J65" t="s">
        <v>470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471</v>
      </c>
      <c r="B67" t="s">
        <v>1010</v>
      </c>
      <c r="C67" t="s">
        <v>29</v>
      </c>
      <c r="D67" t="s">
        <v>972</v>
      </c>
      <c r="E67" t="s">
        <v>31</v>
      </c>
      <c r="F67" t="s">
        <v>1011</v>
      </c>
    </row>
    <row r="68" spans="1:11" x14ac:dyDescent="0.25">
      <c r="D68" t="s">
        <v>966</v>
      </c>
      <c r="E68">
        <v>2456545.44435</v>
      </c>
      <c r="F68" t="s">
        <v>1012</v>
      </c>
      <c r="G68">
        <v>10.06</v>
      </c>
      <c r="H68">
        <v>2.4E-2</v>
      </c>
      <c r="I68" t="s">
        <v>18</v>
      </c>
      <c r="J68" t="s">
        <v>470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471</v>
      </c>
      <c r="B70" t="s">
        <v>1013</v>
      </c>
      <c r="C70" t="s">
        <v>29</v>
      </c>
      <c r="D70" t="s">
        <v>972</v>
      </c>
      <c r="E70" t="s">
        <v>31</v>
      </c>
      <c r="F70" t="s">
        <v>1008</v>
      </c>
    </row>
    <row r="71" spans="1:11" x14ac:dyDescent="0.25">
      <c r="D71" t="s">
        <v>966</v>
      </c>
      <c r="E71">
        <v>2456545.43872</v>
      </c>
      <c r="F71" t="s">
        <v>1014</v>
      </c>
      <c r="G71">
        <v>11.884</v>
      </c>
      <c r="H71">
        <v>2.7E-2</v>
      </c>
      <c r="I71" t="s">
        <v>34</v>
      </c>
      <c r="J71" t="s">
        <v>470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471</v>
      </c>
      <c r="B73" t="s">
        <v>996</v>
      </c>
      <c r="C73" t="s">
        <v>29</v>
      </c>
      <c r="D73" t="s">
        <v>972</v>
      </c>
      <c r="E73" t="s">
        <v>31</v>
      </c>
      <c r="F73" t="s">
        <v>1015</v>
      </c>
    </row>
    <row r="74" spans="1:11" x14ac:dyDescent="0.25">
      <c r="D74" t="s">
        <v>966</v>
      </c>
      <c r="E74">
        <v>2456534.4684799998</v>
      </c>
      <c r="F74" t="s">
        <v>1016</v>
      </c>
      <c r="G74">
        <v>9.0530000000000008</v>
      </c>
      <c r="H74">
        <v>6.6000000000000003E-2</v>
      </c>
      <c r="I74" t="s">
        <v>250</v>
      </c>
      <c r="J74" t="s">
        <v>470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471</v>
      </c>
      <c r="B76" t="s">
        <v>1017</v>
      </c>
      <c r="C76" t="s">
        <v>29</v>
      </c>
      <c r="D76" t="s">
        <v>972</v>
      </c>
      <c r="E76" t="s">
        <v>31</v>
      </c>
      <c r="F76" t="s">
        <v>1011</v>
      </c>
    </row>
    <row r="77" spans="1:11" x14ac:dyDescent="0.25">
      <c r="D77" t="s">
        <v>966</v>
      </c>
      <c r="E77">
        <v>2456534.4662799998</v>
      </c>
      <c r="F77" t="s">
        <v>1018</v>
      </c>
      <c r="G77">
        <v>10.09</v>
      </c>
      <c r="H77">
        <v>4.8000000000000001E-2</v>
      </c>
      <c r="I77" t="s">
        <v>18</v>
      </c>
      <c r="J77" t="s">
        <v>470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471</v>
      </c>
      <c r="B79" t="s">
        <v>1019</v>
      </c>
      <c r="C79" t="s">
        <v>29</v>
      </c>
      <c r="D79" t="s">
        <v>972</v>
      </c>
      <c r="E79" t="s">
        <v>31</v>
      </c>
      <c r="F79" t="s">
        <v>1008</v>
      </c>
    </row>
    <row r="80" spans="1:11" x14ac:dyDescent="0.25">
      <c r="D80" t="s">
        <v>966</v>
      </c>
      <c r="E80">
        <v>2456534.4612400001</v>
      </c>
      <c r="F80" t="s">
        <v>1020</v>
      </c>
      <c r="G80">
        <v>11.961</v>
      </c>
      <c r="H80">
        <v>3.5999999999999997E-2</v>
      </c>
      <c r="I80" t="s">
        <v>34</v>
      </c>
      <c r="J80" t="s">
        <v>470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471</v>
      </c>
      <c r="B82" t="s">
        <v>1021</v>
      </c>
      <c r="C82" t="s">
        <v>29</v>
      </c>
      <c r="D82" t="s">
        <v>972</v>
      </c>
      <c r="E82" t="s">
        <v>31</v>
      </c>
      <c r="F82" t="s">
        <v>1015</v>
      </c>
    </row>
    <row r="83" spans="1:11" x14ac:dyDescent="0.25">
      <c r="D83" t="s">
        <v>966</v>
      </c>
      <c r="E83">
        <v>2456525.5018500001</v>
      </c>
      <c r="F83" t="s">
        <v>1022</v>
      </c>
      <c r="G83">
        <v>7.5190000000000001</v>
      </c>
      <c r="H83">
        <v>4.3999999999999997E-2</v>
      </c>
      <c r="I83" t="s">
        <v>249</v>
      </c>
      <c r="J83" t="s">
        <v>470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471</v>
      </c>
      <c r="B85" t="s">
        <v>1023</v>
      </c>
      <c r="C85" t="s">
        <v>29</v>
      </c>
      <c r="D85" t="s">
        <v>972</v>
      </c>
      <c r="E85" t="s">
        <v>31</v>
      </c>
      <c r="F85" t="s">
        <v>1008</v>
      </c>
    </row>
    <row r="86" spans="1:11" x14ac:dyDescent="0.25">
      <c r="D86" t="s">
        <v>966</v>
      </c>
      <c r="E86">
        <v>2456525.4985500001</v>
      </c>
      <c r="F86" t="s">
        <v>1024</v>
      </c>
      <c r="G86">
        <v>9.016</v>
      </c>
      <c r="H86">
        <v>8.9999999999999993E-3</v>
      </c>
      <c r="I86" t="s">
        <v>250</v>
      </c>
      <c r="J86" t="s">
        <v>470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471</v>
      </c>
      <c r="B88" t="s">
        <v>1025</v>
      </c>
      <c r="C88" t="s">
        <v>29</v>
      </c>
      <c r="D88" t="s">
        <v>972</v>
      </c>
      <c r="E88" t="s">
        <v>31</v>
      </c>
      <c r="F88" t="s">
        <v>1026</v>
      </c>
    </row>
    <row r="89" spans="1:11" x14ac:dyDescent="0.25">
      <c r="D89" t="s">
        <v>966</v>
      </c>
      <c r="E89">
        <v>2456525.4961700002</v>
      </c>
      <c r="F89" t="s">
        <v>1027</v>
      </c>
      <c r="G89">
        <v>10.157</v>
      </c>
      <c r="H89">
        <v>2.3E-2</v>
      </c>
      <c r="I89" t="s">
        <v>18</v>
      </c>
      <c r="J89" t="s">
        <v>470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471</v>
      </c>
      <c r="B91" t="s">
        <v>1028</v>
      </c>
      <c r="C91" t="s">
        <v>29</v>
      </c>
      <c r="D91" t="s">
        <v>972</v>
      </c>
      <c r="E91" t="s">
        <v>31</v>
      </c>
      <c r="F91" t="s">
        <v>1008</v>
      </c>
    </row>
    <row r="92" spans="1:11" x14ac:dyDescent="0.25">
      <c r="A92" t="s">
        <v>1029</v>
      </c>
    </row>
  </sheetData>
  <hyperlinks>
    <hyperlink ref="L1" r:id="rId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:Q92"/>
  <sheetViews>
    <sheetView workbookViewId="0">
      <selection sqref="A1:XFD1048576"/>
    </sheetView>
  </sheetViews>
  <sheetFormatPr baseColWidth="10" defaultRowHeight="15" x14ac:dyDescent="0.25"/>
  <cols>
    <col min="1" max="2" width="11.42578125" customWidth="1"/>
    <col min="3" max="3" width="12.28515625" bestFit="1" customWidth="1"/>
    <col min="4" max="4" width="11.5703125" customWidth="1"/>
    <col min="5" max="5" width="15.5703125" bestFit="1" customWidth="1"/>
    <col min="6" max="6" width="38.28515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731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2494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732</v>
      </c>
      <c r="E17">
        <v>2457686.9229299999</v>
      </c>
      <c r="F17" t="s">
        <v>2495</v>
      </c>
      <c r="G17">
        <v>13.131</v>
      </c>
      <c r="H17">
        <v>2.5999999999999999E-2</v>
      </c>
      <c r="I17" t="s">
        <v>18</v>
      </c>
      <c r="J17" t="s">
        <v>755</v>
      </c>
      <c r="K17" t="s">
        <v>20</v>
      </c>
      <c r="M17" t="str">
        <f>+I17</f>
        <v>V</v>
      </c>
      <c r="N17">
        <f>+G17</f>
        <v>13.131</v>
      </c>
      <c r="O17" t="str">
        <f>+J17</f>
        <v>BHQ</v>
      </c>
      <c r="P17">
        <f>+E17</f>
        <v>2457686.9229299999</v>
      </c>
      <c r="Q17" t="str">
        <f>+F17</f>
        <v>2016 Oct. 25.42293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B</v>
      </c>
      <c r="N18">
        <f>+G20</f>
        <v>14.302</v>
      </c>
      <c r="O18" t="str">
        <f>+J20</f>
        <v>BHQ</v>
      </c>
      <c r="P18">
        <f>+E20</f>
        <v>2457686.9194399999</v>
      </c>
      <c r="Q18" t="str">
        <f>+F20</f>
        <v>2016 Oct. 25.41944</v>
      </c>
    </row>
    <row r="19" spans="1:17" x14ac:dyDescent="0.25">
      <c r="A19" t="s">
        <v>27</v>
      </c>
      <c r="B19" t="s">
        <v>2496</v>
      </c>
      <c r="C19" t="s">
        <v>67</v>
      </c>
      <c r="D19" t="s">
        <v>757</v>
      </c>
      <c r="E19" t="s">
        <v>31</v>
      </c>
      <c r="F19" t="s">
        <v>31</v>
      </c>
      <c r="M19" t="str">
        <f>+I23</f>
        <v>V</v>
      </c>
      <c r="N19">
        <f>+G23</f>
        <v>12.98</v>
      </c>
      <c r="O19" t="str">
        <f>+J23</f>
        <v>OCN</v>
      </c>
      <c r="P19">
        <f>+E23</f>
        <v>2457543.9438</v>
      </c>
      <c r="Q19" t="str">
        <f>+F23</f>
        <v>2016 Jun. 04.44380</v>
      </c>
    </row>
    <row r="20" spans="1:17" x14ac:dyDescent="0.25">
      <c r="D20" t="s">
        <v>732</v>
      </c>
      <c r="E20">
        <v>2457686.9194399999</v>
      </c>
      <c r="F20" t="s">
        <v>2497</v>
      </c>
      <c r="G20">
        <v>14.302</v>
      </c>
      <c r="H20">
        <v>0.05</v>
      </c>
      <c r="I20" t="s">
        <v>34</v>
      </c>
      <c r="J20" t="s">
        <v>755</v>
      </c>
      <c r="K20" t="s">
        <v>20</v>
      </c>
      <c r="M20" t="str">
        <f>+I26</f>
        <v>B</v>
      </c>
      <c r="N20">
        <f>+G26</f>
        <v>13.98</v>
      </c>
      <c r="O20" t="str">
        <f>+J26</f>
        <v>OCN</v>
      </c>
      <c r="P20">
        <f>+E26</f>
        <v>2457543.9424000001</v>
      </c>
      <c r="Q20" t="str">
        <f>+F26</f>
        <v>2016 Jun. 04.44240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U</v>
      </c>
      <c r="N21" t="str">
        <f>+G29</f>
        <v>&lt;13.4</v>
      </c>
      <c r="O21" t="str">
        <f>+J29</f>
        <v>OCN</v>
      </c>
      <c r="P21">
        <f>+E29</f>
        <v>2457543.9410000001</v>
      </c>
      <c r="Q21" t="str">
        <f>+F29</f>
        <v>2016 Jun. 04.44100</v>
      </c>
    </row>
    <row r="22" spans="1:17" x14ac:dyDescent="0.25">
      <c r="A22" t="s">
        <v>27</v>
      </c>
      <c r="B22" t="s">
        <v>2498</v>
      </c>
      <c r="C22" t="s">
        <v>67</v>
      </c>
      <c r="D22" t="s">
        <v>757</v>
      </c>
      <c r="E22" t="s">
        <v>31</v>
      </c>
      <c r="F22" t="s">
        <v>31</v>
      </c>
      <c r="M22" t="str">
        <f>+I32</f>
        <v>V</v>
      </c>
      <c r="N22">
        <f>+G32</f>
        <v>12.71</v>
      </c>
      <c r="O22" t="str">
        <f>+J32</f>
        <v>OCN</v>
      </c>
      <c r="P22">
        <f>+E32</f>
        <v>2457493.9792999998</v>
      </c>
      <c r="Q22" t="str">
        <f>+F32</f>
        <v>2016 Apr. 15.47930</v>
      </c>
    </row>
    <row r="23" spans="1:17" x14ac:dyDescent="0.25">
      <c r="D23" t="s">
        <v>732</v>
      </c>
      <c r="E23">
        <v>2457543.9438</v>
      </c>
      <c r="F23" t="s">
        <v>733</v>
      </c>
      <c r="G23">
        <v>12.98</v>
      </c>
      <c r="H23">
        <v>0.02</v>
      </c>
      <c r="I23" t="s">
        <v>18</v>
      </c>
      <c r="J23" t="s">
        <v>260</v>
      </c>
      <c r="K23" t="s">
        <v>20</v>
      </c>
      <c r="M23" t="str">
        <f>+I35</f>
        <v>B</v>
      </c>
      <c r="N23">
        <f>+G35</f>
        <v>13.75</v>
      </c>
      <c r="O23" t="str">
        <f>+J35</f>
        <v>OCN</v>
      </c>
      <c r="P23">
        <f>+E35</f>
        <v>2457493.9780999999</v>
      </c>
      <c r="Q23" t="str">
        <f>+F35</f>
        <v>2016 Apr. 15.47810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U</v>
      </c>
      <c r="N24">
        <f>+G38</f>
        <v>13.72</v>
      </c>
      <c r="O24" t="str">
        <f>+J38</f>
        <v>OCN</v>
      </c>
      <c r="P24">
        <f>+E38</f>
        <v>2457493.9767999998</v>
      </c>
      <c r="Q24" t="str">
        <f>+F38</f>
        <v>2016 Apr. 15.47680</v>
      </c>
    </row>
    <row r="25" spans="1:17" x14ac:dyDescent="0.25">
      <c r="A25" t="s">
        <v>734</v>
      </c>
      <c r="B25" t="s">
        <v>735</v>
      </c>
      <c r="C25" t="s">
        <v>67</v>
      </c>
      <c r="D25" t="s">
        <v>736</v>
      </c>
      <c r="E25" t="s">
        <v>31</v>
      </c>
      <c r="F25" t="s">
        <v>737</v>
      </c>
      <c r="M25" t="str">
        <f>+I41</f>
        <v>B</v>
      </c>
      <c r="N25">
        <f>+G41</f>
        <v>12.358000000000001</v>
      </c>
      <c r="O25" t="str">
        <f>+J41</f>
        <v>BHQ</v>
      </c>
      <c r="P25">
        <f>+E41</f>
        <v>2457312.9386100001</v>
      </c>
      <c r="Q25" t="str">
        <f>+F41</f>
        <v>2015 Oct. 17.43861</v>
      </c>
    </row>
    <row r="26" spans="1:17" x14ac:dyDescent="0.25">
      <c r="D26" t="s">
        <v>732</v>
      </c>
      <c r="E26">
        <v>2457543.9424000001</v>
      </c>
      <c r="F26" t="s">
        <v>738</v>
      </c>
      <c r="G26">
        <v>13.98</v>
      </c>
      <c r="H26">
        <v>0.09</v>
      </c>
      <c r="I26" t="s">
        <v>34</v>
      </c>
      <c r="J26" t="s">
        <v>260</v>
      </c>
      <c r="K26" t="s">
        <v>20</v>
      </c>
      <c r="M26" t="str">
        <f>+I44</f>
        <v>V</v>
      </c>
      <c r="N26">
        <f>+G44</f>
        <v>11.699</v>
      </c>
      <c r="O26" t="str">
        <f>+J44</f>
        <v>BHQ</v>
      </c>
      <c r="P26">
        <f>+E44</f>
        <v>2457312.9358399999</v>
      </c>
      <c r="Q26" t="str">
        <f>+F44</f>
        <v>2015 Oct. 17.43584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739</v>
      </c>
      <c r="B28" t="s">
        <v>740</v>
      </c>
      <c r="C28" t="s">
        <v>67</v>
      </c>
      <c r="D28" t="s">
        <v>736</v>
      </c>
      <c r="E28" t="s">
        <v>31</v>
      </c>
      <c r="F28" t="s">
        <v>399</v>
      </c>
    </row>
    <row r="29" spans="1:17" x14ac:dyDescent="0.25">
      <c r="D29" t="s">
        <v>732</v>
      </c>
      <c r="E29">
        <v>2457543.9410000001</v>
      </c>
      <c r="F29" t="s">
        <v>741</v>
      </c>
      <c r="G29" t="s">
        <v>742</v>
      </c>
      <c r="H29">
        <v>0.1</v>
      </c>
      <c r="I29" t="s">
        <v>396</v>
      </c>
      <c r="J29" t="s">
        <v>260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743</v>
      </c>
      <c r="B31" t="s">
        <v>743</v>
      </c>
      <c r="C31" t="s">
        <v>67</v>
      </c>
      <c r="D31" t="s">
        <v>736</v>
      </c>
      <c r="E31" t="s">
        <v>31</v>
      </c>
      <c r="F31" t="s">
        <v>399</v>
      </c>
    </row>
    <row r="32" spans="1:17" x14ac:dyDescent="0.25">
      <c r="D32" t="s">
        <v>732</v>
      </c>
      <c r="E32">
        <v>2457493.9792999998</v>
      </c>
      <c r="F32" t="s">
        <v>744</v>
      </c>
      <c r="G32">
        <v>12.71</v>
      </c>
      <c r="H32">
        <v>0.03</v>
      </c>
      <c r="I32" t="s">
        <v>18</v>
      </c>
      <c r="J32" t="s">
        <v>260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745</v>
      </c>
      <c r="B34" t="s">
        <v>746</v>
      </c>
      <c r="C34" t="s">
        <v>67</v>
      </c>
      <c r="D34" t="s">
        <v>747</v>
      </c>
      <c r="E34" t="s">
        <v>31</v>
      </c>
      <c r="F34" t="s">
        <v>748</v>
      </c>
    </row>
    <row r="35" spans="1:11" x14ac:dyDescent="0.25">
      <c r="D35" t="s">
        <v>732</v>
      </c>
      <c r="E35">
        <v>2457493.9780999999</v>
      </c>
      <c r="F35" t="s">
        <v>749</v>
      </c>
      <c r="G35">
        <v>13.75</v>
      </c>
      <c r="H35">
        <v>0.02</v>
      </c>
      <c r="I35" t="s">
        <v>34</v>
      </c>
      <c r="J35" t="s">
        <v>260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739</v>
      </c>
      <c r="B37" t="s">
        <v>750</v>
      </c>
      <c r="C37" t="s">
        <v>67</v>
      </c>
      <c r="D37" t="s">
        <v>747</v>
      </c>
      <c r="E37" t="s">
        <v>31</v>
      </c>
      <c r="F37" t="s">
        <v>751</v>
      </c>
    </row>
    <row r="38" spans="1:11" x14ac:dyDescent="0.25">
      <c r="D38" t="s">
        <v>732</v>
      </c>
      <c r="E38">
        <v>2457493.9767999998</v>
      </c>
      <c r="F38" t="s">
        <v>752</v>
      </c>
      <c r="G38">
        <v>13.72</v>
      </c>
      <c r="H38">
        <v>0.12</v>
      </c>
      <c r="I38" t="s">
        <v>396</v>
      </c>
      <c r="J38" t="s">
        <v>260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743</v>
      </c>
      <c r="B40" t="s">
        <v>753</v>
      </c>
      <c r="C40" t="s">
        <v>67</v>
      </c>
      <c r="D40" t="s">
        <v>747</v>
      </c>
      <c r="E40" t="s">
        <v>31</v>
      </c>
      <c r="F40" t="s">
        <v>399</v>
      </c>
    </row>
    <row r="41" spans="1:11" x14ac:dyDescent="0.25">
      <c r="D41" t="s">
        <v>732</v>
      </c>
      <c r="E41">
        <v>2457312.9386100001</v>
      </c>
      <c r="F41" t="s">
        <v>754</v>
      </c>
      <c r="G41">
        <v>12.358000000000001</v>
      </c>
      <c r="H41">
        <v>5.6000000000000001E-2</v>
      </c>
      <c r="I41" t="s">
        <v>34</v>
      </c>
      <c r="J41" t="s">
        <v>755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27</v>
      </c>
      <c r="B43" t="s">
        <v>756</v>
      </c>
      <c r="C43" t="s">
        <v>67</v>
      </c>
      <c r="D43" t="s">
        <v>757</v>
      </c>
      <c r="E43" t="s">
        <v>31</v>
      </c>
      <c r="F43" t="s">
        <v>31</v>
      </c>
    </row>
    <row r="44" spans="1:11" x14ac:dyDescent="0.25">
      <c r="D44" t="s">
        <v>732</v>
      </c>
      <c r="E44">
        <v>2457312.9358399999</v>
      </c>
      <c r="F44" t="s">
        <v>758</v>
      </c>
      <c r="G44">
        <v>11.699</v>
      </c>
      <c r="H44">
        <v>0.03</v>
      </c>
      <c r="I44" t="s">
        <v>18</v>
      </c>
      <c r="J44" t="s">
        <v>755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27</v>
      </c>
      <c r="B46" t="s">
        <v>759</v>
      </c>
      <c r="C46" t="s">
        <v>67</v>
      </c>
      <c r="D46" t="s">
        <v>757</v>
      </c>
      <c r="E46" t="s">
        <v>31</v>
      </c>
      <c r="F46" t="s">
        <v>31</v>
      </c>
    </row>
    <row r="47" spans="1:11" x14ac:dyDescent="0.25">
      <c r="D47" t="s">
        <v>732</v>
      </c>
      <c r="E47">
        <v>2457311.2689200002</v>
      </c>
      <c r="F47" t="s">
        <v>760</v>
      </c>
      <c r="G47">
        <v>11.694000000000001</v>
      </c>
      <c r="H47">
        <v>6.0000000000000001E-3</v>
      </c>
      <c r="I47" t="s">
        <v>18</v>
      </c>
      <c r="J47" t="s">
        <v>761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27</v>
      </c>
      <c r="B49" t="s">
        <v>762</v>
      </c>
      <c r="C49" t="s">
        <v>67</v>
      </c>
      <c r="D49" t="s">
        <v>763</v>
      </c>
      <c r="E49" t="s">
        <v>31</v>
      </c>
      <c r="F49" t="s">
        <v>31</v>
      </c>
    </row>
    <row r="50" spans="1:11" x14ac:dyDescent="0.25">
      <c r="D50" t="s">
        <v>732</v>
      </c>
      <c r="E50">
        <v>2457311.2685099998</v>
      </c>
      <c r="F50" t="s">
        <v>764</v>
      </c>
      <c r="G50">
        <v>11.696999999999999</v>
      </c>
      <c r="H50">
        <v>6.0000000000000001E-3</v>
      </c>
      <c r="I50" t="s">
        <v>18</v>
      </c>
      <c r="J50" t="s">
        <v>761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27</v>
      </c>
      <c r="B52" t="s">
        <v>762</v>
      </c>
      <c r="C52" t="s">
        <v>67</v>
      </c>
      <c r="D52" t="s">
        <v>763</v>
      </c>
      <c r="E52" t="s">
        <v>31</v>
      </c>
      <c r="F52" t="s">
        <v>31</v>
      </c>
    </row>
    <row r="53" spans="1:11" x14ac:dyDescent="0.25">
      <c r="D53" t="s">
        <v>732</v>
      </c>
      <c r="E53">
        <v>2457311.2681200001</v>
      </c>
      <c r="F53" t="s">
        <v>765</v>
      </c>
      <c r="G53">
        <v>11.7</v>
      </c>
      <c r="H53">
        <v>6.0000000000000001E-3</v>
      </c>
      <c r="I53" t="s">
        <v>18</v>
      </c>
      <c r="J53" t="s">
        <v>761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27</v>
      </c>
      <c r="B55" t="s">
        <v>766</v>
      </c>
      <c r="C55" t="s">
        <v>67</v>
      </c>
      <c r="D55" t="s">
        <v>763</v>
      </c>
      <c r="E55" t="s">
        <v>31</v>
      </c>
      <c r="F55" t="s">
        <v>31</v>
      </c>
    </row>
    <row r="56" spans="1:11" x14ac:dyDescent="0.25">
      <c r="D56" t="s">
        <v>732</v>
      </c>
      <c r="E56">
        <v>2457311.2677199999</v>
      </c>
      <c r="F56" t="s">
        <v>767</v>
      </c>
      <c r="G56">
        <v>11.695</v>
      </c>
      <c r="H56">
        <v>6.0000000000000001E-3</v>
      </c>
      <c r="I56" t="s">
        <v>18</v>
      </c>
      <c r="J56" t="s">
        <v>761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27</v>
      </c>
      <c r="B58" t="s">
        <v>768</v>
      </c>
      <c r="C58" t="s">
        <v>67</v>
      </c>
      <c r="D58" t="s">
        <v>763</v>
      </c>
      <c r="E58" t="s">
        <v>31</v>
      </c>
      <c r="F58" t="s">
        <v>31</v>
      </c>
    </row>
    <row r="59" spans="1:11" x14ac:dyDescent="0.25">
      <c r="D59" t="s">
        <v>732</v>
      </c>
      <c r="E59">
        <v>2457311.26731</v>
      </c>
      <c r="F59" t="s">
        <v>769</v>
      </c>
      <c r="G59">
        <v>11.699</v>
      </c>
      <c r="H59">
        <v>6.0000000000000001E-3</v>
      </c>
      <c r="I59" t="s">
        <v>18</v>
      </c>
      <c r="J59" t="s">
        <v>761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27</v>
      </c>
      <c r="B61" t="s">
        <v>766</v>
      </c>
      <c r="C61" t="s">
        <v>67</v>
      </c>
      <c r="D61" t="s">
        <v>763</v>
      </c>
      <c r="E61" t="s">
        <v>31</v>
      </c>
      <c r="F61" t="s">
        <v>31</v>
      </c>
    </row>
    <row r="62" spans="1:11" x14ac:dyDescent="0.25">
      <c r="D62" t="s">
        <v>732</v>
      </c>
      <c r="E62">
        <v>2457311.2669000002</v>
      </c>
      <c r="F62" t="s">
        <v>770</v>
      </c>
      <c r="G62">
        <v>11.696</v>
      </c>
      <c r="H62">
        <v>6.0000000000000001E-3</v>
      </c>
      <c r="I62" t="s">
        <v>18</v>
      </c>
      <c r="J62" t="s">
        <v>761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27</v>
      </c>
      <c r="B64" t="s">
        <v>771</v>
      </c>
      <c r="C64" t="s">
        <v>67</v>
      </c>
      <c r="D64" t="s">
        <v>763</v>
      </c>
      <c r="E64" t="s">
        <v>31</v>
      </c>
      <c r="F64" t="s">
        <v>31</v>
      </c>
    </row>
    <row r="65" spans="1:11" x14ac:dyDescent="0.25">
      <c r="D65" t="s">
        <v>732</v>
      </c>
      <c r="E65">
        <v>2457311.2664899998</v>
      </c>
      <c r="F65" t="s">
        <v>772</v>
      </c>
      <c r="G65">
        <v>11.683</v>
      </c>
      <c r="H65">
        <v>6.0000000000000001E-3</v>
      </c>
      <c r="I65" t="s">
        <v>18</v>
      </c>
      <c r="J65" t="s">
        <v>761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27</v>
      </c>
      <c r="B67" t="s">
        <v>773</v>
      </c>
      <c r="C67" t="s">
        <v>67</v>
      </c>
      <c r="D67" t="s">
        <v>763</v>
      </c>
      <c r="E67" t="s">
        <v>31</v>
      </c>
      <c r="F67" t="s">
        <v>31</v>
      </c>
    </row>
    <row r="68" spans="1:11" x14ac:dyDescent="0.25">
      <c r="D68" t="s">
        <v>732</v>
      </c>
      <c r="E68">
        <v>2457311.26609</v>
      </c>
      <c r="F68" t="s">
        <v>774</v>
      </c>
      <c r="G68">
        <v>11.689</v>
      </c>
      <c r="H68">
        <v>6.0000000000000001E-3</v>
      </c>
      <c r="I68" t="s">
        <v>18</v>
      </c>
      <c r="J68" t="s">
        <v>761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775</v>
      </c>
      <c r="C70" t="s">
        <v>67</v>
      </c>
      <c r="D70" t="s">
        <v>763</v>
      </c>
      <c r="E70" t="s">
        <v>31</v>
      </c>
      <c r="F70" t="s">
        <v>31</v>
      </c>
    </row>
    <row r="71" spans="1:11" x14ac:dyDescent="0.25">
      <c r="D71" t="s">
        <v>732</v>
      </c>
      <c r="E71">
        <v>2457311.26566</v>
      </c>
      <c r="F71" t="s">
        <v>776</v>
      </c>
      <c r="G71">
        <v>11.694000000000001</v>
      </c>
      <c r="H71">
        <v>6.0000000000000001E-3</v>
      </c>
      <c r="I71" t="s">
        <v>18</v>
      </c>
      <c r="J71" t="s">
        <v>761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27</v>
      </c>
      <c r="B73" t="s">
        <v>777</v>
      </c>
      <c r="C73" t="s">
        <v>67</v>
      </c>
      <c r="D73" t="s">
        <v>763</v>
      </c>
      <c r="E73" t="s">
        <v>31</v>
      </c>
      <c r="F73" t="s">
        <v>31</v>
      </c>
    </row>
    <row r="74" spans="1:11" x14ac:dyDescent="0.25">
      <c r="D74" t="s">
        <v>732</v>
      </c>
      <c r="E74">
        <v>2457311.2652400001</v>
      </c>
      <c r="F74" t="s">
        <v>778</v>
      </c>
      <c r="G74">
        <v>11.695</v>
      </c>
      <c r="H74">
        <v>6.0000000000000001E-3</v>
      </c>
      <c r="I74" t="s">
        <v>18</v>
      </c>
      <c r="J74" t="s">
        <v>761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27</v>
      </c>
      <c r="B76" t="s">
        <v>779</v>
      </c>
      <c r="C76" t="s">
        <v>67</v>
      </c>
      <c r="D76" t="s">
        <v>763</v>
      </c>
      <c r="E76" t="s">
        <v>31</v>
      </c>
      <c r="F76" t="s">
        <v>31</v>
      </c>
    </row>
    <row r="77" spans="1:11" x14ac:dyDescent="0.25">
      <c r="D77" t="s">
        <v>732</v>
      </c>
      <c r="E77">
        <v>2457311.2648100001</v>
      </c>
      <c r="F77" t="s">
        <v>780</v>
      </c>
      <c r="G77">
        <v>11.688000000000001</v>
      </c>
      <c r="H77">
        <v>6.0000000000000001E-3</v>
      </c>
      <c r="I77" t="s">
        <v>18</v>
      </c>
      <c r="J77" t="s">
        <v>761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27</v>
      </c>
      <c r="B79" t="s">
        <v>781</v>
      </c>
      <c r="C79" t="s">
        <v>67</v>
      </c>
      <c r="D79" t="s">
        <v>763</v>
      </c>
      <c r="E79" t="s">
        <v>31</v>
      </c>
      <c r="F79" t="s">
        <v>31</v>
      </c>
    </row>
    <row r="80" spans="1:11" x14ac:dyDescent="0.25">
      <c r="D80" t="s">
        <v>732</v>
      </c>
      <c r="E80">
        <v>2457311.2643900001</v>
      </c>
      <c r="F80" t="s">
        <v>782</v>
      </c>
      <c r="G80">
        <v>11.683</v>
      </c>
      <c r="H80">
        <v>6.0000000000000001E-3</v>
      </c>
      <c r="I80" t="s">
        <v>18</v>
      </c>
      <c r="J80" t="s">
        <v>761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27</v>
      </c>
      <c r="B82" t="s">
        <v>779</v>
      </c>
      <c r="C82" t="s">
        <v>67</v>
      </c>
      <c r="D82" t="s">
        <v>763</v>
      </c>
      <c r="E82" t="s">
        <v>31</v>
      </c>
      <c r="F82" t="s">
        <v>31</v>
      </c>
    </row>
    <row r="83" spans="1:11" x14ac:dyDescent="0.25">
      <c r="D83" t="s">
        <v>732</v>
      </c>
      <c r="E83">
        <v>2457311.264</v>
      </c>
      <c r="F83" t="s">
        <v>783</v>
      </c>
      <c r="G83">
        <v>11.679</v>
      </c>
      <c r="H83">
        <v>6.0000000000000001E-3</v>
      </c>
      <c r="I83" t="s">
        <v>18</v>
      </c>
      <c r="J83" t="s">
        <v>761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27</v>
      </c>
      <c r="B85" t="s">
        <v>784</v>
      </c>
      <c r="C85" t="s">
        <v>67</v>
      </c>
      <c r="D85" t="s">
        <v>763</v>
      </c>
      <c r="E85" t="s">
        <v>31</v>
      </c>
      <c r="F85" t="s">
        <v>31</v>
      </c>
    </row>
    <row r="86" spans="1:11" x14ac:dyDescent="0.25">
      <c r="D86" t="s">
        <v>732</v>
      </c>
      <c r="E86">
        <v>2457311.2636000002</v>
      </c>
      <c r="F86" t="s">
        <v>785</v>
      </c>
      <c r="G86">
        <v>11.677</v>
      </c>
      <c r="H86">
        <v>6.0000000000000001E-3</v>
      </c>
      <c r="I86" t="s">
        <v>18</v>
      </c>
      <c r="J86" t="s">
        <v>761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27</v>
      </c>
      <c r="B88" t="s">
        <v>786</v>
      </c>
      <c r="C88" t="s">
        <v>67</v>
      </c>
      <c r="D88" t="s">
        <v>763</v>
      </c>
      <c r="E88" t="s">
        <v>31</v>
      </c>
      <c r="F88" t="s">
        <v>31</v>
      </c>
    </row>
    <row r="89" spans="1:11" x14ac:dyDescent="0.25">
      <c r="D89" t="s">
        <v>732</v>
      </c>
      <c r="E89">
        <v>2457311.26321</v>
      </c>
      <c r="F89" t="s">
        <v>787</v>
      </c>
      <c r="G89">
        <v>11.688000000000001</v>
      </c>
      <c r="H89">
        <v>6.0000000000000001E-3</v>
      </c>
      <c r="I89" t="s">
        <v>18</v>
      </c>
      <c r="J89" t="s">
        <v>761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27</v>
      </c>
      <c r="B91" t="s">
        <v>768</v>
      </c>
      <c r="C91" t="s">
        <v>67</v>
      </c>
      <c r="D91" t="s">
        <v>763</v>
      </c>
      <c r="E91" t="s">
        <v>31</v>
      </c>
      <c r="F91" t="s">
        <v>31</v>
      </c>
    </row>
    <row r="92" spans="1:11" x14ac:dyDescent="0.25">
      <c r="A92" t="s">
        <v>788</v>
      </c>
    </row>
  </sheetData>
  <hyperlinks>
    <hyperlink ref="L1" r:id="rId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Q92"/>
  <sheetViews>
    <sheetView workbookViewId="0">
      <selection sqref="A1:XFD1048576"/>
    </sheetView>
  </sheetViews>
  <sheetFormatPr baseColWidth="10" defaultRowHeight="15" x14ac:dyDescent="0.25"/>
  <cols>
    <col min="1" max="1" width="18" customWidth="1"/>
    <col min="2" max="2" width="13.140625" customWidth="1"/>
    <col min="3" max="3" width="12.28515625" bestFit="1" customWidth="1"/>
    <col min="4" max="4" width="9.85546875" customWidth="1"/>
    <col min="5" max="5" width="15.5703125" bestFit="1" customWidth="1"/>
    <col min="6" max="6" width="23.425781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693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694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695</v>
      </c>
      <c r="E17">
        <v>2456856.5619999999</v>
      </c>
      <c r="F17" t="s">
        <v>696</v>
      </c>
      <c r="G17">
        <v>11.3</v>
      </c>
      <c r="H17">
        <v>0.05</v>
      </c>
      <c r="I17" t="s">
        <v>697</v>
      </c>
      <c r="J17" t="s">
        <v>66</v>
      </c>
      <c r="K17" t="s">
        <v>20</v>
      </c>
      <c r="M17" t="str">
        <f>+I17</f>
        <v>CR</v>
      </c>
      <c r="N17">
        <f>+G17</f>
        <v>11.3</v>
      </c>
      <c r="O17" t="str">
        <f>+J17</f>
        <v>MEV</v>
      </c>
      <c r="P17">
        <f>+E17</f>
        <v>2456856.5619999999</v>
      </c>
      <c r="Q17" t="str">
        <f>+F17</f>
        <v>2014 Jul. 18.06200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CR</v>
      </c>
      <c r="N18">
        <f>+G20</f>
        <v>11.3</v>
      </c>
      <c r="O18" t="str">
        <f>+J20</f>
        <v>MEV</v>
      </c>
      <c r="P18">
        <f>+E20</f>
        <v>2456855.497</v>
      </c>
      <c r="Q18" t="str">
        <f>+F20</f>
        <v>2014 Jul. 16.99700</v>
      </c>
    </row>
    <row r="19" spans="1:17" x14ac:dyDescent="0.25">
      <c r="A19" t="s">
        <v>27</v>
      </c>
      <c r="B19" t="s">
        <v>31</v>
      </c>
      <c r="C19" t="s">
        <v>67</v>
      </c>
      <c r="D19" t="s">
        <v>68</v>
      </c>
      <c r="E19" t="s">
        <v>31</v>
      </c>
      <c r="F19" t="s">
        <v>69</v>
      </c>
      <c r="M19" t="str">
        <f>+I23</f>
        <v>CR</v>
      </c>
      <c r="N19">
        <f>+G23</f>
        <v>11.21</v>
      </c>
      <c r="O19" t="str">
        <f>+J23</f>
        <v>MEV</v>
      </c>
      <c r="P19">
        <f>+E23</f>
        <v>2456854.5359999998</v>
      </c>
      <c r="Q19" t="str">
        <f>+F23</f>
        <v>2014 Jul. 16.03600</v>
      </c>
    </row>
    <row r="20" spans="1:17" x14ac:dyDescent="0.25">
      <c r="D20" t="s">
        <v>695</v>
      </c>
      <c r="E20">
        <v>2456855.497</v>
      </c>
      <c r="F20" t="s">
        <v>698</v>
      </c>
      <c r="G20">
        <v>11.3</v>
      </c>
      <c r="H20">
        <v>0.05</v>
      </c>
      <c r="I20" t="s">
        <v>697</v>
      </c>
      <c r="J20" t="s">
        <v>66</v>
      </c>
      <c r="K20" t="s">
        <v>20</v>
      </c>
      <c r="M20" t="str">
        <f>+I26</f>
        <v>CR</v>
      </c>
      <c r="N20">
        <f>+G26</f>
        <v>11.29</v>
      </c>
      <c r="O20" t="str">
        <f>+J26</f>
        <v>MEV</v>
      </c>
      <c r="P20">
        <f>+E26</f>
        <v>2456836.577</v>
      </c>
      <c r="Q20" t="str">
        <f>+F26</f>
        <v>2014 Jun. 28.07700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R</v>
      </c>
      <c r="N21">
        <f>+G29</f>
        <v>10.210000000000001</v>
      </c>
      <c r="O21" t="str">
        <f>+J29</f>
        <v>TIA</v>
      </c>
      <c r="P21">
        <f>+E29</f>
        <v>2456783.4326399998</v>
      </c>
      <c r="Q21" t="str">
        <f>+F29</f>
        <v>2014 May. 05.93264</v>
      </c>
    </row>
    <row r="22" spans="1:17" x14ac:dyDescent="0.25">
      <c r="A22" t="s">
        <v>27</v>
      </c>
      <c r="B22" t="s">
        <v>31</v>
      </c>
      <c r="C22" t="s">
        <v>67</v>
      </c>
      <c r="D22" t="s">
        <v>68</v>
      </c>
      <c r="E22" t="s">
        <v>31</v>
      </c>
      <c r="F22" t="s">
        <v>69</v>
      </c>
      <c r="M22" t="str">
        <f>+I32</f>
        <v>I</v>
      </c>
      <c r="N22">
        <f>+G32</f>
        <v>8.2899999999999991</v>
      </c>
      <c r="O22" t="str">
        <f>+J32</f>
        <v>TIA</v>
      </c>
      <c r="P22">
        <f>+E32</f>
        <v>2456783.4326399998</v>
      </c>
      <c r="Q22" t="str">
        <f>+F32</f>
        <v>2014 May. 05.93264</v>
      </c>
    </row>
    <row r="23" spans="1:17" x14ac:dyDescent="0.25">
      <c r="D23" t="s">
        <v>695</v>
      </c>
      <c r="E23">
        <v>2456854.5359999998</v>
      </c>
      <c r="F23" t="s">
        <v>699</v>
      </c>
      <c r="G23">
        <v>11.21</v>
      </c>
      <c r="H23">
        <v>0.05</v>
      </c>
      <c r="I23" t="s">
        <v>697</v>
      </c>
      <c r="J23" t="s">
        <v>66</v>
      </c>
      <c r="K23" t="s">
        <v>20</v>
      </c>
      <c r="M23" t="str">
        <f>+I35</f>
        <v>B</v>
      </c>
      <c r="N23">
        <f>+G35</f>
        <v>13.47</v>
      </c>
      <c r="O23" t="str">
        <f>+J35</f>
        <v>TIA</v>
      </c>
      <c r="P23">
        <f>+E35</f>
        <v>2456783.43194</v>
      </c>
      <c r="Q23" t="str">
        <f>+F35</f>
        <v>2014 May. 05.93194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12.01</v>
      </c>
      <c r="O24" t="str">
        <f>+J38</f>
        <v>TIA</v>
      </c>
      <c r="P24">
        <f>+E38</f>
        <v>2456783.43194</v>
      </c>
      <c r="Q24" t="str">
        <f>+F38</f>
        <v>2014 May. 05.93194</v>
      </c>
    </row>
    <row r="25" spans="1:17" x14ac:dyDescent="0.25">
      <c r="A25" t="s">
        <v>27</v>
      </c>
      <c r="B25" t="s">
        <v>31</v>
      </c>
      <c r="C25" t="s">
        <v>67</v>
      </c>
      <c r="D25" t="s">
        <v>68</v>
      </c>
      <c r="E25" t="s">
        <v>31</v>
      </c>
      <c r="F25" t="s">
        <v>69</v>
      </c>
      <c r="M25" t="str">
        <f>+I41</f>
        <v>V</v>
      </c>
      <c r="N25">
        <f>+G41</f>
        <v>12.204000000000001</v>
      </c>
      <c r="O25" t="str">
        <f>+J41</f>
        <v>LCLA</v>
      </c>
      <c r="P25">
        <f>+E41</f>
        <v>2456758.6545139998</v>
      </c>
      <c r="Q25" t="str">
        <f>+F41</f>
        <v>2014 Apr. 11.15451</v>
      </c>
    </row>
    <row r="26" spans="1:17" x14ac:dyDescent="0.25">
      <c r="D26" t="s">
        <v>695</v>
      </c>
      <c r="E26">
        <v>2456836.577</v>
      </c>
      <c r="F26" t="s">
        <v>700</v>
      </c>
      <c r="G26">
        <v>11.29</v>
      </c>
      <c r="H26">
        <v>0.05</v>
      </c>
      <c r="I26" t="s">
        <v>697</v>
      </c>
      <c r="J26" t="s">
        <v>66</v>
      </c>
      <c r="K26" t="s">
        <v>20</v>
      </c>
      <c r="M26" t="str">
        <f>+I44</f>
        <v>V</v>
      </c>
      <c r="N26">
        <f>+G44</f>
        <v>11.88</v>
      </c>
      <c r="O26" t="str">
        <f>+J44</f>
        <v>OCN</v>
      </c>
      <c r="P26">
        <f>+E44</f>
        <v>2456372.6669999999</v>
      </c>
      <c r="Q26" t="str">
        <f>+F44</f>
        <v>2013 Mar. 21.16700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27</v>
      </c>
      <c r="B28" t="s">
        <v>31</v>
      </c>
      <c r="C28" t="s">
        <v>67</v>
      </c>
      <c r="D28" t="s">
        <v>68</v>
      </c>
      <c r="E28" t="s">
        <v>31</v>
      </c>
      <c r="F28" t="s">
        <v>69</v>
      </c>
    </row>
    <row r="29" spans="1:17" x14ac:dyDescent="0.25">
      <c r="D29" t="s">
        <v>695</v>
      </c>
      <c r="E29">
        <v>2456783.4326399998</v>
      </c>
      <c r="F29" t="s">
        <v>701</v>
      </c>
      <c r="G29">
        <v>10.210000000000001</v>
      </c>
      <c r="H29">
        <v>0.02</v>
      </c>
      <c r="I29" t="s">
        <v>250</v>
      </c>
      <c r="J29" t="s">
        <v>254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704</v>
      </c>
      <c r="B31" t="s">
        <v>31</v>
      </c>
      <c r="C31" t="s">
        <v>67</v>
      </c>
      <c r="D31" t="s">
        <v>703</v>
      </c>
      <c r="E31" t="s">
        <v>31</v>
      </c>
      <c r="F31" t="s">
        <v>31</v>
      </c>
    </row>
    <row r="32" spans="1:17" x14ac:dyDescent="0.25">
      <c r="D32" t="s">
        <v>695</v>
      </c>
      <c r="E32">
        <v>2456783.4326399998</v>
      </c>
      <c r="F32" t="s">
        <v>701</v>
      </c>
      <c r="G32">
        <v>8.2899999999999991</v>
      </c>
      <c r="H32">
        <v>0.02</v>
      </c>
      <c r="I32" t="s">
        <v>249</v>
      </c>
      <c r="J32" t="s">
        <v>254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702</v>
      </c>
      <c r="B34" t="s">
        <v>31</v>
      </c>
      <c r="C34" t="s">
        <v>67</v>
      </c>
      <c r="D34" t="s">
        <v>703</v>
      </c>
      <c r="E34" t="s">
        <v>31</v>
      </c>
      <c r="F34" t="s">
        <v>31</v>
      </c>
    </row>
    <row r="35" spans="1:11" x14ac:dyDescent="0.25">
      <c r="D35" t="s">
        <v>695</v>
      </c>
      <c r="E35">
        <v>2456783.43194</v>
      </c>
      <c r="F35" t="s">
        <v>705</v>
      </c>
      <c r="G35">
        <v>13.47</v>
      </c>
      <c r="H35">
        <v>2.5000000000000001E-2</v>
      </c>
      <c r="I35" t="s">
        <v>34</v>
      </c>
      <c r="J35" t="s">
        <v>254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707</v>
      </c>
      <c r="B37" t="s">
        <v>31</v>
      </c>
      <c r="C37" t="s">
        <v>67</v>
      </c>
      <c r="D37" t="s">
        <v>703</v>
      </c>
      <c r="E37" t="s">
        <v>31</v>
      </c>
      <c r="F37" t="s">
        <v>31</v>
      </c>
    </row>
    <row r="38" spans="1:11" x14ac:dyDescent="0.25">
      <c r="D38" t="s">
        <v>170</v>
      </c>
      <c r="E38">
        <v>2456783.43194</v>
      </c>
      <c r="F38" t="s">
        <v>705</v>
      </c>
      <c r="G38">
        <v>12.01</v>
      </c>
      <c r="H38">
        <v>0.01</v>
      </c>
      <c r="I38" t="s">
        <v>18</v>
      </c>
      <c r="J38" t="s">
        <v>254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706</v>
      </c>
      <c r="B40" t="s">
        <v>31</v>
      </c>
      <c r="C40" t="s">
        <v>67</v>
      </c>
      <c r="D40" t="s">
        <v>703</v>
      </c>
      <c r="E40" t="s">
        <v>31</v>
      </c>
      <c r="F40" t="s">
        <v>31</v>
      </c>
    </row>
    <row r="41" spans="1:11" x14ac:dyDescent="0.25">
      <c r="D41" t="s">
        <v>695</v>
      </c>
      <c r="E41">
        <v>2456758.6545139998</v>
      </c>
      <c r="F41" t="s">
        <v>708</v>
      </c>
      <c r="G41">
        <v>12.204000000000001</v>
      </c>
      <c r="H41">
        <v>4.2000000000000003E-2</v>
      </c>
      <c r="I41" t="s">
        <v>18</v>
      </c>
      <c r="J41" t="s">
        <v>709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27</v>
      </c>
      <c r="B43" t="s">
        <v>710</v>
      </c>
      <c r="C43" t="s">
        <v>67</v>
      </c>
      <c r="E43" t="s">
        <v>31</v>
      </c>
      <c r="F43" t="s">
        <v>711</v>
      </c>
    </row>
    <row r="44" spans="1:11" x14ac:dyDescent="0.25">
      <c r="D44" t="s">
        <v>695</v>
      </c>
      <c r="E44">
        <v>2456372.6669999999</v>
      </c>
      <c r="F44" t="s">
        <v>712</v>
      </c>
      <c r="G44">
        <v>11.88</v>
      </c>
      <c r="H44">
        <v>0.01</v>
      </c>
      <c r="I44" t="s">
        <v>18</v>
      </c>
      <c r="J44" t="s">
        <v>260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713</v>
      </c>
      <c r="B46" t="s">
        <v>714</v>
      </c>
      <c r="C46" t="s">
        <v>67</v>
      </c>
      <c r="D46" t="s">
        <v>715</v>
      </c>
      <c r="E46" t="s">
        <v>31</v>
      </c>
      <c r="F46" t="s">
        <v>31</v>
      </c>
    </row>
    <row r="47" spans="1:11" x14ac:dyDescent="0.25">
      <c r="D47" t="s">
        <v>695</v>
      </c>
      <c r="E47">
        <v>2456193.344</v>
      </c>
      <c r="F47" t="s">
        <v>716</v>
      </c>
      <c r="G47">
        <v>11.51</v>
      </c>
      <c r="H47">
        <v>0.05</v>
      </c>
      <c r="I47" t="s">
        <v>697</v>
      </c>
      <c r="J47" t="s">
        <v>66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27</v>
      </c>
      <c r="B49" t="s">
        <v>31</v>
      </c>
      <c r="C49" t="s">
        <v>67</v>
      </c>
      <c r="D49" t="s">
        <v>68</v>
      </c>
      <c r="E49" t="s">
        <v>31</v>
      </c>
      <c r="F49" t="s">
        <v>69</v>
      </c>
    </row>
    <row r="50" spans="1:11" x14ac:dyDescent="0.25">
      <c r="D50" t="s">
        <v>695</v>
      </c>
      <c r="E50">
        <v>2456186.3820000002</v>
      </c>
      <c r="F50" t="s">
        <v>717</v>
      </c>
      <c r="G50">
        <v>11.52</v>
      </c>
      <c r="H50">
        <v>0.05</v>
      </c>
      <c r="I50" t="s">
        <v>697</v>
      </c>
      <c r="J50" t="s">
        <v>66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27</v>
      </c>
      <c r="B52" t="s">
        <v>31</v>
      </c>
      <c r="C52" t="s">
        <v>67</v>
      </c>
      <c r="D52" t="s">
        <v>68</v>
      </c>
      <c r="E52" t="s">
        <v>31</v>
      </c>
      <c r="F52" t="s">
        <v>69</v>
      </c>
    </row>
    <row r="53" spans="1:11" x14ac:dyDescent="0.25">
      <c r="D53" t="s">
        <v>695</v>
      </c>
      <c r="E53">
        <v>2456135.4959999998</v>
      </c>
      <c r="F53" t="s">
        <v>718</v>
      </c>
      <c r="G53">
        <v>10.55</v>
      </c>
      <c r="H53">
        <v>0.05</v>
      </c>
      <c r="I53" t="s">
        <v>697</v>
      </c>
      <c r="J53" t="s">
        <v>66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27</v>
      </c>
      <c r="B55" t="s">
        <v>31</v>
      </c>
      <c r="C55" t="s">
        <v>67</v>
      </c>
      <c r="D55" t="s">
        <v>68</v>
      </c>
      <c r="E55" t="s">
        <v>31</v>
      </c>
      <c r="F55" t="s">
        <v>69</v>
      </c>
    </row>
    <row r="56" spans="1:11" x14ac:dyDescent="0.25">
      <c r="D56" t="s">
        <v>695</v>
      </c>
      <c r="E56">
        <v>2456128.469</v>
      </c>
      <c r="F56" t="s">
        <v>719</v>
      </c>
      <c r="G56">
        <v>11.68</v>
      </c>
      <c r="H56">
        <v>0.05</v>
      </c>
      <c r="I56" t="s">
        <v>697</v>
      </c>
      <c r="J56" t="s">
        <v>66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27</v>
      </c>
      <c r="B58" t="s">
        <v>31</v>
      </c>
      <c r="C58" t="s">
        <v>67</v>
      </c>
      <c r="D58" t="s">
        <v>68</v>
      </c>
      <c r="E58" t="s">
        <v>31</v>
      </c>
      <c r="F58" t="s">
        <v>69</v>
      </c>
    </row>
    <row r="59" spans="1:11" x14ac:dyDescent="0.25">
      <c r="D59" t="s">
        <v>695</v>
      </c>
      <c r="E59">
        <v>2456126.4700000002</v>
      </c>
      <c r="F59" t="s">
        <v>720</v>
      </c>
      <c r="G59">
        <v>11.51</v>
      </c>
      <c r="H59">
        <v>0.05</v>
      </c>
      <c r="I59" t="s">
        <v>697</v>
      </c>
      <c r="J59" t="s">
        <v>66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27</v>
      </c>
      <c r="B61" t="s">
        <v>31</v>
      </c>
      <c r="C61" t="s">
        <v>67</v>
      </c>
      <c r="D61" t="s">
        <v>68</v>
      </c>
      <c r="E61" t="s">
        <v>31</v>
      </c>
      <c r="F61" t="s">
        <v>69</v>
      </c>
    </row>
    <row r="62" spans="1:11" x14ac:dyDescent="0.25">
      <c r="D62" t="s">
        <v>695</v>
      </c>
      <c r="E62">
        <v>2456120.4780000001</v>
      </c>
      <c r="F62" t="s">
        <v>721</v>
      </c>
      <c r="G62">
        <v>11.44</v>
      </c>
      <c r="H62">
        <v>0.05</v>
      </c>
      <c r="I62" t="s">
        <v>697</v>
      </c>
      <c r="J62" t="s">
        <v>66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27</v>
      </c>
      <c r="B64" t="s">
        <v>31</v>
      </c>
      <c r="C64" t="s">
        <v>67</v>
      </c>
      <c r="D64" t="s">
        <v>68</v>
      </c>
      <c r="E64" t="s">
        <v>31</v>
      </c>
      <c r="F64" t="s">
        <v>69</v>
      </c>
    </row>
    <row r="65" spans="1:11" x14ac:dyDescent="0.25">
      <c r="D65" t="s">
        <v>695</v>
      </c>
      <c r="E65">
        <v>2456118.4989999998</v>
      </c>
      <c r="F65" t="s">
        <v>722</v>
      </c>
      <c r="G65">
        <v>11.58</v>
      </c>
      <c r="H65">
        <v>0.05</v>
      </c>
      <c r="I65" t="s">
        <v>697</v>
      </c>
      <c r="J65" t="s">
        <v>66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27</v>
      </c>
      <c r="B67" t="s">
        <v>31</v>
      </c>
      <c r="C67" t="s">
        <v>67</v>
      </c>
      <c r="D67" t="s">
        <v>68</v>
      </c>
      <c r="E67" t="s">
        <v>31</v>
      </c>
      <c r="F67" t="s">
        <v>69</v>
      </c>
    </row>
    <row r="68" spans="1:11" x14ac:dyDescent="0.25">
      <c r="D68" t="s">
        <v>695</v>
      </c>
      <c r="E68">
        <v>2456116.4920000001</v>
      </c>
      <c r="F68" t="s">
        <v>723</v>
      </c>
      <c r="G68">
        <v>11.57</v>
      </c>
      <c r="H68">
        <v>0.05</v>
      </c>
      <c r="I68" t="s">
        <v>697</v>
      </c>
      <c r="J68" t="s">
        <v>66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31</v>
      </c>
      <c r="C70" t="s">
        <v>67</v>
      </c>
      <c r="D70" t="s">
        <v>68</v>
      </c>
      <c r="E70" t="s">
        <v>31</v>
      </c>
      <c r="F70" t="s">
        <v>69</v>
      </c>
    </row>
    <row r="71" spans="1:11" x14ac:dyDescent="0.25">
      <c r="D71" t="s">
        <v>695</v>
      </c>
      <c r="E71">
        <v>2456108.5269999998</v>
      </c>
      <c r="F71" t="s">
        <v>724</v>
      </c>
      <c r="G71">
        <v>11.79</v>
      </c>
      <c r="H71">
        <v>0.05</v>
      </c>
      <c r="I71" t="s">
        <v>697</v>
      </c>
      <c r="J71" t="s">
        <v>66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27</v>
      </c>
      <c r="B73" t="s">
        <v>31</v>
      </c>
      <c r="C73" t="s">
        <v>67</v>
      </c>
      <c r="D73" t="s">
        <v>68</v>
      </c>
      <c r="E73" t="s">
        <v>31</v>
      </c>
      <c r="F73" t="s">
        <v>69</v>
      </c>
    </row>
    <row r="74" spans="1:11" x14ac:dyDescent="0.25">
      <c r="D74" t="s">
        <v>695</v>
      </c>
      <c r="E74">
        <v>2456000.6850000001</v>
      </c>
      <c r="F74" t="s">
        <v>725</v>
      </c>
      <c r="G74">
        <v>11.61</v>
      </c>
      <c r="H74">
        <v>0.05</v>
      </c>
      <c r="I74" t="s">
        <v>697</v>
      </c>
      <c r="J74" t="s">
        <v>66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27</v>
      </c>
      <c r="B76" t="s">
        <v>31</v>
      </c>
      <c r="C76" t="s">
        <v>67</v>
      </c>
      <c r="D76" t="s">
        <v>68</v>
      </c>
      <c r="E76" t="s">
        <v>31</v>
      </c>
      <c r="F76" t="s">
        <v>69</v>
      </c>
    </row>
    <row r="77" spans="1:11" x14ac:dyDescent="0.25">
      <c r="D77" t="s">
        <v>695</v>
      </c>
      <c r="E77">
        <v>2455802.4180000001</v>
      </c>
      <c r="F77" t="s">
        <v>726</v>
      </c>
      <c r="G77">
        <v>11.31</v>
      </c>
      <c r="H77">
        <v>0.05</v>
      </c>
      <c r="I77" t="s">
        <v>697</v>
      </c>
      <c r="J77" t="s">
        <v>66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27</v>
      </c>
      <c r="B79" t="s">
        <v>31</v>
      </c>
      <c r="C79" t="s">
        <v>67</v>
      </c>
      <c r="D79" t="s">
        <v>68</v>
      </c>
      <c r="E79" t="s">
        <v>31</v>
      </c>
      <c r="F79" t="s">
        <v>69</v>
      </c>
    </row>
    <row r="80" spans="1:11" x14ac:dyDescent="0.25">
      <c r="D80" t="s">
        <v>695</v>
      </c>
      <c r="E80">
        <v>2455776.4709999999</v>
      </c>
      <c r="F80" t="s">
        <v>727</v>
      </c>
      <c r="G80">
        <v>11.11</v>
      </c>
      <c r="H80">
        <v>0.05</v>
      </c>
      <c r="I80" t="s">
        <v>697</v>
      </c>
      <c r="J80" t="s">
        <v>66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27</v>
      </c>
      <c r="B82" t="s">
        <v>31</v>
      </c>
      <c r="C82" t="s">
        <v>67</v>
      </c>
      <c r="D82" t="s">
        <v>68</v>
      </c>
      <c r="E82" t="s">
        <v>31</v>
      </c>
      <c r="F82" t="s">
        <v>69</v>
      </c>
    </row>
    <row r="83" spans="1:11" x14ac:dyDescent="0.25">
      <c r="D83" t="s">
        <v>695</v>
      </c>
      <c r="E83">
        <v>2455766.5120000001</v>
      </c>
      <c r="F83" t="s">
        <v>728</v>
      </c>
      <c r="G83">
        <v>10.94</v>
      </c>
      <c r="H83">
        <v>0.05</v>
      </c>
      <c r="I83" t="s">
        <v>697</v>
      </c>
      <c r="J83" t="s">
        <v>66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27</v>
      </c>
      <c r="B85" t="s">
        <v>31</v>
      </c>
      <c r="C85" t="s">
        <v>67</v>
      </c>
      <c r="D85" t="s">
        <v>68</v>
      </c>
      <c r="E85" t="s">
        <v>31</v>
      </c>
      <c r="F85" t="s">
        <v>69</v>
      </c>
    </row>
    <row r="86" spans="1:11" x14ac:dyDescent="0.25">
      <c r="D86" t="s">
        <v>695</v>
      </c>
      <c r="E86">
        <v>2455749.4739999999</v>
      </c>
      <c r="F86" t="s">
        <v>729</v>
      </c>
      <c r="G86">
        <v>11</v>
      </c>
      <c r="H86">
        <v>0.05</v>
      </c>
      <c r="I86" t="s">
        <v>697</v>
      </c>
      <c r="J86" t="s">
        <v>66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27</v>
      </c>
      <c r="B88" t="s">
        <v>31</v>
      </c>
      <c r="C88" t="s">
        <v>67</v>
      </c>
      <c r="D88" t="s">
        <v>68</v>
      </c>
      <c r="E88" t="s">
        <v>31</v>
      </c>
      <c r="F88" t="s">
        <v>69</v>
      </c>
    </row>
    <row r="89" spans="1:11" x14ac:dyDescent="0.25">
      <c r="D89" t="s">
        <v>695</v>
      </c>
      <c r="E89">
        <v>2455741.5750000002</v>
      </c>
      <c r="F89" t="s">
        <v>730</v>
      </c>
      <c r="G89">
        <v>11.04</v>
      </c>
      <c r="H89">
        <v>0.05</v>
      </c>
      <c r="I89" t="s">
        <v>697</v>
      </c>
      <c r="J89" t="s">
        <v>66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27</v>
      </c>
      <c r="B91" t="s">
        <v>31</v>
      </c>
      <c r="C91" t="s">
        <v>67</v>
      </c>
      <c r="D91" t="s">
        <v>68</v>
      </c>
      <c r="E91" t="s">
        <v>31</v>
      </c>
      <c r="F91" t="s">
        <v>69</v>
      </c>
    </row>
    <row r="92" spans="1:11" x14ac:dyDescent="0.25">
      <c r="A92" t="s">
        <v>320</v>
      </c>
    </row>
  </sheetData>
  <hyperlinks>
    <hyperlink ref="L1" r:id="rId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:Q92"/>
  <sheetViews>
    <sheetView workbookViewId="0"/>
  </sheetViews>
  <sheetFormatPr baseColWidth="10" defaultRowHeight="15" x14ac:dyDescent="0.25"/>
  <cols>
    <col min="1" max="2" width="20" customWidth="1"/>
    <col min="3" max="3" width="12.28515625" bestFit="1" customWidth="1"/>
    <col min="4" max="4" width="11" customWidth="1"/>
    <col min="5" max="5" width="15.5703125" bestFit="1" customWidth="1"/>
    <col min="6" max="6" width="38.28515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1453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2522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1454</v>
      </c>
      <c r="E17">
        <v>2457708.9499300001</v>
      </c>
      <c r="F17" t="s">
        <v>2523</v>
      </c>
      <c r="G17">
        <v>13.632</v>
      </c>
      <c r="H17">
        <v>1.4E-2</v>
      </c>
      <c r="I17" t="s">
        <v>18</v>
      </c>
      <c r="J17" t="s">
        <v>252</v>
      </c>
      <c r="K17" t="s">
        <v>20</v>
      </c>
      <c r="M17" t="str">
        <f>+I17</f>
        <v>V</v>
      </c>
      <c r="N17">
        <f>+G17</f>
        <v>13.632</v>
      </c>
      <c r="O17" t="str">
        <f>+J17</f>
        <v>DKS</v>
      </c>
      <c r="P17">
        <f>+E17</f>
        <v>2457708.9499300001</v>
      </c>
      <c r="Q17" t="str">
        <f>+F17</f>
        <v>2016 Nov. 16.44993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13.49</v>
      </c>
      <c r="O18" t="str">
        <f>+J20</f>
        <v>DKS</v>
      </c>
      <c r="P18">
        <f>+E20</f>
        <v>2457696.9367800001</v>
      </c>
      <c r="Q18" t="str">
        <f>+F20</f>
        <v>2016 Nov. 04.43678</v>
      </c>
    </row>
    <row r="19" spans="1:17" x14ac:dyDescent="0.25">
      <c r="A19" t="s">
        <v>1456</v>
      </c>
      <c r="B19" t="s">
        <v>2524</v>
      </c>
      <c r="C19" t="s">
        <v>67</v>
      </c>
      <c r="D19" t="s">
        <v>1458</v>
      </c>
      <c r="E19" t="s">
        <v>31</v>
      </c>
      <c r="F19" t="s">
        <v>253</v>
      </c>
      <c r="M19" t="str">
        <f>+I23</f>
        <v>V</v>
      </c>
      <c r="N19">
        <f>+G23</f>
        <v>13.56</v>
      </c>
      <c r="O19" t="str">
        <f>+J23</f>
        <v>DKS</v>
      </c>
      <c r="P19">
        <f>+E23</f>
        <v>2457694.7684900002</v>
      </c>
      <c r="Q19" t="str">
        <f>+F23</f>
        <v>2016 Nov. 02.26849</v>
      </c>
    </row>
    <row r="20" spans="1:17" x14ac:dyDescent="0.25">
      <c r="D20" t="s">
        <v>1454</v>
      </c>
      <c r="E20">
        <v>2457696.9367800001</v>
      </c>
      <c r="F20" t="s">
        <v>2525</v>
      </c>
      <c r="G20">
        <v>13.49</v>
      </c>
      <c r="H20">
        <v>6.0000000000000001E-3</v>
      </c>
      <c r="I20" t="s">
        <v>18</v>
      </c>
      <c r="J20" t="s">
        <v>252</v>
      </c>
      <c r="K20" t="s">
        <v>20</v>
      </c>
      <c r="M20" t="str">
        <f>+I26</f>
        <v>TG</v>
      </c>
      <c r="N20">
        <f>+G26</f>
        <v>13.51</v>
      </c>
      <c r="O20" t="str">
        <f>+J26</f>
        <v>MEV</v>
      </c>
      <c r="P20">
        <f>+E26</f>
        <v>2457691.5720000002</v>
      </c>
      <c r="Q20" t="str">
        <f>+F26</f>
        <v>2016 Oct. 30.07200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TG</v>
      </c>
      <c r="N21">
        <f>+G29</f>
        <v>13.37</v>
      </c>
      <c r="O21" t="str">
        <f>+J29</f>
        <v>MEV</v>
      </c>
      <c r="P21">
        <f>+E29</f>
        <v>2457690.56</v>
      </c>
      <c r="Q21" t="str">
        <f>+F29</f>
        <v>2016 Oct. 29.06000</v>
      </c>
    </row>
    <row r="22" spans="1:17" x14ac:dyDescent="0.25">
      <c r="A22" t="s">
        <v>1456</v>
      </c>
      <c r="B22" t="s">
        <v>2249</v>
      </c>
      <c r="C22" t="s">
        <v>67</v>
      </c>
      <c r="D22" t="s">
        <v>1458</v>
      </c>
      <c r="E22" t="s">
        <v>31</v>
      </c>
      <c r="F22" t="s">
        <v>253</v>
      </c>
      <c r="M22" t="str">
        <f>+I32</f>
        <v>V</v>
      </c>
      <c r="N22">
        <f>+G32</f>
        <v>12.922000000000001</v>
      </c>
      <c r="O22" t="str">
        <f>+J32</f>
        <v>DKS</v>
      </c>
      <c r="P22">
        <f>+E32</f>
        <v>2457685.9409500002</v>
      </c>
      <c r="Q22" t="str">
        <f>+F32</f>
        <v>2016 Oct. 24.44095</v>
      </c>
    </row>
    <row r="23" spans="1:17" x14ac:dyDescent="0.25">
      <c r="D23" t="s">
        <v>1454</v>
      </c>
      <c r="E23">
        <v>2457694.7684900002</v>
      </c>
      <c r="F23" t="s">
        <v>2526</v>
      </c>
      <c r="G23">
        <v>13.56</v>
      </c>
      <c r="H23">
        <v>1.4999999999999999E-2</v>
      </c>
      <c r="I23" t="s">
        <v>18</v>
      </c>
      <c r="J23" t="s">
        <v>252</v>
      </c>
      <c r="K23" t="s">
        <v>20</v>
      </c>
      <c r="M23" t="str">
        <f>+I35</f>
        <v>V</v>
      </c>
      <c r="N23">
        <f>+G35</f>
        <v>13.17</v>
      </c>
      <c r="O23" t="str">
        <f>+J35</f>
        <v>DKS</v>
      </c>
      <c r="P23">
        <f>+E35</f>
        <v>2457679.8616300002</v>
      </c>
      <c r="Q23" t="str">
        <f>+F35</f>
        <v>2016 Oct. 18.36163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12.653</v>
      </c>
      <c r="O24" t="str">
        <f>+J38</f>
        <v>DKS</v>
      </c>
      <c r="P24">
        <f>+E38</f>
        <v>2457671.84314</v>
      </c>
      <c r="Q24" t="str">
        <f>+F38</f>
        <v>2016 Oct. 10.34314</v>
      </c>
    </row>
    <row r="25" spans="1:17" x14ac:dyDescent="0.25">
      <c r="A25" t="s">
        <v>1456</v>
      </c>
      <c r="B25" t="s">
        <v>2527</v>
      </c>
      <c r="C25" t="s">
        <v>67</v>
      </c>
      <c r="D25" t="s">
        <v>1458</v>
      </c>
      <c r="E25" t="s">
        <v>31</v>
      </c>
      <c r="F25" t="s">
        <v>253</v>
      </c>
      <c r="M25" t="str">
        <f>+I41</f>
        <v>V</v>
      </c>
      <c r="N25">
        <f>+G41</f>
        <v>12.597</v>
      </c>
      <c r="O25" t="str">
        <f>+J41</f>
        <v>DKS</v>
      </c>
      <c r="P25">
        <f>+E41</f>
        <v>2457670.9314199998</v>
      </c>
      <c r="Q25" t="str">
        <f>+F41</f>
        <v>2016 Oct. 09.43142</v>
      </c>
    </row>
    <row r="26" spans="1:17" x14ac:dyDescent="0.25">
      <c r="D26" t="s">
        <v>1454</v>
      </c>
      <c r="E26">
        <v>2457691.5720000002</v>
      </c>
      <c r="F26" t="s">
        <v>2528</v>
      </c>
      <c r="G26">
        <v>13.51</v>
      </c>
      <c r="H26">
        <v>0.05</v>
      </c>
      <c r="I26" t="s">
        <v>65</v>
      </c>
      <c r="J26" t="s">
        <v>66</v>
      </c>
      <c r="K26" t="s">
        <v>20</v>
      </c>
      <c r="M26" t="str">
        <f>+I44</f>
        <v>V</v>
      </c>
      <c r="N26">
        <f>+G44</f>
        <v>12.499000000000001</v>
      </c>
      <c r="O26" t="str">
        <f>+J44</f>
        <v>DKS</v>
      </c>
      <c r="P26">
        <f>+E44</f>
        <v>2457655.9177999999</v>
      </c>
      <c r="Q26" t="str">
        <f>+F44</f>
        <v>2016 Sep. 24.41780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27</v>
      </c>
      <c r="B28" t="s">
        <v>31</v>
      </c>
      <c r="C28" t="s">
        <v>67</v>
      </c>
      <c r="D28" t="s">
        <v>68</v>
      </c>
      <c r="E28" t="s">
        <v>31</v>
      </c>
      <c r="F28" t="s">
        <v>69</v>
      </c>
    </row>
    <row r="29" spans="1:17" x14ac:dyDescent="0.25">
      <c r="D29" t="s">
        <v>1454</v>
      </c>
      <c r="E29">
        <v>2457690.56</v>
      </c>
      <c r="F29" t="s">
        <v>2529</v>
      </c>
      <c r="G29">
        <v>13.37</v>
      </c>
      <c r="H29">
        <v>0.05</v>
      </c>
      <c r="I29" t="s">
        <v>65</v>
      </c>
      <c r="J29" t="s">
        <v>66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27</v>
      </c>
      <c r="B31" t="s">
        <v>31</v>
      </c>
      <c r="C31" t="s">
        <v>67</v>
      </c>
      <c r="D31" t="s">
        <v>68</v>
      </c>
      <c r="E31" t="s">
        <v>31</v>
      </c>
      <c r="F31" t="s">
        <v>69</v>
      </c>
    </row>
    <row r="32" spans="1:17" x14ac:dyDescent="0.25">
      <c r="D32" t="s">
        <v>1454</v>
      </c>
      <c r="E32">
        <v>2457685.9409500002</v>
      </c>
      <c r="F32" t="s">
        <v>2530</v>
      </c>
      <c r="G32">
        <v>12.922000000000001</v>
      </c>
      <c r="H32">
        <v>5.0000000000000001E-3</v>
      </c>
      <c r="I32" t="s">
        <v>18</v>
      </c>
      <c r="J32" t="s">
        <v>252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1456</v>
      </c>
      <c r="B34" t="s">
        <v>1466</v>
      </c>
      <c r="C34" t="s">
        <v>67</v>
      </c>
      <c r="D34" t="s">
        <v>1458</v>
      </c>
      <c r="E34" t="s">
        <v>31</v>
      </c>
      <c r="F34" t="s">
        <v>253</v>
      </c>
    </row>
    <row r="35" spans="1:11" x14ac:dyDescent="0.25">
      <c r="D35" t="s">
        <v>1454</v>
      </c>
      <c r="E35">
        <v>2457679.8616300002</v>
      </c>
      <c r="F35" t="s">
        <v>2531</v>
      </c>
      <c r="G35">
        <v>13.17</v>
      </c>
      <c r="H35">
        <v>1.2E-2</v>
      </c>
      <c r="I35" t="s">
        <v>18</v>
      </c>
      <c r="J35" t="s">
        <v>252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1456</v>
      </c>
      <c r="B37" t="s">
        <v>2532</v>
      </c>
      <c r="C37" t="s">
        <v>67</v>
      </c>
      <c r="D37" t="s">
        <v>1458</v>
      </c>
      <c r="E37" t="s">
        <v>31</v>
      </c>
      <c r="F37" t="s">
        <v>253</v>
      </c>
    </row>
    <row r="38" spans="1:11" x14ac:dyDescent="0.25">
      <c r="D38" t="s">
        <v>1454</v>
      </c>
      <c r="E38">
        <v>2457671.84314</v>
      </c>
      <c r="F38" t="s">
        <v>2533</v>
      </c>
      <c r="G38">
        <v>12.653</v>
      </c>
      <c r="H38">
        <v>1.0999999999999999E-2</v>
      </c>
      <c r="I38" t="s">
        <v>18</v>
      </c>
      <c r="J38" t="s">
        <v>252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1456</v>
      </c>
      <c r="B40" t="s">
        <v>2534</v>
      </c>
      <c r="C40" t="s">
        <v>67</v>
      </c>
      <c r="D40" t="s">
        <v>1458</v>
      </c>
      <c r="E40" t="s">
        <v>31</v>
      </c>
      <c r="F40" t="s">
        <v>253</v>
      </c>
    </row>
    <row r="41" spans="1:11" x14ac:dyDescent="0.25">
      <c r="D41" t="s">
        <v>1454</v>
      </c>
      <c r="E41">
        <v>2457670.9314199998</v>
      </c>
      <c r="F41" t="s">
        <v>2535</v>
      </c>
      <c r="G41">
        <v>12.597</v>
      </c>
      <c r="H41">
        <v>6.0000000000000001E-3</v>
      </c>
      <c r="I41" t="s">
        <v>18</v>
      </c>
      <c r="J41" t="s">
        <v>252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1456</v>
      </c>
      <c r="B43" t="s">
        <v>2249</v>
      </c>
      <c r="C43" t="s">
        <v>67</v>
      </c>
      <c r="D43" t="s">
        <v>1458</v>
      </c>
      <c r="E43" t="s">
        <v>31</v>
      </c>
      <c r="F43" t="s">
        <v>253</v>
      </c>
    </row>
    <row r="44" spans="1:11" x14ac:dyDescent="0.25">
      <c r="D44" t="s">
        <v>1454</v>
      </c>
      <c r="E44">
        <v>2457655.9177999999</v>
      </c>
      <c r="F44" t="s">
        <v>2248</v>
      </c>
      <c r="G44">
        <v>12.499000000000001</v>
      </c>
      <c r="H44">
        <v>1.4999999999999999E-2</v>
      </c>
      <c r="I44" t="s">
        <v>18</v>
      </c>
      <c r="J44" t="s">
        <v>252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1456</v>
      </c>
      <c r="B46" t="s">
        <v>2249</v>
      </c>
      <c r="C46" t="s">
        <v>67</v>
      </c>
      <c r="D46" t="s">
        <v>1458</v>
      </c>
      <c r="E46" t="s">
        <v>31</v>
      </c>
      <c r="F46" t="s">
        <v>253</v>
      </c>
    </row>
    <row r="47" spans="1:11" x14ac:dyDescent="0.25">
      <c r="D47" t="s">
        <v>1454</v>
      </c>
      <c r="E47">
        <v>2457648.86099</v>
      </c>
      <c r="F47" t="s">
        <v>2250</v>
      </c>
      <c r="G47">
        <v>12.518000000000001</v>
      </c>
      <c r="H47">
        <v>1.0999999999999999E-2</v>
      </c>
      <c r="I47" t="s">
        <v>18</v>
      </c>
      <c r="J47" t="s">
        <v>252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1456</v>
      </c>
      <c r="B49" t="s">
        <v>1466</v>
      </c>
      <c r="C49" t="s">
        <v>67</v>
      </c>
      <c r="D49" t="s">
        <v>1458</v>
      </c>
      <c r="E49" t="s">
        <v>31</v>
      </c>
      <c r="F49" t="s">
        <v>253</v>
      </c>
    </row>
    <row r="50" spans="1:11" x14ac:dyDescent="0.25">
      <c r="D50" t="s">
        <v>1454</v>
      </c>
      <c r="E50">
        <v>2457639.6379999998</v>
      </c>
      <c r="F50" t="s">
        <v>2130</v>
      </c>
      <c r="G50">
        <v>13</v>
      </c>
      <c r="H50">
        <v>0.05</v>
      </c>
      <c r="I50" t="s">
        <v>65</v>
      </c>
      <c r="J50" t="s">
        <v>66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27</v>
      </c>
      <c r="B52" t="s">
        <v>31</v>
      </c>
      <c r="C52" t="s">
        <v>67</v>
      </c>
      <c r="D52" t="s">
        <v>68</v>
      </c>
      <c r="E52" t="s">
        <v>31</v>
      </c>
      <c r="F52" t="s">
        <v>69</v>
      </c>
    </row>
    <row r="53" spans="1:11" x14ac:dyDescent="0.25">
      <c r="D53" t="s">
        <v>1454</v>
      </c>
      <c r="E53">
        <v>2457638.8994399998</v>
      </c>
      <c r="F53" t="s">
        <v>2131</v>
      </c>
      <c r="G53">
        <v>12.974</v>
      </c>
      <c r="H53">
        <v>1.4E-2</v>
      </c>
      <c r="I53" t="s">
        <v>18</v>
      </c>
      <c r="J53" t="s">
        <v>252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1456</v>
      </c>
      <c r="B55" t="s">
        <v>2132</v>
      </c>
      <c r="C55" t="s">
        <v>67</v>
      </c>
      <c r="D55" t="s">
        <v>1458</v>
      </c>
      <c r="E55" t="s">
        <v>31</v>
      </c>
      <c r="F55" t="s">
        <v>253</v>
      </c>
    </row>
    <row r="56" spans="1:11" x14ac:dyDescent="0.25">
      <c r="D56" t="s">
        <v>1454</v>
      </c>
      <c r="E56">
        <v>2457522.5412900001</v>
      </c>
      <c r="F56" t="s">
        <v>1455</v>
      </c>
      <c r="G56">
        <v>12.818</v>
      </c>
      <c r="H56">
        <v>0.01</v>
      </c>
      <c r="I56" t="s">
        <v>18</v>
      </c>
      <c r="J56" t="s">
        <v>252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1456</v>
      </c>
      <c r="B58" t="s">
        <v>1457</v>
      </c>
      <c r="C58" t="s">
        <v>67</v>
      </c>
      <c r="D58" t="s">
        <v>1458</v>
      </c>
      <c r="E58" t="s">
        <v>31</v>
      </c>
      <c r="F58" t="s">
        <v>253</v>
      </c>
    </row>
    <row r="59" spans="1:11" x14ac:dyDescent="0.25">
      <c r="D59" t="s">
        <v>1454</v>
      </c>
      <c r="E59">
        <v>2457514.53791</v>
      </c>
      <c r="F59" t="s">
        <v>1459</v>
      </c>
      <c r="G59">
        <v>12.734999999999999</v>
      </c>
      <c r="H59">
        <v>8.0000000000000002E-3</v>
      </c>
      <c r="I59" t="s">
        <v>18</v>
      </c>
      <c r="J59" t="s">
        <v>252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1456</v>
      </c>
      <c r="B61" t="s">
        <v>1460</v>
      </c>
      <c r="C61" t="s">
        <v>67</v>
      </c>
      <c r="D61" t="s">
        <v>1458</v>
      </c>
      <c r="E61" t="s">
        <v>31</v>
      </c>
      <c r="F61" t="s">
        <v>253</v>
      </c>
    </row>
    <row r="62" spans="1:11" x14ac:dyDescent="0.25">
      <c r="D62" t="s">
        <v>1454</v>
      </c>
      <c r="E62">
        <v>2457507.3530000001</v>
      </c>
      <c r="F62" t="s">
        <v>1461</v>
      </c>
      <c r="G62">
        <v>12.64</v>
      </c>
      <c r="H62">
        <v>0.05</v>
      </c>
      <c r="I62" t="s">
        <v>65</v>
      </c>
      <c r="J62" t="s">
        <v>66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27</v>
      </c>
      <c r="B64" t="s">
        <v>31</v>
      </c>
      <c r="C64" t="s">
        <v>67</v>
      </c>
      <c r="D64" t="s">
        <v>68</v>
      </c>
      <c r="E64" t="s">
        <v>31</v>
      </c>
      <c r="F64" t="s">
        <v>69</v>
      </c>
    </row>
    <row r="65" spans="1:11" x14ac:dyDescent="0.25">
      <c r="D65" t="s">
        <v>1454</v>
      </c>
      <c r="E65">
        <v>2457502.5732999998</v>
      </c>
      <c r="F65" t="s">
        <v>1462</v>
      </c>
      <c r="G65">
        <v>12.616</v>
      </c>
      <c r="H65">
        <v>0.01</v>
      </c>
      <c r="I65" t="s">
        <v>18</v>
      </c>
      <c r="J65" t="s">
        <v>252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1456</v>
      </c>
      <c r="B67" t="s">
        <v>1463</v>
      </c>
      <c r="C67" t="s">
        <v>67</v>
      </c>
      <c r="D67" t="s">
        <v>1458</v>
      </c>
      <c r="E67" t="s">
        <v>31</v>
      </c>
      <c r="F67" t="s">
        <v>253</v>
      </c>
    </row>
    <row r="68" spans="1:11" x14ac:dyDescent="0.25">
      <c r="D68" t="s">
        <v>1454</v>
      </c>
      <c r="E68">
        <v>2457489.3650000002</v>
      </c>
      <c r="F68" t="s">
        <v>1464</v>
      </c>
      <c r="G68">
        <v>12.63</v>
      </c>
      <c r="H68">
        <v>0.05</v>
      </c>
      <c r="I68" t="s">
        <v>65</v>
      </c>
      <c r="J68" t="s">
        <v>66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31</v>
      </c>
      <c r="C70" t="s">
        <v>67</v>
      </c>
      <c r="D70" t="s">
        <v>68</v>
      </c>
      <c r="E70" t="s">
        <v>31</v>
      </c>
      <c r="F70" t="s">
        <v>69</v>
      </c>
    </row>
    <row r="71" spans="1:11" x14ac:dyDescent="0.25">
      <c r="D71" t="s">
        <v>1454</v>
      </c>
      <c r="E71">
        <v>2457486.5387900001</v>
      </c>
      <c r="F71" t="s">
        <v>1465</v>
      </c>
      <c r="G71">
        <v>12.750999999999999</v>
      </c>
      <c r="H71">
        <v>8.9999999999999993E-3</v>
      </c>
      <c r="I71" t="s">
        <v>18</v>
      </c>
      <c r="J71" t="s">
        <v>252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1456</v>
      </c>
      <c r="B73" t="s">
        <v>1466</v>
      </c>
      <c r="C73" t="s">
        <v>67</v>
      </c>
      <c r="D73" t="s">
        <v>1458</v>
      </c>
      <c r="E73" t="s">
        <v>31</v>
      </c>
      <c r="F73" t="s">
        <v>253</v>
      </c>
    </row>
    <row r="74" spans="1:11" x14ac:dyDescent="0.25">
      <c r="D74" t="s">
        <v>1454</v>
      </c>
      <c r="E74">
        <v>2457484.2708299998</v>
      </c>
      <c r="F74" t="s">
        <v>1467</v>
      </c>
      <c r="G74">
        <v>12.8</v>
      </c>
      <c r="H74">
        <v>0.02</v>
      </c>
      <c r="I74" t="s">
        <v>18</v>
      </c>
      <c r="J74" t="s">
        <v>254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1468</v>
      </c>
      <c r="B76" t="s">
        <v>1469</v>
      </c>
      <c r="C76" t="s">
        <v>67</v>
      </c>
      <c r="D76" t="s">
        <v>1470</v>
      </c>
      <c r="E76" t="s">
        <v>31</v>
      </c>
      <c r="F76" t="s">
        <v>31</v>
      </c>
    </row>
    <row r="77" spans="1:11" x14ac:dyDescent="0.25">
      <c r="D77" t="s">
        <v>1454</v>
      </c>
      <c r="E77">
        <v>2457472.2763899998</v>
      </c>
      <c r="F77" t="s">
        <v>1471</v>
      </c>
      <c r="G77">
        <v>14.22</v>
      </c>
      <c r="H77">
        <v>0.04</v>
      </c>
      <c r="I77" t="s">
        <v>34</v>
      </c>
      <c r="J77" t="s">
        <v>254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1472</v>
      </c>
      <c r="B79" t="s">
        <v>1473</v>
      </c>
      <c r="C79" t="s">
        <v>67</v>
      </c>
      <c r="D79" t="s">
        <v>1470</v>
      </c>
      <c r="E79" t="s">
        <v>31</v>
      </c>
      <c r="F79" t="s">
        <v>31</v>
      </c>
    </row>
    <row r="80" spans="1:11" x14ac:dyDescent="0.25">
      <c r="D80" t="s">
        <v>1454</v>
      </c>
      <c r="E80">
        <v>2457472.2763899998</v>
      </c>
      <c r="F80" t="s">
        <v>1471</v>
      </c>
      <c r="G80">
        <v>12.93</v>
      </c>
      <c r="H80">
        <v>0.02</v>
      </c>
      <c r="I80" t="s">
        <v>18</v>
      </c>
      <c r="J80" t="s">
        <v>254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1468</v>
      </c>
      <c r="B82" t="s">
        <v>1469</v>
      </c>
      <c r="C82" t="s">
        <v>67</v>
      </c>
      <c r="D82" t="s">
        <v>1470</v>
      </c>
      <c r="E82" t="s">
        <v>31</v>
      </c>
      <c r="F82" t="s">
        <v>31</v>
      </c>
    </row>
    <row r="83" spans="1:11" x14ac:dyDescent="0.25">
      <c r="D83" t="s">
        <v>1454</v>
      </c>
      <c r="E83">
        <v>2457472.2763899998</v>
      </c>
      <c r="F83" t="s">
        <v>1471</v>
      </c>
      <c r="G83">
        <v>12.3</v>
      </c>
      <c r="H83">
        <v>1.4999999999999999E-2</v>
      </c>
      <c r="I83" t="s">
        <v>250</v>
      </c>
      <c r="J83" t="s">
        <v>254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1474</v>
      </c>
      <c r="B85" t="s">
        <v>1475</v>
      </c>
      <c r="C85" t="s">
        <v>67</v>
      </c>
      <c r="D85" t="s">
        <v>1470</v>
      </c>
      <c r="E85" t="s">
        <v>31</v>
      </c>
      <c r="F85" t="s">
        <v>31</v>
      </c>
    </row>
    <row r="86" spans="1:11" x14ac:dyDescent="0.25">
      <c r="D86" t="s">
        <v>1454</v>
      </c>
      <c r="E86">
        <v>2457471.4479999999</v>
      </c>
      <c r="F86" t="s">
        <v>1476</v>
      </c>
      <c r="G86">
        <v>12.93</v>
      </c>
      <c r="H86">
        <v>0.05</v>
      </c>
      <c r="I86" t="s">
        <v>65</v>
      </c>
      <c r="J86" t="s">
        <v>66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27</v>
      </c>
      <c r="B88" t="s">
        <v>31</v>
      </c>
      <c r="C88" t="s">
        <v>67</v>
      </c>
      <c r="D88" t="s">
        <v>68</v>
      </c>
      <c r="E88" t="s">
        <v>31</v>
      </c>
      <c r="F88" t="s">
        <v>69</v>
      </c>
    </row>
    <row r="89" spans="1:11" x14ac:dyDescent="0.25">
      <c r="D89" t="s">
        <v>1454</v>
      </c>
      <c r="E89">
        <v>2457466.4360000002</v>
      </c>
      <c r="F89" t="s">
        <v>1477</v>
      </c>
      <c r="G89">
        <v>13.03</v>
      </c>
      <c r="H89">
        <v>0.05</v>
      </c>
      <c r="I89" t="s">
        <v>65</v>
      </c>
      <c r="J89" t="s">
        <v>66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27</v>
      </c>
      <c r="B91" t="s">
        <v>31</v>
      </c>
      <c r="C91" t="s">
        <v>67</v>
      </c>
      <c r="D91" t="s">
        <v>68</v>
      </c>
      <c r="E91" t="s">
        <v>31</v>
      </c>
      <c r="F91" t="s">
        <v>69</v>
      </c>
    </row>
    <row r="92" spans="1:11" x14ac:dyDescent="0.25">
      <c r="A92" t="s">
        <v>1478</v>
      </c>
    </row>
  </sheetData>
  <hyperlinks>
    <hyperlink ref="L1" r:id="rId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Q92"/>
  <sheetViews>
    <sheetView workbookViewId="0">
      <selection sqref="A1:XFD1048576"/>
    </sheetView>
  </sheetViews>
  <sheetFormatPr baseColWidth="10" defaultRowHeight="15" x14ac:dyDescent="0.25"/>
  <cols>
    <col min="1" max="1" width="18.140625" customWidth="1"/>
    <col min="2" max="2" width="19.5703125" customWidth="1"/>
    <col min="3" max="3" width="12.28515625" bestFit="1" customWidth="1"/>
    <col min="4" max="4" width="9" customWidth="1"/>
    <col min="5" max="5" width="15.5703125" bestFit="1" customWidth="1"/>
    <col min="6" max="6" width="81.140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856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2133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857</v>
      </c>
      <c r="E17">
        <v>2457628.2923599998</v>
      </c>
      <c r="F17" t="s">
        <v>2134</v>
      </c>
      <c r="G17">
        <v>12.42</v>
      </c>
      <c r="H17">
        <v>0.01</v>
      </c>
      <c r="I17" t="s">
        <v>18</v>
      </c>
      <c r="J17" t="s">
        <v>254</v>
      </c>
      <c r="K17" t="s">
        <v>20</v>
      </c>
      <c r="M17" t="str">
        <f>+I17</f>
        <v>V</v>
      </c>
      <c r="N17">
        <f>+G17</f>
        <v>12.42</v>
      </c>
      <c r="O17" t="str">
        <f>+J17</f>
        <v>TIA</v>
      </c>
      <c r="P17">
        <f>+E17</f>
        <v>2457628.2923599998</v>
      </c>
      <c r="Q17" t="str">
        <f>+F17</f>
        <v>2016 Aug. 27.79236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B</v>
      </c>
      <c r="N18">
        <f>+G20</f>
        <v>12.97</v>
      </c>
      <c r="O18" t="str">
        <f>+J20</f>
        <v>TIA</v>
      </c>
      <c r="P18">
        <f>+E20</f>
        <v>2457628.2923599998</v>
      </c>
      <c r="Q18" t="str">
        <f>+F20</f>
        <v>2016 Aug. 27.79236</v>
      </c>
    </row>
    <row r="19" spans="1:17" x14ac:dyDescent="0.25">
      <c r="A19" t="s">
        <v>859</v>
      </c>
      <c r="B19" t="s">
        <v>860</v>
      </c>
      <c r="C19" t="s">
        <v>67</v>
      </c>
      <c r="D19" t="s">
        <v>861</v>
      </c>
      <c r="E19" t="s">
        <v>31</v>
      </c>
      <c r="F19" t="s">
        <v>31</v>
      </c>
      <c r="M19" t="str">
        <f>+I23</f>
        <v>V</v>
      </c>
      <c r="N19">
        <f>+G23</f>
        <v>12.513</v>
      </c>
      <c r="O19" t="str">
        <f>+J23</f>
        <v>MZK</v>
      </c>
      <c r="P19">
        <f>+E23</f>
        <v>2457561.8204700002</v>
      </c>
      <c r="Q19" t="str">
        <f>+F23</f>
        <v>2016 Jun. 22.32047</v>
      </c>
    </row>
    <row r="20" spans="1:17" x14ac:dyDescent="0.25">
      <c r="D20" t="s">
        <v>857</v>
      </c>
      <c r="E20">
        <v>2457628.2923599998</v>
      </c>
      <c r="F20" t="s">
        <v>2134</v>
      </c>
      <c r="G20">
        <v>12.97</v>
      </c>
      <c r="H20">
        <v>0.01</v>
      </c>
      <c r="I20" t="s">
        <v>34</v>
      </c>
      <c r="J20" t="s">
        <v>254</v>
      </c>
      <c r="K20" t="s">
        <v>20</v>
      </c>
      <c r="M20" t="str">
        <f>+I26</f>
        <v>V</v>
      </c>
      <c r="N20">
        <f>+G26</f>
        <v>12.43</v>
      </c>
      <c r="O20" t="str">
        <f>+J26</f>
        <v>TIA</v>
      </c>
      <c r="P20">
        <f>+E26</f>
        <v>2457484.5972199999</v>
      </c>
      <c r="Q20" t="str">
        <f>+F26</f>
        <v>2016 Apr. 06.09722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CR</v>
      </c>
      <c r="N21">
        <f>+G29</f>
        <v>11.99</v>
      </c>
      <c r="O21" t="str">
        <f>+J29</f>
        <v>MEV</v>
      </c>
      <c r="P21">
        <f>+E29</f>
        <v>2456934.452</v>
      </c>
      <c r="Q21" t="str">
        <f>+F29</f>
        <v>2014 Oct. 03.95200</v>
      </c>
    </row>
    <row r="22" spans="1:17" x14ac:dyDescent="0.25">
      <c r="A22" t="s">
        <v>2135</v>
      </c>
      <c r="B22" t="s">
        <v>2136</v>
      </c>
      <c r="C22" t="s">
        <v>67</v>
      </c>
      <c r="D22" t="s">
        <v>861</v>
      </c>
      <c r="E22" t="s">
        <v>31</v>
      </c>
      <c r="F22" t="s">
        <v>31</v>
      </c>
      <c r="M22" t="str">
        <f>+I32</f>
        <v>CR</v>
      </c>
      <c r="N22">
        <f>+G32</f>
        <v>12.05</v>
      </c>
      <c r="O22" t="str">
        <f>+J32</f>
        <v>MEV</v>
      </c>
      <c r="P22">
        <f>+E32</f>
        <v>2456933.463</v>
      </c>
      <c r="Q22" t="str">
        <f>+F32</f>
        <v>2014 Oct. 02.96300</v>
      </c>
    </row>
    <row r="23" spans="1:17" x14ac:dyDescent="0.25">
      <c r="D23" t="s">
        <v>857</v>
      </c>
      <c r="E23">
        <v>2457561.8204700002</v>
      </c>
      <c r="F23" t="s">
        <v>1921</v>
      </c>
      <c r="G23">
        <v>12.513</v>
      </c>
      <c r="H23">
        <v>3.5999999999999997E-2</v>
      </c>
      <c r="I23" t="s">
        <v>18</v>
      </c>
      <c r="J23" t="s">
        <v>361</v>
      </c>
      <c r="K23" t="s">
        <v>20</v>
      </c>
      <c r="M23" t="str">
        <f>+I35</f>
        <v>CR</v>
      </c>
      <c r="N23">
        <f>+G35</f>
        <v>12.04</v>
      </c>
      <c r="O23" t="str">
        <f>+J35</f>
        <v>MEV</v>
      </c>
      <c r="P23">
        <f>+E35</f>
        <v>2456914.5060000001</v>
      </c>
      <c r="Q23" t="str">
        <f>+F35</f>
        <v>2014 Sep. 14.00600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CR</v>
      </c>
      <c r="N24">
        <f>+G38</f>
        <v>11.99</v>
      </c>
      <c r="O24" t="str">
        <f>+J38</f>
        <v>MEV</v>
      </c>
      <c r="P24">
        <f>+E38</f>
        <v>2456913.5049999999</v>
      </c>
      <c r="Q24" t="str">
        <f>+F38</f>
        <v>2014 Sep. 13.00500</v>
      </c>
    </row>
    <row r="25" spans="1:17" x14ac:dyDescent="0.25">
      <c r="A25" t="s">
        <v>27</v>
      </c>
      <c r="B25" t="s">
        <v>1922</v>
      </c>
      <c r="C25" t="s">
        <v>67</v>
      </c>
      <c r="D25" t="s">
        <v>868</v>
      </c>
      <c r="E25" t="s">
        <v>31</v>
      </c>
      <c r="F25" t="s">
        <v>31</v>
      </c>
      <c r="M25" t="str">
        <f>+I41</f>
        <v>V</v>
      </c>
      <c r="N25">
        <f>+G41</f>
        <v>12.602</v>
      </c>
      <c r="O25" t="str">
        <f>+J41</f>
        <v>MZK</v>
      </c>
      <c r="P25">
        <f>+E41</f>
        <v>2456879.6971800001</v>
      </c>
      <c r="Q25" t="str">
        <f>+F41</f>
        <v>2014 Aug. 10.19718</v>
      </c>
    </row>
    <row r="26" spans="1:17" x14ac:dyDescent="0.25">
      <c r="D26" t="s">
        <v>857</v>
      </c>
      <c r="E26">
        <v>2457484.5972199999</v>
      </c>
      <c r="F26" t="s">
        <v>858</v>
      </c>
      <c r="G26">
        <v>12.43</v>
      </c>
      <c r="H26">
        <v>1.4999999999999999E-2</v>
      </c>
      <c r="I26" t="s">
        <v>18</v>
      </c>
      <c r="J26" t="s">
        <v>254</v>
      </c>
      <c r="K26" t="s">
        <v>20</v>
      </c>
      <c r="M26" t="str">
        <f>+I44</f>
        <v>I</v>
      </c>
      <c r="N26">
        <f>+G44</f>
        <v>11.512</v>
      </c>
      <c r="O26" t="str">
        <f>+J44</f>
        <v>GCO</v>
      </c>
      <c r="P26">
        <f>+E44</f>
        <v>2456873.5052100001</v>
      </c>
      <c r="Q26" t="str">
        <f>+F44</f>
        <v>2014 Aug. 04.00521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859</v>
      </c>
      <c r="B28" t="s">
        <v>860</v>
      </c>
      <c r="C28" t="s">
        <v>67</v>
      </c>
      <c r="D28" t="s">
        <v>861</v>
      </c>
      <c r="E28" t="s">
        <v>31</v>
      </c>
      <c r="F28" t="s">
        <v>31</v>
      </c>
    </row>
    <row r="29" spans="1:17" x14ac:dyDescent="0.25">
      <c r="D29" t="s">
        <v>857</v>
      </c>
      <c r="E29">
        <v>2456934.452</v>
      </c>
      <c r="F29" t="s">
        <v>862</v>
      </c>
      <c r="G29">
        <v>11.99</v>
      </c>
      <c r="H29">
        <v>0.05</v>
      </c>
      <c r="I29" t="s">
        <v>697</v>
      </c>
      <c r="J29" t="s">
        <v>66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27</v>
      </c>
      <c r="B31" t="s">
        <v>31</v>
      </c>
      <c r="C31" t="s">
        <v>67</v>
      </c>
      <c r="D31" t="s">
        <v>68</v>
      </c>
      <c r="E31" t="s">
        <v>31</v>
      </c>
      <c r="F31" t="s">
        <v>69</v>
      </c>
    </row>
    <row r="32" spans="1:17" x14ac:dyDescent="0.25">
      <c r="D32" t="s">
        <v>857</v>
      </c>
      <c r="E32">
        <v>2456933.463</v>
      </c>
      <c r="F32" t="s">
        <v>863</v>
      </c>
      <c r="G32">
        <v>12.05</v>
      </c>
      <c r="H32">
        <v>0.05</v>
      </c>
      <c r="I32" t="s">
        <v>697</v>
      </c>
      <c r="J32" t="s">
        <v>66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27</v>
      </c>
      <c r="B34" t="s">
        <v>31</v>
      </c>
      <c r="C34" t="s">
        <v>67</v>
      </c>
      <c r="D34" t="s">
        <v>68</v>
      </c>
      <c r="E34" t="s">
        <v>31</v>
      </c>
      <c r="F34" t="s">
        <v>69</v>
      </c>
    </row>
    <row r="35" spans="1:11" x14ac:dyDescent="0.25">
      <c r="D35" t="s">
        <v>857</v>
      </c>
      <c r="E35">
        <v>2456914.5060000001</v>
      </c>
      <c r="F35" t="s">
        <v>864</v>
      </c>
      <c r="G35">
        <v>12.04</v>
      </c>
      <c r="H35">
        <v>0.05</v>
      </c>
      <c r="I35" t="s">
        <v>697</v>
      </c>
      <c r="J35" t="s">
        <v>66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27</v>
      </c>
      <c r="B37" t="s">
        <v>31</v>
      </c>
      <c r="C37" t="s">
        <v>67</v>
      </c>
      <c r="D37" t="s">
        <v>68</v>
      </c>
      <c r="E37" t="s">
        <v>31</v>
      </c>
      <c r="F37" t="s">
        <v>69</v>
      </c>
    </row>
    <row r="38" spans="1:11" x14ac:dyDescent="0.25">
      <c r="D38" t="s">
        <v>857</v>
      </c>
      <c r="E38">
        <v>2456913.5049999999</v>
      </c>
      <c r="F38" t="s">
        <v>865</v>
      </c>
      <c r="G38">
        <v>11.99</v>
      </c>
      <c r="H38">
        <v>0.05</v>
      </c>
      <c r="I38" t="s">
        <v>697</v>
      </c>
      <c r="J38" t="s">
        <v>66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27</v>
      </c>
      <c r="B40" t="s">
        <v>31</v>
      </c>
      <c r="C40" t="s">
        <v>67</v>
      </c>
      <c r="D40" t="s">
        <v>68</v>
      </c>
      <c r="E40" t="s">
        <v>31</v>
      </c>
      <c r="F40" t="s">
        <v>69</v>
      </c>
    </row>
    <row r="41" spans="1:11" x14ac:dyDescent="0.25">
      <c r="D41" t="s">
        <v>857</v>
      </c>
      <c r="E41">
        <v>2456879.6971800001</v>
      </c>
      <c r="F41" t="s">
        <v>866</v>
      </c>
      <c r="G41">
        <v>12.602</v>
      </c>
      <c r="H41">
        <v>3.4000000000000002E-2</v>
      </c>
      <c r="I41" t="s">
        <v>18</v>
      </c>
      <c r="J41" t="s">
        <v>361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27</v>
      </c>
      <c r="B43" t="s">
        <v>867</v>
      </c>
      <c r="C43" t="s">
        <v>67</v>
      </c>
      <c r="D43" t="s">
        <v>868</v>
      </c>
      <c r="E43" t="s">
        <v>31</v>
      </c>
      <c r="F43" t="s">
        <v>31</v>
      </c>
    </row>
    <row r="44" spans="1:11" x14ac:dyDescent="0.25">
      <c r="D44" t="s">
        <v>857</v>
      </c>
      <c r="E44">
        <v>2456873.5052100001</v>
      </c>
      <c r="F44" t="s">
        <v>869</v>
      </c>
      <c r="G44">
        <v>11.512</v>
      </c>
      <c r="H44">
        <v>3.5999999999999997E-2</v>
      </c>
      <c r="I44" t="s">
        <v>249</v>
      </c>
      <c r="J44" t="s">
        <v>470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471</v>
      </c>
      <c r="B46" t="s">
        <v>870</v>
      </c>
      <c r="C46" t="s">
        <v>29</v>
      </c>
      <c r="D46" t="s">
        <v>871</v>
      </c>
      <c r="E46" t="s">
        <v>31</v>
      </c>
      <c r="F46" t="s">
        <v>872</v>
      </c>
    </row>
    <row r="47" spans="1:11" x14ac:dyDescent="0.25">
      <c r="D47" t="s">
        <v>857</v>
      </c>
      <c r="E47">
        <v>2456873.5002199998</v>
      </c>
      <c r="F47" t="s">
        <v>873</v>
      </c>
      <c r="G47">
        <v>11.364000000000001</v>
      </c>
      <c r="H47">
        <v>2.9000000000000001E-2</v>
      </c>
      <c r="I47" t="s">
        <v>250</v>
      </c>
      <c r="J47" t="s">
        <v>470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471</v>
      </c>
      <c r="B49" t="s">
        <v>874</v>
      </c>
      <c r="C49" t="s">
        <v>29</v>
      </c>
      <c r="D49" t="s">
        <v>871</v>
      </c>
      <c r="E49" t="s">
        <v>31</v>
      </c>
      <c r="F49" t="s">
        <v>875</v>
      </c>
    </row>
    <row r="50" spans="1:11" x14ac:dyDescent="0.25">
      <c r="D50" t="s">
        <v>857</v>
      </c>
      <c r="E50">
        <v>2456873.4937200001</v>
      </c>
      <c r="F50" t="s">
        <v>876</v>
      </c>
      <c r="G50">
        <v>12.397</v>
      </c>
      <c r="H50">
        <v>0.04</v>
      </c>
      <c r="I50" t="s">
        <v>18</v>
      </c>
      <c r="J50" t="s">
        <v>470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471</v>
      </c>
      <c r="B52" t="s">
        <v>877</v>
      </c>
      <c r="C52" t="s">
        <v>29</v>
      </c>
      <c r="D52" t="s">
        <v>871</v>
      </c>
      <c r="E52" t="s">
        <v>31</v>
      </c>
      <c r="F52" t="s">
        <v>480</v>
      </c>
    </row>
    <row r="53" spans="1:11" x14ac:dyDescent="0.25">
      <c r="D53" t="s">
        <v>857</v>
      </c>
      <c r="E53">
        <v>2456873.48214</v>
      </c>
      <c r="F53" t="s">
        <v>878</v>
      </c>
      <c r="G53">
        <v>12.961</v>
      </c>
      <c r="H53">
        <v>1.7000000000000001E-2</v>
      </c>
      <c r="I53" t="s">
        <v>34</v>
      </c>
      <c r="J53" t="s">
        <v>470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471</v>
      </c>
      <c r="B55" t="s">
        <v>879</v>
      </c>
      <c r="C55" t="s">
        <v>29</v>
      </c>
      <c r="D55" t="s">
        <v>871</v>
      </c>
      <c r="E55" t="s">
        <v>31</v>
      </c>
      <c r="F55" t="s">
        <v>880</v>
      </c>
    </row>
    <row r="56" spans="1:11" x14ac:dyDescent="0.25">
      <c r="D56" t="s">
        <v>857</v>
      </c>
      <c r="E56">
        <v>2456866.52367</v>
      </c>
      <c r="F56" t="s">
        <v>881</v>
      </c>
      <c r="G56">
        <v>11.493</v>
      </c>
      <c r="H56">
        <v>3.5999999999999997E-2</v>
      </c>
      <c r="I56" t="s">
        <v>249</v>
      </c>
      <c r="J56" t="s">
        <v>470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471</v>
      </c>
      <c r="B58" t="s">
        <v>882</v>
      </c>
      <c r="C58" t="s">
        <v>29</v>
      </c>
      <c r="D58" t="s">
        <v>871</v>
      </c>
      <c r="E58" t="s">
        <v>31</v>
      </c>
      <c r="F58" t="s">
        <v>872</v>
      </c>
    </row>
    <row r="59" spans="1:11" x14ac:dyDescent="0.25">
      <c r="D59" t="s">
        <v>857</v>
      </c>
      <c r="E59">
        <v>2456866.5188899999</v>
      </c>
      <c r="F59" t="s">
        <v>883</v>
      </c>
      <c r="G59">
        <v>11.336</v>
      </c>
      <c r="H59">
        <v>4.3999999999999997E-2</v>
      </c>
      <c r="I59" t="s">
        <v>250</v>
      </c>
      <c r="J59" t="s">
        <v>470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471</v>
      </c>
      <c r="B61" t="s">
        <v>884</v>
      </c>
      <c r="C61" t="s">
        <v>29</v>
      </c>
      <c r="D61" t="s">
        <v>871</v>
      </c>
      <c r="E61" t="s">
        <v>31</v>
      </c>
      <c r="F61" t="s">
        <v>872</v>
      </c>
    </row>
    <row r="62" spans="1:11" x14ac:dyDescent="0.25">
      <c r="D62" t="s">
        <v>857</v>
      </c>
      <c r="E62">
        <v>2456866.5123100001</v>
      </c>
      <c r="F62" t="s">
        <v>885</v>
      </c>
      <c r="G62">
        <v>12.379</v>
      </c>
      <c r="H62">
        <v>5.1999999999999998E-2</v>
      </c>
      <c r="I62" t="s">
        <v>18</v>
      </c>
      <c r="J62" t="s">
        <v>470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471</v>
      </c>
      <c r="B64" t="s">
        <v>886</v>
      </c>
      <c r="C64" t="s">
        <v>29</v>
      </c>
      <c r="D64" t="s">
        <v>871</v>
      </c>
      <c r="E64" t="s">
        <v>31</v>
      </c>
      <c r="F64" t="s">
        <v>480</v>
      </c>
    </row>
    <row r="65" spans="1:11" x14ac:dyDescent="0.25">
      <c r="D65" t="s">
        <v>857</v>
      </c>
      <c r="E65">
        <v>2456866.5008999999</v>
      </c>
      <c r="F65" t="s">
        <v>887</v>
      </c>
      <c r="G65">
        <v>12.951000000000001</v>
      </c>
      <c r="H65">
        <v>0.02</v>
      </c>
      <c r="I65" t="s">
        <v>34</v>
      </c>
      <c r="J65" t="s">
        <v>470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471</v>
      </c>
      <c r="B67" t="s">
        <v>879</v>
      </c>
      <c r="C67" t="s">
        <v>29</v>
      </c>
      <c r="D67" t="s">
        <v>871</v>
      </c>
      <c r="E67" t="s">
        <v>31</v>
      </c>
      <c r="F67" t="s">
        <v>888</v>
      </c>
    </row>
    <row r="68" spans="1:11" x14ac:dyDescent="0.25">
      <c r="D68" t="s">
        <v>857</v>
      </c>
      <c r="E68">
        <v>2456854.6310000001</v>
      </c>
      <c r="F68" t="s">
        <v>889</v>
      </c>
      <c r="G68">
        <v>12.14</v>
      </c>
      <c r="H68">
        <v>0.05</v>
      </c>
      <c r="I68" t="s">
        <v>697</v>
      </c>
      <c r="J68" t="s">
        <v>66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31</v>
      </c>
      <c r="C70" t="s">
        <v>67</v>
      </c>
      <c r="D70" t="s">
        <v>68</v>
      </c>
      <c r="E70" t="s">
        <v>31</v>
      </c>
      <c r="F70" t="s">
        <v>69</v>
      </c>
    </row>
    <row r="71" spans="1:11" x14ac:dyDescent="0.25">
      <c r="D71" t="s">
        <v>857</v>
      </c>
      <c r="E71">
        <v>2456787.5319599998</v>
      </c>
      <c r="F71" t="s">
        <v>890</v>
      </c>
      <c r="G71">
        <v>11.349</v>
      </c>
      <c r="H71">
        <v>4.1000000000000002E-2</v>
      </c>
      <c r="I71" t="s">
        <v>249</v>
      </c>
      <c r="J71" t="s">
        <v>470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471</v>
      </c>
      <c r="B73" t="s">
        <v>891</v>
      </c>
      <c r="C73" t="s">
        <v>29</v>
      </c>
      <c r="D73" t="s">
        <v>871</v>
      </c>
      <c r="E73" t="s">
        <v>31</v>
      </c>
      <c r="F73" t="s">
        <v>892</v>
      </c>
    </row>
    <row r="74" spans="1:11" x14ac:dyDescent="0.25">
      <c r="D74" t="s">
        <v>857</v>
      </c>
      <c r="E74">
        <v>2456787.5249200002</v>
      </c>
      <c r="F74" t="s">
        <v>893</v>
      </c>
      <c r="G74">
        <v>11.317</v>
      </c>
      <c r="H74">
        <v>3.3000000000000002E-2</v>
      </c>
      <c r="I74" t="s">
        <v>250</v>
      </c>
      <c r="J74" t="s">
        <v>470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471</v>
      </c>
      <c r="B76" t="s">
        <v>894</v>
      </c>
      <c r="C76" t="s">
        <v>29</v>
      </c>
      <c r="D76" t="s">
        <v>871</v>
      </c>
      <c r="E76" t="s">
        <v>31</v>
      </c>
      <c r="F76" t="s">
        <v>892</v>
      </c>
    </row>
    <row r="77" spans="1:11" x14ac:dyDescent="0.25">
      <c r="D77" t="s">
        <v>857</v>
      </c>
      <c r="E77">
        <v>2456787.5163500002</v>
      </c>
      <c r="F77" t="s">
        <v>895</v>
      </c>
      <c r="G77">
        <v>12.378</v>
      </c>
      <c r="H77">
        <v>2.5000000000000001E-2</v>
      </c>
      <c r="I77" t="s">
        <v>18</v>
      </c>
      <c r="J77" t="s">
        <v>470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471</v>
      </c>
      <c r="B79" t="s">
        <v>896</v>
      </c>
      <c r="C79" t="s">
        <v>29</v>
      </c>
      <c r="D79" t="s">
        <v>871</v>
      </c>
      <c r="E79" t="s">
        <v>31</v>
      </c>
      <c r="F79" t="s">
        <v>897</v>
      </c>
    </row>
    <row r="80" spans="1:11" x14ac:dyDescent="0.25">
      <c r="D80" t="s">
        <v>857</v>
      </c>
      <c r="E80">
        <v>2456787.5043500001</v>
      </c>
      <c r="F80" t="s">
        <v>898</v>
      </c>
      <c r="G80">
        <v>12.923999999999999</v>
      </c>
      <c r="H80">
        <v>2.4E-2</v>
      </c>
      <c r="I80" t="s">
        <v>34</v>
      </c>
      <c r="J80" t="s">
        <v>470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471</v>
      </c>
      <c r="B82" t="s">
        <v>899</v>
      </c>
      <c r="C82" t="s">
        <v>29</v>
      </c>
      <c r="D82" t="s">
        <v>871</v>
      </c>
      <c r="E82" t="s">
        <v>31</v>
      </c>
      <c r="F82" t="s">
        <v>900</v>
      </c>
    </row>
    <row r="83" spans="1:11" x14ac:dyDescent="0.25">
      <c r="D83" t="s">
        <v>857</v>
      </c>
      <c r="E83">
        <v>2456566.5665600002</v>
      </c>
      <c r="F83" t="s">
        <v>901</v>
      </c>
      <c r="G83">
        <v>12.590999999999999</v>
      </c>
      <c r="H83">
        <v>2.5999999999999999E-2</v>
      </c>
      <c r="I83" t="s">
        <v>18</v>
      </c>
      <c r="J83" t="s">
        <v>361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27</v>
      </c>
      <c r="B85" t="s">
        <v>902</v>
      </c>
      <c r="C85" t="s">
        <v>67</v>
      </c>
      <c r="D85" t="s">
        <v>868</v>
      </c>
      <c r="E85" t="s">
        <v>31</v>
      </c>
      <c r="F85" t="s">
        <v>31</v>
      </c>
    </row>
    <row r="86" spans="1:11" x14ac:dyDescent="0.25">
      <c r="D86" t="s">
        <v>857</v>
      </c>
      <c r="E86">
        <v>2456559.31012</v>
      </c>
      <c r="F86" t="s">
        <v>903</v>
      </c>
      <c r="G86">
        <v>11.912000000000001</v>
      </c>
      <c r="H86">
        <v>3.3000000000000002E-2</v>
      </c>
      <c r="I86" t="s">
        <v>249</v>
      </c>
      <c r="J86" t="s">
        <v>470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471</v>
      </c>
      <c r="B88" t="s">
        <v>904</v>
      </c>
      <c r="C88" t="s">
        <v>29</v>
      </c>
      <c r="D88" t="s">
        <v>871</v>
      </c>
      <c r="E88" t="s">
        <v>31</v>
      </c>
      <c r="F88" t="s">
        <v>905</v>
      </c>
    </row>
    <row r="89" spans="1:11" x14ac:dyDescent="0.25">
      <c r="D89" t="s">
        <v>857</v>
      </c>
      <c r="E89">
        <v>2456559.3053000001</v>
      </c>
      <c r="F89" t="s">
        <v>906</v>
      </c>
      <c r="G89">
        <v>11.368</v>
      </c>
      <c r="H89">
        <v>4.4999999999999998E-2</v>
      </c>
      <c r="I89" t="s">
        <v>250</v>
      </c>
      <c r="J89" t="s">
        <v>470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471</v>
      </c>
      <c r="B91" t="s">
        <v>884</v>
      </c>
      <c r="C91" t="s">
        <v>29</v>
      </c>
      <c r="D91" t="s">
        <v>871</v>
      </c>
      <c r="E91" t="s">
        <v>31</v>
      </c>
      <c r="F91" t="s">
        <v>905</v>
      </c>
    </row>
    <row r="92" spans="1:11" x14ac:dyDescent="0.25">
      <c r="A92" t="s">
        <v>1093</v>
      </c>
    </row>
  </sheetData>
  <hyperlinks>
    <hyperlink ref="L1" r:id="rId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Q26"/>
  <sheetViews>
    <sheetView workbookViewId="0"/>
  </sheetViews>
  <sheetFormatPr baseColWidth="10" defaultRowHeight="15" x14ac:dyDescent="0.25"/>
  <cols>
    <col min="1" max="1" width="18.140625" customWidth="1"/>
    <col min="2" max="2" width="19.5703125" customWidth="1"/>
    <col min="3" max="3" width="12.28515625" bestFit="1" customWidth="1"/>
    <col min="4" max="4" width="9" customWidth="1"/>
    <col min="5" max="5" width="15.5703125" bestFit="1" customWidth="1"/>
    <col min="6" max="6" width="29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1286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1278</v>
      </c>
    </row>
    <row r="17" spans="13:17" x14ac:dyDescent="0.25">
      <c r="M17">
        <f>+I17</f>
        <v>0</v>
      </c>
      <c r="N17">
        <f>+G17</f>
        <v>0</v>
      </c>
      <c r="O17">
        <f>+J17</f>
        <v>0</v>
      </c>
      <c r="P17">
        <f>+E17</f>
        <v>0</v>
      </c>
      <c r="Q17">
        <f>+F17</f>
        <v>0</v>
      </c>
    </row>
    <row r="18" spans="13:17" x14ac:dyDescent="0.25">
      <c r="M18">
        <f>+I20</f>
        <v>0</v>
      </c>
      <c r="N18">
        <f>+G20</f>
        <v>0</v>
      </c>
      <c r="O18">
        <f>+J20</f>
        <v>0</v>
      </c>
      <c r="P18">
        <f>+E20</f>
        <v>0</v>
      </c>
      <c r="Q18">
        <f>+F20</f>
        <v>0</v>
      </c>
    </row>
    <row r="19" spans="13:17" x14ac:dyDescent="0.25">
      <c r="M19">
        <f>+I23</f>
        <v>0</v>
      </c>
      <c r="N19">
        <f>+G23</f>
        <v>0</v>
      </c>
      <c r="O19">
        <f>+J23</f>
        <v>0</v>
      </c>
      <c r="P19">
        <f>+E23</f>
        <v>0</v>
      </c>
      <c r="Q19">
        <f>+F23</f>
        <v>0</v>
      </c>
    </row>
    <row r="20" spans="13:17" x14ac:dyDescent="0.25">
      <c r="M20">
        <f>+I26</f>
        <v>0</v>
      </c>
      <c r="N20">
        <f>+G26</f>
        <v>0</v>
      </c>
      <c r="O20">
        <f>+J26</f>
        <v>0</v>
      </c>
      <c r="P20">
        <f>+E26</f>
        <v>0</v>
      </c>
      <c r="Q20">
        <f>+F26</f>
        <v>0</v>
      </c>
    </row>
    <row r="21" spans="13:17" x14ac:dyDescent="0.25">
      <c r="M21">
        <f>+I29</f>
        <v>0</v>
      </c>
      <c r="N21">
        <f>+G29</f>
        <v>0</v>
      </c>
      <c r="O21">
        <f>+J29</f>
        <v>0</v>
      </c>
      <c r="P21">
        <f>+E29</f>
        <v>0</v>
      </c>
      <c r="Q21">
        <f>+F29</f>
        <v>0</v>
      </c>
    </row>
    <row r="22" spans="13:17" x14ac:dyDescent="0.25">
      <c r="M22">
        <f>+I32</f>
        <v>0</v>
      </c>
      <c r="N22">
        <f>+G32</f>
        <v>0</v>
      </c>
      <c r="O22">
        <f>+J32</f>
        <v>0</v>
      </c>
      <c r="P22">
        <f>+E32</f>
        <v>0</v>
      </c>
      <c r="Q22">
        <f>+F32</f>
        <v>0</v>
      </c>
    </row>
    <row r="23" spans="13:17" x14ac:dyDescent="0.25">
      <c r="M23">
        <f>+I35</f>
        <v>0</v>
      </c>
      <c r="N23">
        <f>+G35</f>
        <v>0</v>
      </c>
      <c r="O23">
        <f>+J35</f>
        <v>0</v>
      </c>
      <c r="P23">
        <f>+E35</f>
        <v>0</v>
      </c>
      <c r="Q23">
        <f>+F35</f>
        <v>0</v>
      </c>
    </row>
    <row r="24" spans="13:17" x14ac:dyDescent="0.25">
      <c r="M24">
        <f>+I38</f>
        <v>0</v>
      </c>
      <c r="N24">
        <f>+G38</f>
        <v>0</v>
      </c>
      <c r="O24">
        <f>+J38</f>
        <v>0</v>
      </c>
      <c r="P24">
        <f>+E38</f>
        <v>0</v>
      </c>
      <c r="Q24">
        <f>+F38</f>
        <v>0</v>
      </c>
    </row>
    <row r="25" spans="13:17" x14ac:dyDescent="0.25">
      <c r="M25">
        <f>+I41</f>
        <v>0</v>
      </c>
      <c r="N25">
        <f>+G41</f>
        <v>0</v>
      </c>
      <c r="O25">
        <f>+J41</f>
        <v>0</v>
      </c>
      <c r="P25">
        <f>+E41</f>
        <v>0</v>
      </c>
      <c r="Q25">
        <f>+F41</f>
        <v>0</v>
      </c>
    </row>
    <row r="26" spans="13:17" x14ac:dyDescent="0.25">
      <c r="M26">
        <f>+I44</f>
        <v>0</v>
      </c>
      <c r="N26">
        <f>+G44</f>
        <v>0</v>
      </c>
      <c r="O26">
        <f>+J44</f>
        <v>0</v>
      </c>
      <c r="P26">
        <f>+E44</f>
        <v>0</v>
      </c>
      <c r="Q26">
        <f>+F44</f>
        <v>0</v>
      </c>
    </row>
  </sheetData>
  <hyperlinks>
    <hyperlink ref="L1" r:id="rId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Q92"/>
  <sheetViews>
    <sheetView workbookViewId="0">
      <selection activeCell="J24" sqref="J24"/>
    </sheetView>
  </sheetViews>
  <sheetFormatPr baseColWidth="10" defaultRowHeight="15" x14ac:dyDescent="0.25"/>
  <cols>
    <col min="1" max="2" width="10.140625" customWidth="1"/>
    <col min="3" max="3" width="12.28515625" bestFit="1" customWidth="1"/>
    <col min="4" max="4" width="8.28515625" customWidth="1"/>
    <col min="5" max="5" width="15.5703125" bestFit="1" customWidth="1"/>
    <col min="6" max="6" width="23.42578125" customWidth="1"/>
    <col min="7" max="7" width="10.5703125" customWidth="1"/>
    <col min="8" max="8" width="5.28515625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961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2536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962</v>
      </c>
      <c r="E17">
        <v>2457693.398</v>
      </c>
      <c r="F17" t="s">
        <v>2537</v>
      </c>
      <c r="G17">
        <v>13.15</v>
      </c>
      <c r="H17">
        <v>0.05</v>
      </c>
      <c r="I17" t="s">
        <v>65</v>
      </c>
      <c r="J17" t="s">
        <v>66</v>
      </c>
      <c r="K17" t="s">
        <v>20</v>
      </c>
      <c r="M17" t="str">
        <f>+I17</f>
        <v>TG</v>
      </c>
      <c r="N17">
        <f>+G17</f>
        <v>13.15</v>
      </c>
      <c r="O17" t="str">
        <f>+J17</f>
        <v>MEV</v>
      </c>
      <c r="P17">
        <f>+E17</f>
        <v>2457693.398</v>
      </c>
      <c r="Q17" t="str">
        <f>+F17</f>
        <v>2016 Oct. 31.89800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TG</v>
      </c>
      <c r="N18">
        <f>+G20</f>
        <v>13.06</v>
      </c>
      <c r="O18" t="str">
        <f>+J20</f>
        <v>MEV</v>
      </c>
      <c r="P18">
        <f>+E20</f>
        <v>2457691.3360000001</v>
      </c>
      <c r="Q18" t="str">
        <f>+F20</f>
        <v>2016 Oct. 29.83600</v>
      </c>
    </row>
    <row r="19" spans="1:17" x14ac:dyDescent="0.25">
      <c r="A19" t="s">
        <v>27</v>
      </c>
      <c r="B19" t="s">
        <v>31</v>
      </c>
      <c r="C19" t="s">
        <v>67</v>
      </c>
      <c r="D19" t="s">
        <v>68</v>
      </c>
      <c r="E19" t="s">
        <v>31</v>
      </c>
      <c r="F19" t="s">
        <v>69</v>
      </c>
      <c r="M19" t="str">
        <f>+I23</f>
        <v>TG</v>
      </c>
      <c r="N19">
        <f>+G23</f>
        <v>13.11</v>
      </c>
      <c r="O19" t="str">
        <f>+J23</f>
        <v>MEV</v>
      </c>
      <c r="P19">
        <f>+E23</f>
        <v>2457690.3369999998</v>
      </c>
      <c r="Q19" t="str">
        <f>+F23</f>
        <v>2016 Oct. 28.83700</v>
      </c>
    </row>
    <row r="20" spans="1:17" x14ac:dyDescent="0.25">
      <c r="D20" t="s">
        <v>962</v>
      </c>
      <c r="E20">
        <v>2457691.3360000001</v>
      </c>
      <c r="F20" t="s">
        <v>2538</v>
      </c>
      <c r="G20">
        <v>13.06</v>
      </c>
      <c r="H20">
        <v>0.05</v>
      </c>
      <c r="I20" t="s">
        <v>65</v>
      </c>
      <c r="J20" t="s">
        <v>66</v>
      </c>
      <c r="K20" t="s">
        <v>20</v>
      </c>
      <c r="M20" t="str">
        <f>+I26</f>
        <v>TG</v>
      </c>
      <c r="N20">
        <f>+G26</f>
        <v>13.07</v>
      </c>
      <c r="O20" t="str">
        <f>+J26</f>
        <v>MEV</v>
      </c>
      <c r="P20">
        <f>+E26</f>
        <v>2457683.361</v>
      </c>
      <c r="Q20" t="str">
        <f>+F26</f>
        <v>2016 Oct. 21.86100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TG</v>
      </c>
      <c r="N21">
        <f>+G29</f>
        <v>13.06</v>
      </c>
      <c r="O21" t="str">
        <f>+J29</f>
        <v>MEV</v>
      </c>
      <c r="P21">
        <f>+E29</f>
        <v>2457641.4109999998</v>
      </c>
      <c r="Q21" t="str">
        <f>+F29</f>
        <v>2016 Sep. 09.91100</v>
      </c>
    </row>
    <row r="22" spans="1:17" x14ac:dyDescent="0.25">
      <c r="A22" t="s">
        <v>27</v>
      </c>
      <c r="B22" t="s">
        <v>31</v>
      </c>
      <c r="C22" t="s">
        <v>67</v>
      </c>
      <c r="D22" t="s">
        <v>68</v>
      </c>
      <c r="E22" t="s">
        <v>31</v>
      </c>
      <c r="F22" t="s">
        <v>69</v>
      </c>
      <c r="M22" t="str">
        <f>+I32</f>
        <v>TG</v>
      </c>
      <c r="N22">
        <f>+G32</f>
        <v>13.14</v>
      </c>
      <c r="O22" t="str">
        <f>+J32</f>
        <v>MEV</v>
      </c>
      <c r="P22">
        <f>+E32</f>
        <v>2457640.4160000002</v>
      </c>
      <c r="Q22" t="str">
        <f>+F32</f>
        <v>2016 Sep. 08.91600</v>
      </c>
    </row>
    <row r="23" spans="1:17" x14ac:dyDescent="0.25">
      <c r="D23" t="s">
        <v>962</v>
      </c>
      <c r="E23">
        <v>2457690.3369999998</v>
      </c>
      <c r="F23" t="s">
        <v>2539</v>
      </c>
      <c r="G23">
        <v>13.11</v>
      </c>
      <c r="H23">
        <v>0.05</v>
      </c>
      <c r="I23" t="s">
        <v>65</v>
      </c>
      <c r="J23" t="s">
        <v>66</v>
      </c>
      <c r="K23" t="s">
        <v>20</v>
      </c>
      <c r="M23" t="str">
        <f>+I35</f>
        <v>TG</v>
      </c>
      <c r="N23">
        <f>+G35</f>
        <v>13.15</v>
      </c>
      <c r="O23" t="str">
        <f>+J35</f>
        <v>MEV</v>
      </c>
      <c r="P23">
        <f>+E35</f>
        <v>2457639.4479999999</v>
      </c>
      <c r="Q23" t="str">
        <f>+F35</f>
        <v>2016 Sep. 07.94800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TG</v>
      </c>
      <c r="N24">
        <f>+G38</f>
        <v>13.14</v>
      </c>
      <c r="O24" t="str">
        <f>+J38</f>
        <v>MEV</v>
      </c>
      <c r="P24">
        <f>+E38</f>
        <v>2457634.4249999998</v>
      </c>
      <c r="Q24" t="str">
        <f>+F38</f>
        <v>2016 Sep. 02.92500</v>
      </c>
    </row>
    <row r="25" spans="1:17" x14ac:dyDescent="0.25">
      <c r="A25" t="s">
        <v>27</v>
      </c>
      <c r="B25" t="s">
        <v>31</v>
      </c>
      <c r="C25" t="s">
        <v>67</v>
      </c>
      <c r="D25" t="s">
        <v>68</v>
      </c>
      <c r="E25" t="s">
        <v>31</v>
      </c>
      <c r="F25" t="s">
        <v>69</v>
      </c>
      <c r="M25" t="str">
        <f>+I41</f>
        <v>TG</v>
      </c>
      <c r="N25">
        <f>+G41</f>
        <v>13.17</v>
      </c>
      <c r="O25" t="str">
        <f>+J41</f>
        <v>MEV</v>
      </c>
      <c r="P25">
        <f>+E41</f>
        <v>2457629.4610000001</v>
      </c>
      <c r="Q25" t="str">
        <f>+F41</f>
        <v>2016 Aug. 28.96100</v>
      </c>
    </row>
    <row r="26" spans="1:17" x14ac:dyDescent="0.25">
      <c r="D26" t="s">
        <v>962</v>
      </c>
      <c r="E26">
        <v>2457683.361</v>
      </c>
      <c r="F26" t="s">
        <v>2540</v>
      </c>
      <c r="G26">
        <v>13.07</v>
      </c>
      <c r="H26">
        <v>0.05</v>
      </c>
      <c r="I26" t="s">
        <v>65</v>
      </c>
      <c r="J26" t="s">
        <v>66</v>
      </c>
      <c r="K26" t="s">
        <v>20</v>
      </c>
      <c r="M26" t="str">
        <f>+I44</f>
        <v>TG</v>
      </c>
      <c r="N26">
        <f>+G44</f>
        <v>13.17</v>
      </c>
      <c r="O26" t="str">
        <f>+J44</f>
        <v>MEV</v>
      </c>
      <c r="P26">
        <f>+E44</f>
        <v>2457624.3840000001</v>
      </c>
      <c r="Q26" t="str">
        <f>+F44</f>
        <v>2016 Aug. 23.88400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27</v>
      </c>
      <c r="B28" t="s">
        <v>31</v>
      </c>
      <c r="C28" t="s">
        <v>67</v>
      </c>
      <c r="D28" t="s">
        <v>68</v>
      </c>
      <c r="E28" t="s">
        <v>31</v>
      </c>
      <c r="F28" t="s">
        <v>69</v>
      </c>
    </row>
    <row r="29" spans="1:17" x14ac:dyDescent="0.25">
      <c r="D29" t="s">
        <v>962</v>
      </c>
      <c r="E29">
        <v>2457641.4109999998</v>
      </c>
      <c r="F29" t="s">
        <v>2137</v>
      </c>
      <c r="G29">
        <v>13.06</v>
      </c>
      <c r="H29">
        <v>0.05</v>
      </c>
      <c r="I29" t="s">
        <v>65</v>
      </c>
      <c r="J29" t="s">
        <v>66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27</v>
      </c>
      <c r="B31" t="s">
        <v>31</v>
      </c>
      <c r="C31" t="s">
        <v>67</v>
      </c>
      <c r="D31" t="s">
        <v>68</v>
      </c>
      <c r="E31" t="s">
        <v>31</v>
      </c>
      <c r="F31" t="s">
        <v>69</v>
      </c>
    </row>
    <row r="32" spans="1:17" x14ac:dyDescent="0.25">
      <c r="D32" t="s">
        <v>962</v>
      </c>
      <c r="E32">
        <v>2457640.4160000002</v>
      </c>
      <c r="F32" t="s">
        <v>2138</v>
      </c>
      <c r="G32">
        <v>13.14</v>
      </c>
      <c r="H32">
        <v>0.05</v>
      </c>
      <c r="I32" t="s">
        <v>65</v>
      </c>
      <c r="J32" t="s">
        <v>66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27</v>
      </c>
      <c r="B34" t="s">
        <v>31</v>
      </c>
      <c r="C34" t="s">
        <v>67</v>
      </c>
      <c r="D34" t="s">
        <v>68</v>
      </c>
      <c r="E34" t="s">
        <v>31</v>
      </c>
      <c r="F34" t="s">
        <v>69</v>
      </c>
    </row>
    <row r="35" spans="1:11" x14ac:dyDescent="0.25">
      <c r="D35" t="s">
        <v>962</v>
      </c>
      <c r="E35">
        <v>2457639.4479999999</v>
      </c>
      <c r="F35" t="s">
        <v>2139</v>
      </c>
      <c r="G35">
        <v>13.15</v>
      </c>
      <c r="H35">
        <v>0.05</v>
      </c>
      <c r="I35" t="s">
        <v>65</v>
      </c>
      <c r="J35" t="s">
        <v>66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27</v>
      </c>
      <c r="B37" t="s">
        <v>31</v>
      </c>
      <c r="C37" t="s">
        <v>67</v>
      </c>
      <c r="D37" t="s">
        <v>68</v>
      </c>
      <c r="E37" t="s">
        <v>31</v>
      </c>
      <c r="F37" t="s">
        <v>69</v>
      </c>
    </row>
    <row r="38" spans="1:11" x14ac:dyDescent="0.25">
      <c r="D38" t="s">
        <v>962</v>
      </c>
      <c r="E38">
        <v>2457634.4249999998</v>
      </c>
      <c r="F38" t="s">
        <v>2140</v>
      </c>
      <c r="G38">
        <v>13.14</v>
      </c>
      <c r="H38">
        <v>0.05</v>
      </c>
      <c r="I38" t="s">
        <v>65</v>
      </c>
      <c r="J38" t="s">
        <v>66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27</v>
      </c>
      <c r="B40" t="s">
        <v>31</v>
      </c>
      <c r="C40" t="s">
        <v>67</v>
      </c>
      <c r="D40" t="s">
        <v>68</v>
      </c>
      <c r="E40" t="s">
        <v>31</v>
      </c>
      <c r="F40" t="s">
        <v>69</v>
      </c>
    </row>
    <row r="41" spans="1:11" x14ac:dyDescent="0.25">
      <c r="D41" t="s">
        <v>962</v>
      </c>
      <c r="E41">
        <v>2457629.4610000001</v>
      </c>
      <c r="F41" t="s">
        <v>2141</v>
      </c>
      <c r="G41">
        <v>13.17</v>
      </c>
      <c r="H41">
        <v>0.05</v>
      </c>
      <c r="I41" t="s">
        <v>65</v>
      </c>
      <c r="J41" t="s">
        <v>66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27</v>
      </c>
      <c r="B43" t="s">
        <v>31</v>
      </c>
      <c r="C43" t="s">
        <v>67</v>
      </c>
      <c r="D43" t="s">
        <v>68</v>
      </c>
      <c r="E43" t="s">
        <v>31</v>
      </c>
      <c r="F43" t="s">
        <v>69</v>
      </c>
    </row>
    <row r="44" spans="1:11" x14ac:dyDescent="0.25">
      <c r="D44" t="s">
        <v>962</v>
      </c>
      <c r="E44">
        <v>2457624.3840000001</v>
      </c>
      <c r="F44" t="s">
        <v>2142</v>
      </c>
      <c r="G44">
        <v>13.17</v>
      </c>
      <c r="H44">
        <v>0.05</v>
      </c>
      <c r="I44" t="s">
        <v>65</v>
      </c>
      <c r="J44" t="s">
        <v>66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27</v>
      </c>
      <c r="B46" t="s">
        <v>31</v>
      </c>
      <c r="C46" t="s">
        <v>67</v>
      </c>
      <c r="D46" t="s">
        <v>68</v>
      </c>
      <c r="E46" t="s">
        <v>31</v>
      </c>
      <c r="F46" t="s">
        <v>69</v>
      </c>
    </row>
    <row r="47" spans="1:11" x14ac:dyDescent="0.25">
      <c r="D47" t="s">
        <v>962</v>
      </c>
      <c r="E47">
        <v>2457614.551</v>
      </c>
      <c r="F47" t="s">
        <v>1923</v>
      </c>
      <c r="G47">
        <v>13.24</v>
      </c>
      <c r="H47">
        <v>0.05</v>
      </c>
      <c r="I47" t="s">
        <v>65</v>
      </c>
      <c r="J47" t="s">
        <v>66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27</v>
      </c>
      <c r="B49" t="s">
        <v>31</v>
      </c>
      <c r="C49" t="s">
        <v>67</v>
      </c>
      <c r="D49" t="s">
        <v>68</v>
      </c>
      <c r="E49" t="s">
        <v>31</v>
      </c>
      <c r="F49" t="s">
        <v>69</v>
      </c>
    </row>
    <row r="50" spans="1:11" x14ac:dyDescent="0.25">
      <c r="D50" t="s">
        <v>962</v>
      </c>
      <c r="E50">
        <v>2457613.3870000001</v>
      </c>
      <c r="F50" t="s">
        <v>1924</v>
      </c>
      <c r="G50">
        <v>13.28</v>
      </c>
      <c r="H50">
        <v>0.05</v>
      </c>
      <c r="I50" t="s">
        <v>65</v>
      </c>
      <c r="J50" t="s">
        <v>66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27</v>
      </c>
      <c r="B52" t="s">
        <v>31</v>
      </c>
      <c r="C52" t="s">
        <v>67</v>
      </c>
      <c r="D52" t="s">
        <v>68</v>
      </c>
      <c r="E52" t="s">
        <v>31</v>
      </c>
      <c r="F52" t="s">
        <v>69</v>
      </c>
    </row>
    <row r="53" spans="1:11" x14ac:dyDescent="0.25">
      <c r="D53" t="s">
        <v>962</v>
      </c>
      <c r="E53">
        <v>2457612.429</v>
      </c>
      <c r="F53" t="s">
        <v>1925</v>
      </c>
      <c r="G53">
        <v>13.24</v>
      </c>
      <c r="H53">
        <v>0.05</v>
      </c>
      <c r="I53" t="s">
        <v>65</v>
      </c>
      <c r="J53" t="s">
        <v>66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27</v>
      </c>
      <c r="B55" t="s">
        <v>31</v>
      </c>
      <c r="C55" t="s">
        <v>67</v>
      </c>
      <c r="D55" t="s">
        <v>68</v>
      </c>
      <c r="E55" t="s">
        <v>31</v>
      </c>
      <c r="F55" t="s">
        <v>69</v>
      </c>
    </row>
    <row r="56" spans="1:11" x14ac:dyDescent="0.25">
      <c r="D56" t="s">
        <v>962</v>
      </c>
      <c r="E56">
        <v>2457609.4360000002</v>
      </c>
      <c r="F56" t="s">
        <v>1926</v>
      </c>
      <c r="G56">
        <v>13.28</v>
      </c>
      <c r="H56">
        <v>0.05</v>
      </c>
      <c r="I56" t="s">
        <v>65</v>
      </c>
      <c r="J56" t="s">
        <v>66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27</v>
      </c>
      <c r="B58" t="s">
        <v>31</v>
      </c>
      <c r="C58" t="s">
        <v>67</v>
      </c>
      <c r="D58" t="s">
        <v>68</v>
      </c>
      <c r="E58" t="s">
        <v>31</v>
      </c>
      <c r="F58" t="s">
        <v>69</v>
      </c>
    </row>
    <row r="59" spans="1:11" x14ac:dyDescent="0.25">
      <c r="D59" t="s">
        <v>962</v>
      </c>
      <c r="E59">
        <v>2457608.423</v>
      </c>
      <c r="F59" t="s">
        <v>1927</v>
      </c>
      <c r="G59">
        <v>13.28</v>
      </c>
      <c r="H59">
        <v>0.05</v>
      </c>
      <c r="I59" t="s">
        <v>65</v>
      </c>
      <c r="J59" t="s">
        <v>66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27</v>
      </c>
      <c r="B61" t="s">
        <v>31</v>
      </c>
      <c r="C61" t="s">
        <v>67</v>
      </c>
      <c r="D61" t="s">
        <v>68</v>
      </c>
      <c r="E61" t="s">
        <v>31</v>
      </c>
      <c r="F61" t="s">
        <v>69</v>
      </c>
    </row>
    <row r="62" spans="1:11" x14ac:dyDescent="0.25">
      <c r="D62" t="s">
        <v>962</v>
      </c>
      <c r="E62">
        <v>2457604.551</v>
      </c>
      <c r="F62" t="s">
        <v>1928</v>
      </c>
      <c r="G62">
        <v>13.29</v>
      </c>
      <c r="H62">
        <v>0.05</v>
      </c>
      <c r="I62" t="s">
        <v>65</v>
      </c>
      <c r="J62" t="s">
        <v>66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27</v>
      </c>
      <c r="B64" t="s">
        <v>31</v>
      </c>
      <c r="C64" t="s">
        <v>67</v>
      </c>
      <c r="D64" t="s">
        <v>68</v>
      </c>
      <c r="E64" t="s">
        <v>31</v>
      </c>
      <c r="F64" t="s">
        <v>69</v>
      </c>
    </row>
    <row r="65" spans="1:11" x14ac:dyDescent="0.25">
      <c r="D65" t="s">
        <v>962</v>
      </c>
      <c r="E65">
        <v>2457598.4810000001</v>
      </c>
      <c r="F65" t="s">
        <v>1929</v>
      </c>
      <c r="G65">
        <v>13.22</v>
      </c>
      <c r="H65">
        <v>0.05</v>
      </c>
      <c r="I65" t="s">
        <v>65</v>
      </c>
      <c r="J65" t="s">
        <v>66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27</v>
      </c>
      <c r="B67" t="s">
        <v>31</v>
      </c>
      <c r="C67" t="s">
        <v>67</v>
      </c>
      <c r="D67" t="s">
        <v>68</v>
      </c>
      <c r="E67" t="s">
        <v>31</v>
      </c>
      <c r="F67" t="s">
        <v>69</v>
      </c>
    </row>
    <row r="68" spans="1:11" x14ac:dyDescent="0.25">
      <c r="D68" t="s">
        <v>962</v>
      </c>
      <c r="E68">
        <v>2457597.5460000001</v>
      </c>
      <c r="F68" t="s">
        <v>1930</v>
      </c>
      <c r="G68">
        <v>13.27</v>
      </c>
      <c r="H68">
        <v>0.05</v>
      </c>
      <c r="I68" t="s">
        <v>65</v>
      </c>
      <c r="J68" t="s">
        <v>66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31</v>
      </c>
      <c r="C70" t="s">
        <v>67</v>
      </c>
      <c r="D70" t="s">
        <v>68</v>
      </c>
      <c r="E70" t="s">
        <v>31</v>
      </c>
      <c r="F70" t="s">
        <v>69</v>
      </c>
    </row>
    <row r="71" spans="1:11" x14ac:dyDescent="0.25">
      <c r="D71" t="s">
        <v>962</v>
      </c>
      <c r="E71">
        <v>2457595.4569999999</v>
      </c>
      <c r="F71" t="s">
        <v>1931</v>
      </c>
      <c r="G71">
        <v>13.31</v>
      </c>
      <c r="H71">
        <v>0.05</v>
      </c>
      <c r="I71" t="s">
        <v>65</v>
      </c>
      <c r="J71" t="s">
        <v>66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27</v>
      </c>
      <c r="B73" t="s">
        <v>31</v>
      </c>
      <c r="C73" t="s">
        <v>67</v>
      </c>
      <c r="D73" t="s">
        <v>68</v>
      </c>
      <c r="E73" t="s">
        <v>31</v>
      </c>
      <c r="F73" t="s">
        <v>69</v>
      </c>
    </row>
    <row r="74" spans="1:11" x14ac:dyDescent="0.25">
      <c r="D74" t="s">
        <v>962</v>
      </c>
      <c r="E74">
        <v>2457589.4559999998</v>
      </c>
      <c r="F74" t="s">
        <v>1932</v>
      </c>
      <c r="G74">
        <v>13.35</v>
      </c>
      <c r="H74">
        <v>0.05</v>
      </c>
      <c r="I74" t="s">
        <v>65</v>
      </c>
      <c r="J74" t="s">
        <v>66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27</v>
      </c>
      <c r="B76" t="s">
        <v>31</v>
      </c>
      <c r="C76" t="s">
        <v>67</v>
      </c>
      <c r="D76" t="s">
        <v>68</v>
      </c>
      <c r="E76" t="s">
        <v>31</v>
      </c>
      <c r="F76" t="s">
        <v>69</v>
      </c>
    </row>
    <row r="77" spans="1:11" x14ac:dyDescent="0.25">
      <c r="D77" t="s">
        <v>962</v>
      </c>
      <c r="E77">
        <v>2457588.4580000001</v>
      </c>
      <c r="F77" t="s">
        <v>1933</v>
      </c>
      <c r="G77">
        <v>13.37</v>
      </c>
      <c r="H77">
        <v>0.05</v>
      </c>
      <c r="I77" t="s">
        <v>65</v>
      </c>
      <c r="J77" t="s">
        <v>66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27</v>
      </c>
      <c r="B79" t="s">
        <v>31</v>
      </c>
      <c r="C79" t="s">
        <v>67</v>
      </c>
      <c r="D79" t="s">
        <v>68</v>
      </c>
      <c r="E79" t="s">
        <v>31</v>
      </c>
      <c r="F79" t="s">
        <v>69</v>
      </c>
    </row>
    <row r="80" spans="1:11" x14ac:dyDescent="0.25">
      <c r="D80" t="s">
        <v>962</v>
      </c>
      <c r="E80">
        <v>2457587.4780000001</v>
      </c>
      <c r="F80" t="s">
        <v>1934</v>
      </c>
      <c r="G80">
        <v>13.31</v>
      </c>
      <c r="H80">
        <v>0.05</v>
      </c>
      <c r="I80" t="s">
        <v>65</v>
      </c>
      <c r="J80" t="s">
        <v>66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27</v>
      </c>
      <c r="B82" t="s">
        <v>31</v>
      </c>
      <c r="C82" t="s">
        <v>67</v>
      </c>
      <c r="D82" t="s">
        <v>68</v>
      </c>
      <c r="E82" t="s">
        <v>31</v>
      </c>
      <c r="F82" t="s">
        <v>69</v>
      </c>
    </row>
    <row r="83" spans="1:11" x14ac:dyDescent="0.25">
      <c r="D83" t="s">
        <v>962</v>
      </c>
      <c r="E83">
        <v>2457586.4640000002</v>
      </c>
      <c r="F83" t="s">
        <v>1935</v>
      </c>
      <c r="G83">
        <v>13.38</v>
      </c>
      <c r="H83">
        <v>0.05</v>
      </c>
      <c r="I83" t="s">
        <v>65</v>
      </c>
      <c r="J83" t="s">
        <v>66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27</v>
      </c>
      <c r="B85" t="s">
        <v>31</v>
      </c>
      <c r="C85" t="s">
        <v>67</v>
      </c>
      <c r="D85" t="s">
        <v>68</v>
      </c>
      <c r="E85" t="s">
        <v>31</v>
      </c>
      <c r="F85" t="s">
        <v>69</v>
      </c>
    </row>
    <row r="86" spans="1:11" x14ac:dyDescent="0.25">
      <c r="D86" t="s">
        <v>962</v>
      </c>
      <c r="E86">
        <v>2457585.5550000002</v>
      </c>
      <c r="F86" t="s">
        <v>1936</v>
      </c>
      <c r="G86">
        <v>13.29</v>
      </c>
      <c r="H86">
        <v>0.05</v>
      </c>
      <c r="I86" t="s">
        <v>65</v>
      </c>
      <c r="J86" t="s">
        <v>66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27</v>
      </c>
      <c r="B88" t="s">
        <v>31</v>
      </c>
      <c r="C88" t="s">
        <v>67</v>
      </c>
      <c r="D88" t="s">
        <v>68</v>
      </c>
      <c r="E88" t="s">
        <v>31</v>
      </c>
      <c r="F88" t="s">
        <v>69</v>
      </c>
    </row>
    <row r="89" spans="1:11" x14ac:dyDescent="0.25">
      <c r="D89" t="s">
        <v>962</v>
      </c>
      <c r="E89">
        <v>2457575.4980000001</v>
      </c>
      <c r="F89" t="s">
        <v>1937</v>
      </c>
      <c r="G89">
        <v>13.31</v>
      </c>
      <c r="H89">
        <v>0.05</v>
      </c>
      <c r="I89" t="s">
        <v>65</v>
      </c>
      <c r="J89" t="s">
        <v>66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27</v>
      </c>
      <c r="B91" t="s">
        <v>31</v>
      </c>
      <c r="C91" t="s">
        <v>67</v>
      </c>
      <c r="D91" t="s">
        <v>68</v>
      </c>
      <c r="E91" t="s">
        <v>31</v>
      </c>
      <c r="F91" t="s">
        <v>69</v>
      </c>
    </row>
    <row r="92" spans="1:11" x14ac:dyDescent="0.25">
      <c r="A92" t="s">
        <v>1306</v>
      </c>
    </row>
  </sheetData>
  <hyperlinks>
    <hyperlink ref="L1" r:id="rId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:Q92"/>
  <sheetViews>
    <sheetView workbookViewId="0"/>
  </sheetViews>
  <sheetFormatPr baseColWidth="10" defaultRowHeight="15" x14ac:dyDescent="0.25"/>
  <cols>
    <col min="1" max="1" width="12.140625" customWidth="1"/>
    <col min="2" max="2" width="23.7109375" customWidth="1"/>
    <col min="3" max="3" width="12.28515625" bestFit="1" customWidth="1"/>
    <col min="4" max="4" width="18" customWidth="1"/>
    <col min="5" max="5" width="15.5703125" bestFit="1" customWidth="1"/>
    <col min="6" max="6" width="30.8554687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1434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1938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1435</v>
      </c>
      <c r="E17">
        <v>2457479.4311299999</v>
      </c>
      <c r="F17" t="s">
        <v>1436</v>
      </c>
      <c r="G17">
        <v>7.9409999999999998</v>
      </c>
      <c r="H17">
        <v>3.5999999999999997E-2</v>
      </c>
      <c r="I17" t="s">
        <v>18</v>
      </c>
      <c r="J17" t="s">
        <v>19</v>
      </c>
      <c r="K17" t="s">
        <v>20</v>
      </c>
      <c r="M17" t="str">
        <f>+I17</f>
        <v>V</v>
      </c>
      <c r="N17">
        <f>+G17</f>
        <v>7.9409999999999998</v>
      </c>
      <c r="O17" t="str">
        <f>+J17</f>
        <v>BDG</v>
      </c>
      <c r="P17">
        <f>+E17</f>
        <v>2457479.4311299999</v>
      </c>
      <c r="Q17" t="str">
        <f>+F17</f>
        <v>2016 Mar. 31.93113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B</v>
      </c>
      <c r="N18">
        <f>+G20</f>
        <v>10.085000000000001</v>
      </c>
      <c r="O18" t="str">
        <f>+J20</f>
        <v>BDG</v>
      </c>
      <c r="P18">
        <f>+E20</f>
        <v>2457479.4310699999</v>
      </c>
      <c r="Q18" t="str">
        <f>+F20</f>
        <v>2016 Mar. 31.93107</v>
      </c>
    </row>
    <row r="19" spans="1:17" x14ac:dyDescent="0.25">
      <c r="A19" t="s">
        <v>1437</v>
      </c>
      <c r="B19" t="s">
        <v>1438</v>
      </c>
      <c r="C19" t="s">
        <v>29</v>
      </c>
      <c r="D19" t="s">
        <v>1439</v>
      </c>
      <c r="E19" t="s">
        <v>31</v>
      </c>
      <c r="F19" t="s">
        <v>1440</v>
      </c>
      <c r="M19" t="str">
        <f>+I23</f>
        <v>V</v>
      </c>
      <c r="N19">
        <f>+G23</f>
        <v>7.9359999999999999</v>
      </c>
      <c r="O19" t="str">
        <f>+J23</f>
        <v>SBL</v>
      </c>
      <c r="P19">
        <f>+E23</f>
        <v>2457476.8832800002</v>
      </c>
      <c r="Q19" t="str">
        <f>+F23</f>
        <v>2016 Mar. 29.38328</v>
      </c>
    </row>
    <row r="20" spans="1:17" x14ac:dyDescent="0.25">
      <c r="D20" t="s">
        <v>1435</v>
      </c>
      <c r="E20">
        <v>2457479.4310699999</v>
      </c>
      <c r="F20" t="s">
        <v>1441</v>
      </c>
      <c r="G20">
        <v>10.085000000000001</v>
      </c>
      <c r="H20">
        <v>3.1E-2</v>
      </c>
      <c r="I20" t="s">
        <v>34</v>
      </c>
      <c r="J20" t="s">
        <v>19</v>
      </c>
      <c r="K20" t="s">
        <v>20</v>
      </c>
      <c r="M20" t="str">
        <f>+I26</f>
        <v>V</v>
      </c>
      <c r="N20">
        <f>+G26</f>
        <v>7.95</v>
      </c>
      <c r="O20" t="str">
        <f>+J26</f>
        <v>SBL</v>
      </c>
      <c r="P20">
        <f>+E26</f>
        <v>2457476.8826299999</v>
      </c>
      <c r="Q20" t="str">
        <f>+F26</f>
        <v>2016 Mar. 29.38263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B</v>
      </c>
      <c r="N21">
        <f>+G29</f>
        <v>10.064</v>
      </c>
      <c r="O21" t="str">
        <f>+J29</f>
        <v>SBL</v>
      </c>
      <c r="P21">
        <f>+E29</f>
        <v>2457476.8816800001</v>
      </c>
      <c r="Q21" t="str">
        <f>+F29</f>
        <v>2016 Mar. 29.38168</v>
      </c>
    </row>
    <row r="22" spans="1:17" x14ac:dyDescent="0.25">
      <c r="A22" t="s">
        <v>1442</v>
      </c>
      <c r="B22" t="s">
        <v>1443</v>
      </c>
      <c r="C22" t="s">
        <v>29</v>
      </c>
      <c r="D22" t="s">
        <v>1439</v>
      </c>
      <c r="E22" t="s">
        <v>31</v>
      </c>
      <c r="F22" t="s">
        <v>1444</v>
      </c>
      <c r="M22" t="str">
        <f>+I32</f>
        <v>B</v>
      </c>
      <c r="N22">
        <f>+G32</f>
        <v>10.063000000000001</v>
      </c>
      <c r="O22" t="str">
        <f>+J32</f>
        <v>SBL</v>
      </c>
      <c r="P22">
        <f>+E32</f>
        <v>2457476.88057</v>
      </c>
      <c r="Q22" t="str">
        <f>+F32</f>
        <v>2016 Mar. 29.38057</v>
      </c>
    </row>
    <row r="23" spans="1:17" x14ac:dyDescent="0.25">
      <c r="D23" t="s">
        <v>1435</v>
      </c>
      <c r="E23">
        <v>2457476.8832800002</v>
      </c>
      <c r="F23" t="s">
        <v>1939</v>
      </c>
      <c r="G23">
        <v>7.9359999999999999</v>
      </c>
      <c r="H23">
        <v>2E-3</v>
      </c>
      <c r="I23" t="s">
        <v>18</v>
      </c>
      <c r="J23" t="s">
        <v>72</v>
      </c>
      <c r="K23" t="s">
        <v>20</v>
      </c>
      <c r="M23" t="str">
        <f>+I35</f>
        <v>V</v>
      </c>
      <c r="N23">
        <f>+G35</f>
        <v>7.95</v>
      </c>
      <c r="O23" t="str">
        <f>+J35</f>
        <v>SBL</v>
      </c>
      <c r="P23">
        <f>+E35</f>
        <v>2457475.8852900001</v>
      </c>
      <c r="Q23" t="str">
        <f>+F35</f>
        <v>2016 Mar. 28.38529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7.9160000000000004</v>
      </c>
      <c r="O24" t="str">
        <f>+J38</f>
        <v>SBL</v>
      </c>
      <c r="P24">
        <f>+E38</f>
        <v>2457475.8852900001</v>
      </c>
      <c r="Q24" t="str">
        <f>+F38</f>
        <v>2016 Mar. 28.38529</v>
      </c>
    </row>
    <row r="25" spans="1:17" x14ac:dyDescent="0.25">
      <c r="A25" t="s">
        <v>27</v>
      </c>
      <c r="B25" t="s">
        <v>1940</v>
      </c>
      <c r="C25" t="s">
        <v>67</v>
      </c>
      <c r="D25">
        <v>160813</v>
      </c>
      <c r="E25" t="s">
        <v>31</v>
      </c>
      <c r="F25" t="s">
        <v>31</v>
      </c>
      <c r="M25" t="str">
        <f>+I41</f>
        <v>V</v>
      </c>
      <c r="N25">
        <f>+G41</f>
        <v>7.94</v>
      </c>
      <c r="O25" t="str">
        <f>+J41</f>
        <v>SBL</v>
      </c>
      <c r="P25">
        <f>+E41</f>
        <v>2457475.8846399998</v>
      </c>
      <c r="Q25" t="str">
        <f>+F41</f>
        <v>2016 Mar. 28.38464</v>
      </c>
    </row>
    <row r="26" spans="1:17" x14ac:dyDescent="0.25">
      <c r="D26" t="s">
        <v>1435</v>
      </c>
      <c r="E26">
        <v>2457476.8826299999</v>
      </c>
      <c r="F26" t="s">
        <v>1941</v>
      </c>
      <c r="G26">
        <v>7.95</v>
      </c>
      <c r="H26">
        <v>2E-3</v>
      </c>
      <c r="I26" t="s">
        <v>18</v>
      </c>
      <c r="J26" t="s">
        <v>72</v>
      </c>
      <c r="K26" t="s">
        <v>20</v>
      </c>
      <c r="M26" t="str">
        <f>+I44</f>
        <v>V</v>
      </c>
      <c r="N26">
        <f>+G44</f>
        <v>7.9260000000000002</v>
      </c>
      <c r="O26" t="str">
        <f>+J44</f>
        <v>SBL</v>
      </c>
      <c r="P26">
        <f>+E44</f>
        <v>2457475.8846399998</v>
      </c>
      <c r="Q26" t="str">
        <f>+F44</f>
        <v>2016 Mar. 28.38464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27</v>
      </c>
      <c r="B28" t="s">
        <v>1942</v>
      </c>
      <c r="C28" t="s">
        <v>67</v>
      </c>
      <c r="D28">
        <v>160813</v>
      </c>
      <c r="E28" t="s">
        <v>31</v>
      </c>
      <c r="F28" t="s">
        <v>31</v>
      </c>
    </row>
    <row r="29" spans="1:17" x14ac:dyDescent="0.25">
      <c r="D29" t="s">
        <v>1435</v>
      </c>
      <c r="E29">
        <v>2457476.8816800001</v>
      </c>
      <c r="F29" t="s">
        <v>1943</v>
      </c>
      <c r="G29">
        <v>10.064</v>
      </c>
      <c r="H29">
        <v>6.0000000000000001E-3</v>
      </c>
      <c r="I29" t="s">
        <v>34</v>
      </c>
      <c r="J29" t="s">
        <v>72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27</v>
      </c>
      <c r="B31" t="s">
        <v>1944</v>
      </c>
      <c r="C31" t="s">
        <v>67</v>
      </c>
      <c r="D31">
        <v>160813</v>
      </c>
      <c r="E31" t="s">
        <v>31</v>
      </c>
      <c r="F31" t="s">
        <v>31</v>
      </c>
    </row>
    <row r="32" spans="1:17" x14ac:dyDescent="0.25">
      <c r="D32" t="s">
        <v>1435</v>
      </c>
      <c r="E32">
        <v>2457476.88057</v>
      </c>
      <c r="F32" t="s">
        <v>1945</v>
      </c>
      <c r="G32">
        <v>10.063000000000001</v>
      </c>
      <c r="H32">
        <v>7.0000000000000001E-3</v>
      </c>
      <c r="I32" t="s">
        <v>34</v>
      </c>
      <c r="J32" t="s">
        <v>72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27</v>
      </c>
      <c r="B34" t="s">
        <v>1946</v>
      </c>
      <c r="C34" t="s">
        <v>67</v>
      </c>
      <c r="D34">
        <v>160813</v>
      </c>
      <c r="E34" t="s">
        <v>31</v>
      </c>
      <c r="F34" t="s">
        <v>31</v>
      </c>
    </row>
    <row r="35" spans="1:11" x14ac:dyDescent="0.25">
      <c r="D35" t="s">
        <v>1435</v>
      </c>
      <c r="E35">
        <v>2457475.8852900001</v>
      </c>
      <c r="F35" t="s">
        <v>1947</v>
      </c>
      <c r="G35">
        <v>7.95</v>
      </c>
      <c r="H35">
        <v>2E-3</v>
      </c>
      <c r="I35" t="s">
        <v>18</v>
      </c>
      <c r="J35" t="s">
        <v>72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27</v>
      </c>
      <c r="B37" t="s">
        <v>1949</v>
      </c>
      <c r="C37" t="s">
        <v>67</v>
      </c>
      <c r="D37">
        <v>160816</v>
      </c>
      <c r="E37" t="s">
        <v>31</v>
      </c>
      <c r="F37" t="s">
        <v>31</v>
      </c>
    </row>
    <row r="38" spans="1:11" x14ac:dyDescent="0.25">
      <c r="D38" t="s">
        <v>1435</v>
      </c>
      <c r="E38">
        <v>2457475.8852900001</v>
      </c>
      <c r="F38" t="s">
        <v>1947</v>
      </c>
      <c r="G38">
        <v>7.9160000000000004</v>
      </c>
      <c r="H38">
        <v>2E-3</v>
      </c>
      <c r="I38" t="s">
        <v>18</v>
      </c>
      <c r="J38" t="s">
        <v>72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27</v>
      </c>
      <c r="B40" t="s">
        <v>1948</v>
      </c>
      <c r="C40" t="s">
        <v>67</v>
      </c>
      <c r="D40">
        <v>160813</v>
      </c>
      <c r="E40" t="s">
        <v>31</v>
      </c>
      <c r="F40" t="s">
        <v>31</v>
      </c>
    </row>
    <row r="41" spans="1:11" x14ac:dyDescent="0.25">
      <c r="D41" t="s">
        <v>1435</v>
      </c>
      <c r="E41">
        <v>2457475.8846399998</v>
      </c>
      <c r="F41" t="s">
        <v>1950</v>
      </c>
      <c r="G41">
        <v>7.94</v>
      </c>
      <c r="H41">
        <v>2E-3</v>
      </c>
      <c r="I41" t="s">
        <v>18</v>
      </c>
      <c r="J41" t="s">
        <v>72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27</v>
      </c>
      <c r="B43" t="s">
        <v>1952</v>
      </c>
      <c r="C43" t="s">
        <v>67</v>
      </c>
      <c r="D43">
        <v>160816</v>
      </c>
      <c r="E43" t="s">
        <v>31</v>
      </c>
      <c r="F43" t="s">
        <v>31</v>
      </c>
    </row>
    <row r="44" spans="1:11" x14ac:dyDescent="0.25">
      <c r="D44" t="s">
        <v>1435</v>
      </c>
      <c r="E44">
        <v>2457475.8846399998</v>
      </c>
      <c r="F44" t="s">
        <v>1950</v>
      </c>
      <c r="G44">
        <v>7.9260000000000002</v>
      </c>
      <c r="H44">
        <v>2E-3</v>
      </c>
      <c r="I44" t="s">
        <v>18</v>
      </c>
      <c r="J44" t="s">
        <v>72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27</v>
      </c>
      <c r="B46" t="s">
        <v>1951</v>
      </c>
      <c r="C46" t="s">
        <v>67</v>
      </c>
      <c r="D46">
        <v>160813</v>
      </c>
      <c r="E46" t="s">
        <v>31</v>
      </c>
      <c r="F46" t="s">
        <v>31</v>
      </c>
    </row>
    <row r="47" spans="1:11" x14ac:dyDescent="0.25">
      <c r="D47" t="s">
        <v>1435</v>
      </c>
      <c r="E47">
        <v>2457475.88369</v>
      </c>
      <c r="F47" t="s">
        <v>1953</v>
      </c>
      <c r="G47">
        <v>10.02</v>
      </c>
      <c r="H47">
        <v>7.0000000000000001E-3</v>
      </c>
      <c r="I47" t="s">
        <v>34</v>
      </c>
      <c r="J47" t="s">
        <v>72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27</v>
      </c>
      <c r="B49" t="s">
        <v>1955</v>
      </c>
      <c r="C49" t="s">
        <v>67</v>
      </c>
      <c r="D49">
        <v>160816</v>
      </c>
      <c r="E49" t="s">
        <v>31</v>
      </c>
      <c r="F49" t="s">
        <v>31</v>
      </c>
    </row>
    <row r="50" spans="1:11" x14ac:dyDescent="0.25">
      <c r="D50" t="s">
        <v>1435</v>
      </c>
      <c r="E50">
        <v>2457475.88369</v>
      </c>
      <c r="F50" t="s">
        <v>1953</v>
      </c>
      <c r="G50">
        <v>10.003</v>
      </c>
      <c r="H50">
        <v>6.0000000000000001E-3</v>
      </c>
      <c r="I50" t="s">
        <v>34</v>
      </c>
      <c r="J50" t="s">
        <v>72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27</v>
      </c>
      <c r="B52" t="s">
        <v>1954</v>
      </c>
      <c r="C52" t="s">
        <v>67</v>
      </c>
      <c r="D52">
        <v>160813</v>
      </c>
      <c r="E52" t="s">
        <v>31</v>
      </c>
      <c r="F52" t="s">
        <v>31</v>
      </c>
    </row>
    <row r="53" spans="1:11" x14ac:dyDescent="0.25">
      <c r="D53" t="s">
        <v>1435</v>
      </c>
      <c r="E53">
        <v>2457475.8823799998</v>
      </c>
      <c r="F53" t="s">
        <v>1956</v>
      </c>
      <c r="G53">
        <v>10.077</v>
      </c>
      <c r="H53">
        <v>7.0000000000000001E-3</v>
      </c>
      <c r="I53" t="s">
        <v>34</v>
      </c>
      <c r="J53" t="s">
        <v>72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27</v>
      </c>
      <c r="B55" t="s">
        <v>1958</v>
      </c>
      <c r="C55" t="s">
        <v>67</v>
      </c>
      <c r="D55">
        <v>160816</v>
      </c>
      <c r="E55" t="s">
        <v>31</v>
      </c>
      <c r="F55" t="s">
        <v>31</v>
      </c>
    </row>
    <row r="56" spans="1:11" x14ac:dyDescent="0.25">
      <c r="D56" t="s">
        <v>1435</v>
      </c>
      <c r="E56">
        <v>2457475.8823799998</v>
      </c>
      <c r="F56" t="s">
        <v>1956</v>
      </c>
      <c r="G56">
        <v>10.051</v>
      </c>
      <c r="H56">
        <v>6.0000000000000001E-3</v>
      </c>
      <c r="I56" t="s">
        <v>34</v>
      </c>
      <c r="J56" t="s">
        <v>72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27</v>
      </c>
      <c r="B58" t="s">
        <v>1957</v>
      </c>
      <c r="C58" t="s">
        <v>67</v>
      </c>
      <c r="D58">
        <v>160813</v>
      </c>
      <c r="E58" t="s">
        <v>31</v>
      </c>
      <c r="F58" t="s">
        <v>31</v>
      </c>
    </row>
    <row r="59" spans="1:11" x14ac:dyDescent="0.25">
      <c r="D59" t="s">
        <v>1435</v>
      </c>
      <c r="E59">
        <v>2457473.8915200001</v>
      </c>
      <c r="F59" t="s">
        <v>1959</v>
      </c>
      <c r="G59">
        <v>7.9320000000000004</v>
      </c>
      <c r="H59">
        <v>2E-3</v>
      </c>
      <c r="I59" t="s">
        <v>18</v>
      </c>
      <c r="J59" t="s">
        <v>72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27</v>
      </c>
      <c r="B61" t="s">
        <v>1960</v>
      </c>
      <c r="C61" t="s">
        <v>67</v>
      </c>
      <c r="D61">
        <v>160813</v>
      </c>
      <c r="E61" t="s">
        <v>31</v>
      </c>
      <c r="F61" t="s">
        <v>31</v>
      </c>
    </row>
    <row r="62" spans="1:11" x14ac:dyDescent="0.25">
      <c r="D62" t="s">
        <v>1435</v>
      </c>
      <c r="E62">
        <v>2457473.8908699998</v>
      </c>
      <c r="F62" t="s">
        <v>1961</v>
      </c>
      <c r="G62">
        <v>7.952</v>
      </c>
      <c r="H62">
        <v>2E-3</v>
      </c>
      <c r="I62" t="s">
        <v>18</v>
      </c>
      <c r="J62" t="s">
        <v>72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27</v>
      </c>
      <c r="B64" t="s">
        <v>1940</v>
      </c>
      <c r="C64" t="s">
        <v>67</v>
      </c>
      <c r="D64">
        <v>160813</v>
      </c>
      <c r="E64" t="s">
        <v>31</v>
      </c>
      <c r="F64" t="s">
        <v>31</v>
      </c>
    </row>
    <row r="65" spans="1:11" x14ac:dyDescent="0.25">
      <c r="D65" t="s">
        <v>1435</v>
      </c>
      <c r="E65">
        <v>2457473.8888099999</v>
      </c>
      <c r="F65" t="s">
        <v>1962</v>
      </c>
      <c r="G65">
        <v>10.045999999999999</v>
      </c>
      <c r="H65">
        <v>6.0000000000000001E-3</v>
      </c>
      <c r="I65" t="s">
        <v>34</v>
      </c>
      <c r="J65" t="s">
        <v>72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27</v>
      </c>
      <c r="B67" t="s">
        <v>1963</v>
      </c>
      <c r="C67" t="s">
        <v>67</v>
      </c>
      <c r="D67">
        <v>160813</v>
      </c>
      <c r="E67" t="s">
        <v>31</v>
      </c>
      <c r="F67" t="s">
        <v>31</v>
      </c>
    </row>
    <row r="68" spans="1:11" x14ac:dyDescent="0.25">
      <c r="D68" t="s">
        <v>1435</v>
      </c>
      <c r="E68">
        <v>2457456.5542199998</v>
      </c>
      <c r="F68" t="s">
        <v>1964</v>
      </c>
      <c r="G68">
        <v>8.0380000000000003</v>
      </c>
      <c r="H68">
        <v>4.0000000000000001E-3</v>
      </c>
      <c r="I68" t="s">
        <v>18</v>
      </c>
      <c r="J68" t="s">
        <v>72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1965</v>
      </c>
      <c r="C70" t="s">
        <v>67</v>
      </c>
      <c r="D70">
        <v>160813</v>
      </c>
      <c r="E70" t="s">
        <v>31</v>
      </c>
      <c r="F70" t="s">
        <v>31</v>
      </c>
    </row>
    <row r="71" spans="1:11" x14ac:dyDescent="0.25">
      <c r="D71" t="s">
        <v>1435</v>
      </c>
      <c r="E71">
        <v>2457456.55351</v>
      </c>
      <c r="F71" t="s">
        <v>1966</v>
      </c>
      <c r="G71">
        <v>8.09</v>
      </c>
      <c r="H71">
        <v>4.0000000000000001E-3</v>
      </c>
      <c r="I71" t="s">
        <v>18</v>
      </c>
      <c r="J71" t="s">
        <v>72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27</v>
      </c>
      <c r="B73" t="s">
        <v>1967</v>
      </c>
      <c r="C73" t="s">
        <v>67</v>
      </c>
      <c r="D73">
        <v>160813</v>
      </c>
      <c r="E73" t="s">
        <v>31</v>
      </c>
      <c r="F73" t="s">
        <v>31</v>
      </c>
    </row>
    <row r="74" spans="1:11" x14ac:dyDescent="0.25">
      <c r="D74" t="s">
        <v>1435</v>
      </c>
      <c r="E74">
        <v>2457456.55253</v>
      </c>
      <c r="F74" t="s">
        <v>1968</v>
      </c>
      <c r="G74">
        <v>9.9290000000000003</v>
      </c>
      <c r="H74">
        <v>1.0999999999999999E-2</v>
      </c>
      <c r="I74" t="s">
        <v>34</v>
      </c>
      <c r="J74" t="s">
        <v>72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27</v>
      </c>
      <c r="B76" t="s">
        <v>1969</v>
      </c>
      <c r="C76" t="s">
        <v>67</v>
      </c>
      <c r="D76">
        <v>160813</v>
      </c>
      <c r="E76" t="s">
        <v>31</v>
      </c>
      <c r="F76" t="s">
        <v>31</v>
      </c>
    </row>
    <row r="77" spans="1:11" x14ac:dyDescent="0.25">
      <c r="D77" t="s">
        <v>1435</v>
      </c>
      <c r="E77">
        <v>2457456.5513499998</v>
      </c>
      <c r="F77" t="s">
        <v>1970</v>
      </c>
      <c r="G77">
        <v>9.9260000000000002</v>
      </c>
      <c r="H77">
        <v>8.9999999999999993E-3</v>
      </c>
      <c r="I77" t="s">
        <v>34</v>
      </c>
      <c r="J77" t="s">
        <v>72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27</v>
      </c>
      <c r="B79" t="s">
        <v>1971</v>
      </c>
      <c r="C79" t="s">
        <v>67</v>
      </c>
      <c r="D79">
        <v>160813</v>
      </c>
      <c r="E79" t="s">
        <v>31</v>
      </c>
      <c r="F79" t="s">
        <v>31</v>
      </c>
    </row>
    <row r="80" spans="1:11" x14ac:dyDescent="0.25">
      <c r="D80" t="s">
        <v>1435</v>
      </c>
      <c r="E80">
        <v>2457374.03627</v>
      </c>
      <c r="F80" t="s">
        <v>1445</v>
      </c>
      <c r="G80">
        <v>7.89</v>
      </c>
      <c r="H80">
        <v>2E-3</v>
      </c>
      <c r="I80" t="s">
        <v>18</v>
      </c>
      <c r="J80" t="s">
        <v>72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27</v>
      </c>
      <c r="B82" t="s">
        <v>1446</v>
      </c>
      <c r="C82" t="s">
        <v>67</v>
      </c>
      <c r="D82">
        <v>151218</v>
      </c>
      <c r="E82" t="s">
        <v>31</v>
      </c>
      <c r="F82" t="s">
        <v>31</v>
      </c>
    </row>
    <row r="83" spans="1:11" x14ac:dyDescent="0.25">
      <c r="D83" t="s">
        <v>1435</v>
      </c>
      <c r="E83">
        <v>2457374.0332900002</v>
      </c>
      <c r="F83" t="s">
        <v>1447</v>
      </c>
      <c r="G83">
        <v>9.7240000000000002</v>
      </c>
      <c r="H83">
        <v>5.0000000000000001E-3</v>
      </c>
      <c r="I83" t="s">
        <v>34</v>
      </c>
      <c r="J83" t="s">
        <v>72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27</v>
      </c>
      <c r="B85" t="s">
        <v>1448</v>
      </c>
      <c r="C85" t="s">
        <v>67</v>
      </c>
      <c r="D85">
        <v>151218</v>
      </c>
      <c r="E85" t="s">
        <v>31</v>
      </c>
      <c r="F85" t="s">
        <v>31</v>
      </c>
    </row>
    <row r="86" spans="1:11" x14ac:dyDescent="0.25">
      <c r="D86" t="s">
        <v>1435</v>
      </c>
      <c r="E86">
        <v>2457371.0475599999</v>
      </c>
      <c r="F86" t="s">
        <v>1449</v>
      </c>
      <c r="G86">
        <v>7.8979999999999997</v>
      </c>
      <c r="H86">
        <v>2E-3</v>
      </c>
      <c r="I86" t="s">
        <v>18</v>
      </c>
      <c r="J86" t="s">
        <v>72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27</v>
      </c>
      <c r="B88" t="s">
        <v>1450</v>
      </c>
      <c r="C88" t="s">
        <v>67</v>
      </c>
      <c r="D88">
        <v>151218</v>
      </c>
      <c r="E88" t="s">
        <v>31</v>
      </c>
      <c r="F88" t="s">
        <v>31</v>
      </c>
    </row>
    <row r="89" spans="1:11" x14ac:dyDescent="0.25">
      <c r="D89" t="s">
        <v>1435</v>
      </c>
      <c r="E89">
        <v>2457371.0456699999</v>
      </c>
      <c r="F89" t="s">
        <v>1451</v>
      </c>
      <c r="G89">
        <v>9.8510000000000009</v>
      </c>
      <c r="H89">
        <v>6.0000000000000001E-3</v>
      </c>
      <c r="I89" t="s">
        <v>34</v>
      </c>
      <c r="J89" t="s">
        <v>72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27</v>
      </c>
      <c r="B91" t="s">
        <v>1452</v>
      </c>
      <c r="C91" t="s">
        <v>67</v>
      </c>
      <c r="D91">
        <v>151218</v>
      </c>
      <c r="E91" t="s">
        <v>31</v>
      </c>
      <c r="F91" t="s">
        <v>31</v>
      </c>
    </row>
    <row r="92" spans="1:11" x14ac:dyDescent="0.25">
      <c r="A92" t="s">
        <v>1431</v>
      </c>
    </row>
  </sheetData>
  <hyperlinks>
    <hyperlink ref="L1" r:id="rId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:Q92"/>
  <sheetViews>
    <sheetView workbookViewId="0"/>
  </sheetViews>
  <sheetFormatPr baseColWidth="10" defaultRowHeight="15" x14ac:dyDescent="0.25"/>
  <cols>
    <col min="1" max="1" width="19.28515625" customWidth="1"/>
    <col min="2" max="2" width="19" customWidth="1"/>
    <col min="3" max="3" width="12.28515625" bestFit="1" customWidth="1"/>
    <col min="4" max="4" width="9.42578125" customWidth="1"/>
    <col min="5" max="5" width="15.5703125" bestFit="1" customWidth="1"/>
    <col min="6" max="6" width="81.140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1272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2541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1273</v>
      </c>
      <c r="E17">
        <v>2457716.67411</v>
      </c>
      <c r="F17" t="s">
        <v>2542</v>
      </c>
      <c r="G17">
        <v>8.8469999999999995</v>
      </c>
      <c r="H17">
        <v>2E-3</v>
      </c>
      <c r="I17" t="s">
        <v>18</v>
      </c>
      <c r="J17" t="s">
        <v>2543</v>
      </c>
      <c r="K17" t="s">
        <v>20</v>
      </c>
      <c r="M17" t="str">
        <f>+I17</f>
        <v>V</v>
      </c>
      <c r="N17">
        <f>+G17</f>
        <v>8.8469999999999995</v>
      </c>
      <c r="O17" t="str">
        <f>+J17</f>
        <v>APAA</v>
      </c>
      <c r="P17">
        <f>+E17</f>
        <v>2457716.67411</v>
      </c>
      <c r="Q17" t="str">
        <f>+F17</f>
        <v>2016 Nov. 24.17411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B</v>
      </c>
      <c r="N18">
        <f>+G20</f>
        <v>10.24</v>
      </c>
      <c r="O18" t="str">
        <f>+J20</f>
        <v>APAA</v>
      </c>
      <c r="P18">
        <f>+E20</f>
        <v>2457716.6710799998</v>
      </c>
      <c r="Q18" t="str">
        <f>+F20</f>
        <v>2016 Nov. 24.17108</v>
      </c>
    </row>
    <row r="19" spans="1:17" x14ac:dyDescent="0.25">
      <c r="A19" t="s">
        <v>2544</v>
      </c>
      <c r="B19" t="s">
        <v>2545</v>
      </c>
      <c r="C19" t="s">
        <v>29</v>
      </c>
      <c r="D19" t="s">
        <v>2546</v>
      </c>
      <c r="E19" t="s">
        <v>31</v>
      </c>
      <c r="F19" t="s">
        <v>2547</v>
      </c>
      <c r="M19" t="str">
        <f>+I23</f>
        <v>B</v>
      </c>
      <c r="N19">
        <f>+G23</f>
        <v>10.416</v>
      </c>
      <c r="O19" t="str">
        <f>+J23</f>
        <v>SAH</v>
      </c>
      <c r="P19">
        <f>+E23</f>
        <v>2457684.8612600002</v>
      </c>
      <c r="Q19" t="str">
        <f>+F23</f>
        <v>2016 Oct. 23.36126</v>
      </c>
    </row>
    <row r="20" spans="1:17" x14ac:dyDescent="0.25">
      <c r="D20" t="s">
        <v>1273</v>
      </c>
      <c r="E20">
        <v>2457716.6710799998</v>
      </c>
      <c r="F20" t="s">
        <v>2548</v>
      </c>
      <c r="G20">
        <v>10.24</v>
      </c>
      <c r="H20">
        <v>5.0000000000000001E-3</v>
      </c>
      <c r="I20" t="s">
        <v>34</v>
      </c>
      <c r="J20" t="s">
        <v>2543</v>
      </c>
      <c r="K20" t="s">
        <v>20</v>
      </c>
      <c r="M20" t="str">
        <f>+I26</f>
        <v>R</v>
      </c>
      <c r="N20">
        <f>+G26</f>
        <v>5.95</v>
      </c>
      <c r="O20" t="str">
        <f>+J26</f>
        <v>SAH</v>
      </c>
      <c r="P20">
        <f>+E26</f>
        <v>2457684.8584099999</v>
      </c>
      <c r="Q20" t="str">
        <f>+F26</f>
        <v>2016 Oct. 23.35841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9.1609999999999996</v>
      </c>
      <c r="O21" t="str">
        <f>+J29</f>
        <v>SAH</v>
      </c>
      <c r="P21">
        <f>+E29</f>
        <v>2457684.85402</v>
      </c>
      <c r="Q21" t="str">
        <f>+F29</f>
        <v>2016 Oct. 23.35402</v>
      </c>
    </row>
    <row r="22" spans="1:17" x14ac:dyDescent="0.25">
      <c r="A22" t="s">
        <v>2549</v>
      </c>
      <c r="B22" t="s">
        <v>2550</v>
      </c>
      <c r="C22" t="s">
        <v>29</v>
      </c>
      <c r="D22" t="s">
        <v>2546</v>
      </c>
      <c r="E22" t="s">
        <v>31</v>
      </c>
      <c r="F22" t="s">
        <v>2551</v>
      </c>
      <c r="M22" t="str">
        <f>+I32</f>
        <v>I</v>
      </c>
      <c r="N22">
        <f>+G32</f>
        <v>3.1949999999999998</v>
      </c>
      <c r="O22" t="str">
        <f>+J32</f>
        <v>SAH</v>
      </c>
      <c r="P22">
        <f>+E32</f>
        <v>2457684.7129099998</v>
      </c>
      <c r="Q22" t="str">
        <f>+F32</f>
        <v>2016 Oct. 23.21291</v>
      </c>
    </row>
    <row r="23" spans="1:17" x14ac:dyDescent="0.25">
      <c r="D23" t="s">
        <v>1273</v>
      </c>
      <c r="E23">
        <v>2457684.8612600002</v>
      </c>
      <c r="F23" t="s">
        <v>2552</v>
      </c>
      <c r="G23">
        <v>10.416</v>
      </c>
      <c r="H23">
        <v>2.1000000000000001E-2</v>
      </c>
      <c r="I23" t="s">
        <v>34</v>
      </c>
      <c r="J23" t="s">
        <v>1274</v>
      </c>
      <c r="K23" t="s">
        <v>20</v>
      </c>
      <c r="M23" t="str">
        <f>+I35</f>
        <v>B</v>
      </c>
      <c r="N23">
        <f>+G35</f>
        <v>10.486000000000001</v>
      </c>
      <c r="O23" t="str">
        <f>+J35</f>
        <v>SAH</v>
      </c>
      <c r="P23">
        <f>+E35</f>
        <v>2457671.8109599999</v>
      </c>
      <c r="Q23" t="str">
        <f>+F35</f>
        <v>2016 Oct. 10.31096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I</v>
      </c>
      <c r="N24">
        <f>+G38</f>
        <v>3.1739999999999999</v>
      </c>
      <c r="O24" t="str">
        <f>+J38</f>
        <v>SAH</v>
      </c>
      <c r="P24">
        <f>+E38</f>
        <v>2457671.8102199999</v>
      </c>
      <c r="Q24" t="str">
        <f>+F38</f>
        <v>2016 Oct. 10.31022</v>
      </c>
    </row>
    <row r="25" spans="1:17" x14ac:dyDescent="0.25">
      <c r="A25" t="s">
        <v>27</v>
      </c>
      <c r="B25" t="s">
        <v>31</v>
      </c>
      <c r="C25" t="s">
        <v>67</v>
      </c>
      <c r="D25" t="s">
        <v>1276</v>
      </c>
      <c r="E25" t="s">
        <v>31</v>
      </c>
      <c r="F25" t="s">
        <v>31</v>
      </c>
      <c r="M25" t="str">
        <f>+I41</f>
        <v>R</v>
      </c>
      <c r="N25">
        <f>+G41</f>
        <v>5.95</v>
      </c>
      <c r="O25" t="str">
        <f>+J41</f>
        <v>SAH</v>
      </c>
      <c r="P25">
        <f>+E41</f>
        <v>2457671.8081399999</v>
      </c>
      <c r="Q25" t="str">
        <f>+F41</f>
        <v>2016 Oct. 10.30814</v>
      </c>
    </row>
    <row r="26" spans="1:17" x14ac:dyDescent="0.25">
      <c r="D26" t="s">
        <v>1273</v>
      </c>
      <c r="E26">
        <v>2457684.8584099999</v>
      </c>
      <c r="F26" t="s">
        <v>2553</v>
      </c>
      <c r="G26">
        <v>5.95</v>
      </c>
      <c r="H26">
        <v>1.0999999999999999E-2</v>
      </c>
      <c r="I26" t="s">
        <v>250</v>
      </c>
      <c r="J26" t="s">
        <v>1274</v>
      </c>
      <c r="K26" t="s">
        <v>20</v>
      </c>
      <c r="M26" t="str">
        <f>+I44</f>
        <v>V</v>
      </c>
      <c r="N26">
        <f>+G44</f>
        <v>9.1999999999999993</v>
      </c>
      <c r="O26" t="str">
        <f>+J44</f>
        <v>SAH</v>
      </c>
      <c r="P26">
        <f>+E44</f>
        <v>2457671.8052300001</v>
      </c>
      <c r="Q26" t="str">
        <f>+F44</f>
        <v>2016 Oct. 10.30523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27</v>
      </c>
      <c r="B28" t="s">
        <v>31</v>
      </c>
      <c r="C28" t="s">
        <v>67</v>
      </c>
      <c r="D28" t="s">
        <v>1276</v>
      </c>
      <c r="E28" t="s">
        <v>31</v>
      </c>
      <c r="F28" t="s">
        <v>31</v>
      </c>
    </row>
    <row r="29" spans="1:17" x14ac:dyDescent="0.25">
      <c r="D29" t="s">
        <v>1273</v>
      </c>
      <c r="E29">
        <v>2457684.85402</v>
      </c>
      <c r="F29" t="s">
        <v>2554</v>
      </c>
      <c r="G29">
        <v>9.1609999999999996</v>
      </c>
      <c r="H29">
        <v>8.9999999999999993E-3</v>
      </c>
      <c r="I29" t="s">
        <v>18</v>
      </c>
      <c r="J29" t="s">
        <v>1274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27</v>
      </c>
      <c r="B31" t="s">
        <v>31</v>
      </c>
      <c r="C31" t="s">
        <v>67</v>
      </c>
      <c r="D31" t="s">
        <v>1276</v>
      </c>
      <c r="E31" t="s">
        <v>31</v>
      </c>
      <c r="F31" t="s">
        <v>31</v>
      </c>
    </row>
    <row r="32" spans="1:17" x14ac:dyDescent="0.25">
      <c r="D32" t="s">
        <v>1273</v>
      </c>
      <c r="E32">
        <v>2457684.7129099998</v>
      </c>
      <c r="F32" t="s">
        <v>2555</v>
      </c>
      <c r="G32">
        <v>3.1949999999999998</v>
      </c>
      <c r="H32">
        <v>1.0999999999999999E-2</v>
      </c>
      <c r="I32" t="s">
        <v>249</v>
      </c>
      <c r="J32" t="s">
        <v>1274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27</v>
      </c>
      <c r="B34" t="s">
        <v>31</v>
      </c>
      <c r="C34" t="s">
        <v>67</v>
      </c>
      <c r="D34" t="s">
        <v>1275</v>
      </c>
      <c r="E34" t="s">
        <v>31</v>
      </c>
      <c r="F34" t="s">
        <v>31</v>
      </c>
    </row>
    <row r="35" spans="1:11" x14ac:dyDescent="0.25">
      <c r="D35" t="s">
        <v>1273</v>
      </c>
      <c r="E35">
        <v>2457671.8109599999</v>
      </c>
      <c r="F35" t="s">
        <v>2556</v>
      </c>
      <c r="G35">
        <v>10.486000000000001</v>
      </c>
      <c r="H35">
        <v>2.5000000000000001E-2</v>
      </c>
      <c r="I35" t="s">
        <v>34</v>
      </c>
      <c r="J35" t="s">
        <v>1274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27</v>
      </c>
      <c r="B37" t="s">
        <v>31</v>
      </c>
      <c r="C37" t="s">
        <v>67</v>
      </c>
      <c r="D37" t="s">
        <v>1276</v>
      </c>
      <c r="E37" t="s">
        <v>31</v>
      </c>
      <c r="F37" t="s">
        <v>31</v>
      </c>
    </row>
    <row r="38" spans="1:11" x14ac:dyDescent="0.25">
      <c r="D38" t="s">
        <v>1273</v>
      </c>
      <c r="E38">
        <v>2457671.8102199999</v>
      </c>
      <c r="F38" t="s">
        <v>2557</v>
      </c>
      <c r="G38">
        <v>3.1739999999999999</v>
      </c>
      <c r="H38">
        <v>1.2E-2</v>
      </c>
      <c r="I38" t="s">
        <v>249</v>
      </c>
      <c r="J38" t="s">
        <v>1274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27</v>
      </c>
      <c r="B40" t="s">
        <v>31</v>
      </c>
      <c r="C40" t="s">
        <v>67</v>
      </c>
      <c r="D40" t="s">
        <v>1275</v>
      </c>
      <c r="E40" t="s">
        <v>31</v>
      </c>
      <c r="F40" t="s">
        <v>31</v>
      </c>
    </row>
    <row r="41" spans="1:11" x14ac:dyDescent="0.25">
      <c r="D41" t="s">
        <v>1273</v>
      </c>
      <c r="E41">
        <v>2457671.8081399999</v>
      </c>
      <c r="F41" t="s">
        <v>2558</v>
      </c>
      <c r="G41">
        <v>5.95</v>
      </c>
      <c r="H41">
        <v>8.0000000000000002E-3</v>
      </c>
      <c r="I41" t="s">
        <v>250</v>
      </c>
      <c r="J41" t="s">
        <v>1274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27</v>
      </c>
      <c r="B43" t="s">
        <v>31</v>
      </c>
      <c r="C43" t="s">
        <v>67</v>
      </c>
      <c r="D43" t="s">
        <v>1276</v>
      </c>
      <c r="E43" t="s">
        <v>31</v>
      </c>
      <c r="F43" t="s">
        <v>31</v>
      </c>
    </row>
    <row r="44" spans="1:11" x14ac:dyDescent="0.25">
      <c r="D44" t="s">
        <v>1273</v>
      </c>
      <c r="E44">
        <v>2457671.8052300001</v>
      </c>
      <c r="F44" t="s">
        <v>2559</v>
      </c>
      <c r="G44">
        <v>9.1999999999999993</v>
      </c>
      <c r="H44">
        <v>1.2999999999999999E-2</v>
      </c>
      <c r="I44" t="s">
        <v>18</v>
      </c>
      <c r="J44" t="s">
        <v>1274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27</v>
      </c>
      <c r="B46" t="s">
        <v>31</v>
      </c>
      <c r="C46" t="s">
        <v>67</v>
      </c>
      <c r="D46" t="s">
        <v>1276</v>
      </c>
      <c r="E46" t="s">
        <v>31</v>
      </c>
      <c r="F46" t="s">
        <v>31</v>
      </c>
    </row>
    <row r="47" spans="1:11" x14ac:dyDescent="0.25">
      <c r="D47" t="s">
        <v>1273</v>
      </c>
      <c r="E47">
        <v>2457663.8229100001</v>
      </c>
      <c r="F47" t="s">
        <v>2560</v>
      </c>
      <c r="G47">
        <v>5.8070000000000004</v>
      </c>
      <c r="H47">
        <v>2.5000000000000001E-2</v>
      </c>
      <c r="I47" t="s">
        <v>250</v>
      </c>
      <c r="J47" t="s">
        <v>1274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27</v>
      </c>
      <c r="B49" t="s">
        <v>31</v>
      </c>
      <c r="C49" t="s">
        <v>67</v>
      </c>
      <c r="D49" t="s">
        <v>1276</v>
      </c>
      <c r="E49" t="s">
        <v>31</v>
      </c>
      <c r="F49" t="s">
        <v>31</v>
      </c>
    </row>
    <row r="50" spans="1:11" x14ac:dyDescent="0.25">
      <c r="D50" t="s">
        <v>1273</v>
      </c>
      <c r="E50">
        <v>2457663.8165000002</v>
      </c>
      <c r="F50" t="s">
        <v>2561</v>
      </c>
      <c r="G50">
        <v>8.9939999999999998</v>
      </c>
      <c r="H50">
        <v>9.4E-2</v>
      </c>
      <c r="I50" t="s">
        <v>18</v>
      </c>
      <c r="J50" t="s">
        <v>1274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27</v>
      </c>
      <c r="B52" t="s">
        <v>31</v>
      </c>
      <c r="C52" t="s">
        <v>67</v>
      </c>
      <c r="D52" t="s">
        <v>1276</v>
      </c>
      <c r="E52" t="s">
        <v>31</v>
      </c>
      <c r="F52" t="s">
        <v>31</v>
      </c>
    </row>
    <row r="53" spans="1:11" x14ac:dyDescent="0.25">
      <c r="D53" t="s">
        <v>1273</v>
      </c>
      <c r="E53">
        <v>2457663.8083500001</v>
      </c>
      <c r="F53" t="s">
        <v>2562</v>
      </c>
      <c r="G53">
        <v>10.457000000000001</v>
      </c>
      <c r="H53">
        <v>9.5000000000000001E-2</v>
      </c>
      <c r="I53" t="s">
        <v>34</v>
      </c>
      <c r="J53" t="s">
        <v>1274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27</v>
      </c>
      <c r="B55" t="s">
        <v>31</v>
      </c>
      <c r="C55" t="s">
        <v>67</v>
      </c>
      <c r="D55" t="s">
        <v>1276</v>
      </c>
      <c r="E55" t="s">
        <v>31</v>
      </c>
      <c r="F55" t="s">
        <v>31</v>
      </c>
    </row>
    <row r="56" spans="1:11" x14ac:dyDescent="0.25">
      <c r="D56" t="s">
        <v>1273</v>
      </c>
      <c r="E56">
        <v>2457661.8108799998</v>
      </c>
      <c r="F56" t="s">
        <v>2563</v>
      </c>
      <c r="G56">
        <v>2.9329999999999998</v>
      </c>
      <c r="H56">
        <v>4.8000000000000001E-2</v>
      </c>
      <c r="I56" t="s">
        <v>249</v>
      </c>
      <c r="J56" t="s">
        <v>1274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27</v>
      </c>
      <c r="B58" t="s">
        <v>31</v>
      </c>
      <c r="C58" t="s">
        <v>67</v>
      </c>
      <c r="D58" t="s">
        <v>1275</v>
      </c>
      <c r="E58" t="s">
        <v>31</v>
      </c>
      <c r="F58" t="s">
        <v>31</v>
      </c>
    </row>
    <row r="59" spans="1:11" x14ac:dyDescent="0.25">
      <c r="D59" t="s">
        <v>1273</v>
      </c>
      <c r="E59">
        <v>2457655.5819999999</v>
      </c>
      <c r="F59" t="s">
        <v>2564</v>
      </c>
      <c r="G59">
        <v>8.61</v>
      </c>
      <c r="H59" t="s">
        <v>31</v>
      </c>
      <c r="I59" t="s">
        <v>18</v>
      </c>
      <c r="J59" t="s">
        <v>372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373</v>
      </c>
      <c r="B61" t="s">
        <v>31</v>
      </c>
      <c r="C61" t="s">
        <v>67</v>
      </c>
      <c r="E61" t="s">
        <v>31</v>
      </c>
      <c r="F61" t="s">
        <v>31</v>
      </c>
    </row>
    <row r="62" spans="1:11" x14ac:dyDescent="0.25">
      <c r="D62" t="s">
        <v>1273</v>
      </c>
      <c r="E62">
        <v>2457642.84626</v>
      </c>
      <c r="F62" t="s">
        <v>2565</v>
      </c>
      <c r="G62">
        <v>8.64</v>
      </c>
      <c r="H62">
        <v>8.0000000000000002E-3</v>
      </c>
      <c r="I62" t="s">
        <v>18</v>
      </c>
      <c r="J62" t="s">
        <v>1274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27</v>
      </c>
      <c r="B64" t="s">
        <v>31</v>
      </c>
      <c r="C64" t="s">
        <v>67</v>
      </c>
      <c r="D64" t="s">
        <v>1276</v>
      </c>
      <c r="E64" t="s">
        <v>31</v>
      </c>
      <c r="F64" t="s">
        <v>31</v>
      </c>
    </row>
    <row r="65" spans="1:11" x14ac:dyDescent="0.25">
      <c r="D65" t="s">
        <v>1273</v>
      </c>
      <c r="E65">
        <v>2457642.84344</v>
      </c>
      <c r="F65" t="s">
        <v>2566</v>
      </c>
      <c r="G65">
        <v>9.9369999999999994</v>
      </c>
      <c r="H65">
        <v>2.1999999999999999E-2</v>
      </c>
      <c r="I65" t="s">
        <v>34</v>
      </c>
      <c r="J65" t="s">
        <v>1274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27</v>
      </c>
      <c r="B67" t="s">
        <v>31</v>
      </c>
      <c r="C67" t="s">
        <v>67</v>
      </c>
      <c r="D67" t="s">
        <v>1276</v>
      </c>
      <c r="E67" t="s">
        <v>31</v>
      </c>
      <c r="F67" t="s">
        <v>31</v>
      </c>
    </row>
    <row r="68" spans="1:11" x14ac:dyDescent="0.25">
      <c r="D68" t="s">
        <v>1273</v>
      </c>
      <c r="E68">
        <v>2457642.8399100001</v>
      </c>
      <c r="F68" t="s">
        <v>2567</v>
      </c>
      <c r="G68">
        <v>5.5270000000000001</v>
      </c>
      <c r="H68">
        <v>1.2999999999999999E-2</v>
      </c>
      <c r="I68" t="s">
        <v>250</v>
      </c>
      <c r="J68" t="s">
        <v>1274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31</v>
      </c>
      <c r="C70" t="s">
        <v>67</v>
      </c>
      <c r="D70" t="s">
        <v>1276</v>
      </c>
      <c r="E70" t="s">
        <v>31</v>
      </c>
      <c r="F70" t="s">
        <v>31</v>
      </c>
    </row>
    <row r="71" spans="1:11" x14ac:dyDescent="0.25">
      <c r="D71" t="s">
        <v>1273</v>
      </c>
      <c r="E71">
        <v>2457642.8335199999</v>
      </c>
      <c r="F71" t="s">
        <v>2568</v>
      </c>
      <c r="G71">
        <v>2.8940000000000001</v>
      </c>
      <c r="H71">
        <v>1.4999999999999999E-2</v>
      </c>
      <c r="I71" t="s">
        <v>249</v>
      </c>
      <c r="J71" t="s">
        <v>1274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27</v>
      </c>
      <c r="B73" t="s">
        <v>31</v>
      </c>
      <c r="C73" t="s">
        <v>67</v>
      </c>
      <c r="D73" t="s">
        <v>1275</v>
      </c>
      <c r="E73" t="s">
        <v>31</v>
      </c>
      <c r="F73" t="s">
        <v>31</v>
      </c>
    </row>
    <row r="74" spans="1:11" x14ac:dyDescent="0.25">
      <c r="D74" t="s">
        <v>1273</v>
      </c>
      <c r="E74">
        <v>2457640.6209999998</v>
      </c>
      <c r="F74" t="s">
        <v>2569</v>
      </c>
      <c r="G74">
        <v>8.32</v>
      </c>
      <c r="H74" t="s">
        <v>31</v>
      </c>
      <c r="I74" t="s">
        <v>18</v>
      </c>
      <c r="J74" t="s">
        <v>372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373</v>
      </c>
      <c r="B76" t="s">
        <v>31</v>
      </c>
      <c r="C76" t="s">
        <v>67</v>
      </c>
      <c r="E76" t="s">
        <v>31</v>
      </c>
      <c r="F76" t="s">
        <v>31</v>
      </c>
    </row>
    <row r="77" spans="1:11" x14ac:dyDescent="0.25">
      <c r="D77" t="s">
        <v>1273</v>
      </c>
      <c r="E77">
        <v>2457638.6290000002</v>
      </c>
      <c r="F77" t="s">
        <v>2570</v>
      </c>
      <c r="G77">
        <v>8.24</v>
      </c>
      <c r="H77" t="s">
        <v>31</v>
      </c>
      <c r="I77" t="s">
        <v>18</v>
      </c>
      <c r="J77" t="s">
        <v>372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373</v>
      </c>
      <c r="B79" t="s">
        <v>31</v>
      </c>
      <c r="C79" t="s">
        <v>67</v>
      </c>
      <c r="E79" t="s">
        <v>31</v>
      </c>
      <c r="F79" t="s">
        <v>31</v>
      </c>
    </row>
    <row r="80" spans="1:11" x14ac:dyDescent="0.25">
      <c r="D80" t="s">
        <v>1273</v>
      </c>
      <c r="E80">
        <v>2457633.8800900001</v>
      </c>
      <c r="F80" t="s">
        <v>2143</v>
      </c>
      <c r="G80">
        <v>5.3239999999999998</v>
      </c>
      <c r="H80">
        <v>1.2E-2</v>
      </c>
      <c r="I80" t="s">
        <v>250</v>
      </c>
      <c r="J80" t="s">
        <v>1274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27</v>
      </c>
      <c r="B82" t="s">
        <v>31</v>
      </c>
      <c r="C82" t="s">
        <v>67</v>
      </c>
      <c r="D82" t="s">
        <v>1276</v>
      </c>
      <c r="E82" t="s">
        <v>31</v>
      </c>
      <c r="F82" t="s">
        <v>31</v>
      </c>
    </row>
    <row r="83" spans="1:11" x14ac:dyDescent="0.25">
      <c r="D83" t="s">
        <v>1273</v>
      </c>
      <c r="E83">
        <v>2457633.8770900001</v>
      </c>
      <c r="F83" t="s">
        <v>2144</v>
      </c>
      <c r="G83">
        <v>8.3580000000000005</v>
      </c>
      <c r="H83">
        <v>0.01</v>
      </c>
      <c r="I83" t="s">
        <v>18</v>
      </c>
      <c r="J83" t="s">
        <v>1274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27</v>
      </c>
      <c r="B85" t="s">
        <v>31</v>
      </c>
      <c r="C85" t="s">
        <v>67</v>
      </c>
      <c r="D85" t="s">
        <v>1276</v>
      </c>
      <c r="E85" t="s">
        <v>31</v>
      </c>
      <c r="F85" t="s">
        <v>31</v>
      </c>
    </row>
    <row r="86" spans="1:11" x14ac:dyDescent="0.25">
      <c r="D86" t="s">
        <v>1273</v>
      </c>
      <c r="E86">
        <v>2457633.8738899999</v>
      </c>
      <c r="F86" t="s">
        <v>2145</v>
      </c>
      <c r="G86">
        <v>9.6850000000000005</v>
      </c>
      <c r="H86">
        <v>8.0000000000000002E-3</v>
      </c>
      <c r="I86" t="s">
        <v>34</v>
      </c>
      <c r="J86" t="s">
        <v>1274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27</v>
      </c>
      <c r="B88" t="s">
        <v>31</v>
      </c>
      <c r="C88" t="s">
        <v>67</v>
      </c>
      <c r="D88" t="s">
        <v>1276</v>
      </c>
      <c r="E88" t="s">
        <v>31</v>
      </c>
      <c r="F88" t="s">
        <v>31</v>
      </c>
    </row>
    <row r="89" spans="1:11" x14ac:dyDescent="0.25">
      <c r="D89" t="s">
        <v>1273</v>
      </c>
      <c r="E89">
        <v>2457633.8587600002</v>
      </c>
      <c r="F89" t="s">
        <v>2146</v>
      </c>
      <c r="G89">
        <v>2.706</v>
      </c>
      <c r="H89">
        <v>1.4999999999999999E-2</v>
      </c>
      <c r="I89" t="s">
        <v>249</v>
      </c>
      <c r="J89" t="s">
        <v>1274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27</v>
      </c>
      <c r="B91" t="s">
        <v>31</v>
      </c>
      <c r="C91" t="s">
        <v>67</v>
      </c>
      <c r="D91" t="s">
        <v>1275</v>
      </c>
      <c r="E91" t="s">
        <v>31</v>
      </c>
      <c r="F91" t="s">
        <v>31</v>
      </c>
    </row>
    <row r="92" spans="1:11" x14ac:dyDescent="0.25">
      <c r="A92" t="s">
        <v>2571</v>
      </c>
    </row>
  </sheetData>
  <hyperlinks>
    <hyperlink ref="L1" r:id="rId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/>
  <dimension ref="A1:Q92"/>
  <sheetViews>
    <sheetView workbookViewId="0">
      <selection activeCell="J8" sqref="J8"/>
    </sheetView>
  </sheetViews>
  <sheetFormatPr baseColWidth="10" defaultRowHeight="15" x14ac:dyDescent="0.25"/>
  <cols>
    <col min="1" max="2" width="10.140625" customWidth="1"/>
    <col min="3" max="3" width="12.28515625" bestFit="1" customWidth="1"/>
    <col min="4" max="4" width="8.28515625" customWidth="1"/>
    <col min="5" max="5" width="15.5703125" bestFit="1" customWidth="1"/>
    <col min="6" max="6" width="23.42578125" customWidth="1"/>
    <col min="7" max="7" width="10.5703125" customWidth="1"/>
    <col min="8" max="8" width="5.28515625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/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2355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908</v>
      </c>
      <c r="E17">
        <v>2457693.355</v>
      </c>
      <c r="F17" t="s">
        <v>2356</v>
      </c>
      <c r="G17">
        <v>12.67</v>
      </c>
      <c r="H17">
        <v>0.05</v>
      </c>
      <c r="I17" t="s">
        <v>65</v>
      </c>
      <c r="J17" t="s">
        <v>66</v>
      </c>
      <c r="K17" t="s">
        <v>20</v>
      </c>
      <c r="M17" t="str">
        <f>+I17</f>
        <v>TG</v>
      </c>
      <c r="N17">
        <f>+G17</f>
        <v>12.67</v>
      </c>
      <c r="O17" t="str">
        <f>+J17</f>
        <v>MEV</v>
      </c>
      <c r="P17">
        <f>+E17</f>
        <v>2457693.355</v>
      </c>
      <c r="Q17" t="str">
        <f>+F17</f>
        <v>2016 Oct. 31.85500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TG</v>
      </c>
      <c r="N18">
        <f>+G20</f>
        <v>12.68</v>
      </c>
      <c r="O18" t="str">
        <f>+J20</f>
        <v>MEV</v>
      </c>
      <c r="P18">
        <f>+E20</f>
        <v>2457691.2930000001</v>
      </c>
      <c r="Q18" t="str">
        <f>+F20</f>
        <v>2016 Oct. 29.79300</v>
      </c>
    </row>
    <row r="19" spans="1:17" x14ac:dyDescent="0.25">
      <c r="A19" t="s">
        <v>27</v>
      </c>
      <c r="B19" t="s">
        <v>31</v>
      </c>
      <c r="C19" t="s">
        <v>67</v>
      </c>
      <c r="D19" t="s">
        <v>68</v>
      </c>
      <c r="E19" t="s">
        <v>31</v>
      </c>
      <c r="F19" t="s">
        <v>69</v>
      </c>
      <c r="M19" t="str">
        <f>+I23</f>
        <v>TG</v>
      </c>
      <c r="N19">
        <f>+G23</f>
        <v>12.58</v>
      </c>
      <c r="O19" t="str">
        <f>+J23</f>
        <v>MEV</v>
      </c>
      <c r="P19">
        <f>+E23</f>
        <v>2457690.2949999999</v>
      </c>
      <c r="Q19" t="str">
        <f>+F23</f>
        <v>2016 Oct. 28.79500</v>
      </c>
    </row>
    <row r="20" spans="1:17" x14ac:dyDescent="0.25">
      <c r="D20" t="s">
        <v>908</v>
      </c>
      <c r="E20">
        <v>2457691.2930000001</v>
      </c>
      <c r="F20" t="s">
        <v>2357</v>
      </c>
      <c r="G20">
        <v>12.68</v>
      </c>
      <c r="H20">
        <v>0.05</v>
      </c>
      <c r="I20" t="s">
        <v>65</v>
      </c>
      <c r="J20" t="s">
        <v>66</v>
      </c>
      <c r="K20" t="s">
        <v>20</v>
      </c>
      <c r="M20" t="str">
        <f>+I26</f>
        <v>TG</v>
      </c>
      <c r="N20">
        <f>+G26</f>
        <v>12.64</v>
      </c>
      <c r="O20" t="str">
        <f>+J26</f>
        <v>MEV</v>
      </c>
      <c r="P20">
        <f>+E26</f>
        <v>2457683.318</v>
      </c>
      <c r="Q20" t="str">
        <f>+F26</f>
        <v>2016 Oct. 21.81800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TG</v>
      </c>
      <c r="N21">
        <f>+G29</f>
        <v>12.67</v>
      </c>
      <c r="O21" t="str">
        <f>+J29</f>
        <v>MEV</v>
      </c>
      <c r="P21">
        <f>+E29</f>
        <v>2457641.3709999998</v>
      </c>
      <c r="Q21" t="str">
        <f>+F29</f>
        <v>2016 Sep. 09.87100</v>
      </c>
    </row>
    <row r="22" spans="1:17" x14ac:dyDescent="0.25">
      <c r="A22" t="s">
        <v>27</v>
      </c>
      <c r="B22" t="s">
        <v>31</v>
      </c>
      <c r="C22" t="s">
        <v>67</v>
      </c>
      <c r="D22" t="s">
        <v>68</v>
      </c>
      <c r="E22" t="s">
        <v>31</v>
      </c>
      <c r="F22" t="s">
        <v>69</v>
      </c>
      <c r="M22" t="str">
        <f>+I32</f>
        <v>TG</v>
      </c>
      <c r="N22">
        <f>+G32</f>
        <v>12.64</v>
      </c>
      <c r="O22" t="str">
        <f>+J32</f>
        <v>MEV</v>
      </c>
      <c r="P22">
        <f>+E32</f>
        <v>2457640.375</v>
      </c>
      <c r="Q22" t="str">
        <f>+F32</f>
        <v>2016 Sep. 08.87500</v>
      </c>
    </row>
    <row r="23" spans="1:17" x14ac:dyDescent="0.25">
      <c r="D23" t="s">
        <v>908</v>
      </c>
      <c r="E23">
        <v>2457690.2949999999</v>
      </c>
      <c r="F23" t="s">
        <v>2358</v>
      </c>
      <c r="G23">
        <v>12.58</v>
      </c>
      <c r="H23">
        <v>0.05</v>
      </c>
      <c r="I23" t="s">
        <v>65</v>
      </c>
      <c r="J23" t="s">
        <v>66</v>
      </c>
      <c r="K23" t="s">
        <v>20</v>
      </c>
      <c r="M23" t="str">
        <f>+I35</f>
        <v>TG</v>
      </c>
      <c r="N23">
        <f>+G35</f>
        <v>12.66</v>
      </c>
      <c r="O23" t="str">
        <f>+J35</f>
        <v>MEV</v>
      </c>
      <c r="P23">
        <f>+E35</f>
        <v>2457639.4049999998</v>
      </c>
      <c r="Q23" t="str">
        <f>+F35</f>
        <v>2016 Sep. 07.90500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TG</v>
      </c>
      <c r="N24">
        <f>+G38</f>
        <v>12.68</v>
      </c>
      <c r="O24" t="str">
        <f>+J38</f>
        <v>MEV</v>
      </c>
      <c r="P24">
        <f>+E38</f>
        <v>2457629.4180000001</v>
      </c>
      <c r="Q24" t="str">
        <f>+F38</f>
        <v>2016 Aug. 28.91800</v>
      </c>
    </row>
    <row r="25" spans="1:17" x14ac:dyDescent="0.25">
      <c r="A25" t="s">
        <v>27</v>
      </c>
      <c r="B25" t="s">
        <v>31</v>
      </c>
      <c r="C25" t="s">
        <v>67</v>
      </c>
      <c r="D25" t="s">
        <v>68</v>
      </c>
      <c r="E25" t="s">
        <v>31</v>
      </c>
      <c r="F25" t="s">
        <v>69</v>
      </c>
      <c r="M25" t="str">
        <f>+I41</f>
        <v>TG</v>
      </c>
      <c r="N25">
        <f>+G41</f>
        <v>12.67</v>
      </c>
      <c r="O25" t="str">
        <f>+J41</f>
        <v>MEV</v>
      </c>
      <c r="P25">
        <f>+E41</f>
        <v>2457614.5079999999</v>
      </c>
      <c r="Q25" t="str">
        <f>+F41</f>
        <v>2016 Aug. 14.00800</v>
      </c>
    </row>
    <row r="26" spans="1:17" x14ac:dyDescent="0.25">
      <c r="D26" t="s">
        <v>908</v>
      </c>
      <c r="E26">
        <v>2457683.318</v>
      </c>
      <c r="F26" t="s">
        <v>2359</v>
      </c>
      <c r="G26">
        <v>12.64</v>
      </c>
      <c r="H26">
        <v>0.05</v>
      </c>
      <c r="I26" t="s">
        <v>65</v>
      </c>
      <c r="J26" t="s">
        <v>66</v>
      </c>
      <c r="K26" t="s">
        <v>20</v>
      </c>
      <c r="M26" t="str">
        <f>+I44</f>
        <v>TG</v>
      </c>
      <c r="N26">
        <f>+G44</f>
        <v>12.63</v>
      </c>
      <c r="O26" t="str">
        <f>+J44</f>
        <v>MEV</v>
      </c>
      <c r="P26">
        <f>+E44</f>
        <v>2457613.3769999999</v>
      </c>
      <c r="Q26" t="str">
        <f>+F44</f>
        <v>2016 Aug. 12.87700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27</v>
      </c>
      <c r="B28" t="s">
        <v>31</v>
      </c>
      <c r="C28" t="s">
        <v>67</v>
      </c>
      <c r="D28" t="s">
        <v>68</v>
      </c>
      <c r="E28" t="s">
        <v>31</v>
      </c>
      <c r="F28" t="s">
        <v>69</v>
      </c>
    </row>
    <row r="29" spans="1:17" x14ac:dyDescent="0.25">
      <c r="D29" t="s">
        <v>908</v>
      </c>
      <c r="E29">
        <v>2457641.3709999998</v>
      </c>
      <c r="F29" t="s">
        <v>2147</v>
      </c>
      <c r="G29">
        <v>12.67</v>
      </c>
      <c r="H29">
        <v>0.05</v>
      </c>
      <c r="I29" t="s">
        <v>65</v>
      </c>
      <c r="J29" t="s">
        <v>66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27</v>
      </c>
      <c r="B31" t="s">
        <v>31</v>
      </c>
      <c r="C31" t="s">
        <v>67</v>
      </c>
      <c r="D31" t="s">
        <v>68</v>
      </c>
      <c r="E31" t="s">
        <v>31</v>
      </c>
      <c r="F31" t="s">
        <v>69</v>
      </c>
    </row>
    <row r="32" spans="1:17" x14ac:dyDescent="0.25">
      <c r="D32" t="s">
        <v>908</v>
      </c>
      <c r="E32">
        <v>2457640.375</v>
      </c>
      <c r="F32" t="s">
        <v>2148</v>
      </c>
      <c r="G32">
        <v>12.64</v>
      </c>
      <c r="H32">
        <v>0.05</v>
      </c>
      <c r="I32" t="s">
        <v>65</v>
      </c>
      <c r="J32" t="s">
        <v>66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27</v>
      </c>
      <c r="B34" t="s">
        <v>31</v>
      </c>
      <c r="C34" t="s">
        <v>67</v>
      </c>
      <c r="D34" t="s">
        <v>68</v>
      </c>
      <c r="E34" t="s">
        <v>31</v>
      </c>
      <c r="F34" t="s">
        <v>69</v>
      </c>
    </row>
    <row r="35" spans="1:11" x14ac:dyDescent="0.25">
      <c r="D35" t="s">
        <v>908</v>
      </c>
      <c r="E35">
        <v>2457639.4049999998</v>
      </c>
      <c r="F35" t="s">
        <v>2149</v>
      </c>
      <c r="G35">
        <v>12.66</v>
      </c>
      <c r="H35">
        <v>0.05</v>
      </c>
      <c r="I35" t="s">
        <v>65</v>
      </c>
      <c r="J35" t="s">
        <v>66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27</v>
      </c>
      <c r="B37" t="s">
        <v>31</v>
      </c>
      <c r="C37" t="s">
        <v>67</v>
      </c>
      <c r="D37" t="s">
        <v>68</v>
      </c>
      <c r="E37" t="s">
        <v>31</v>
      </c>
      <c r="F37" t="s">
        <v>69</v>
      </c>
    </row>
    <row r="38" spans="1:11" x14ac:dyDescent="0.25">
      <c r="D38" t="s">
        <v>908</v>
      </c>
      <c r="E38">
        <v>2457629.4180000001</v>
      </c>
      <c r="F38" t="s">
        <v>2150</v>
      </c>
      <c r="G38">
        <v>12.68</v>
      </c>
      <c r="H38">
        <v>0.05</v>
      </c>
      <c r="I38" t="s">
        <v>65</v>
      </c>
      <c r="J38" t="s">
        <v>66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27</v>
      </c>
      <c r="B40" t="s">
        <v>31</v>
      </c>
      <c r="C40" t="s">
        <v>67</v>
      </c>
      <c r="D40" t="s">
        <v>68</v>
      </c>
      <c r="E40" t="s">
        <v>31</v>
      </c>
      <c r="F40" t="s">
        <v>69</v>
      </c>
    </row>
    <row r="41" spans="1:11" x14ac:dyDescent="0.25">
      <c r="D41" t="s">
        <v>908</v>
      </c>
      <c r="E41">
        <v>2457614.5079999999</v>
      </c>
      <c r="F41" t="s">
        <v>1901</v>
      </c>
      <c r="G41">
        <v>12.67</v>
      </c>
      <c r="H41">
        <v>0.05</v>
      </c>
      <c r="I41" t="s">
        <v>65</v>
      </c>
      <c r="J41" t="s">
        <v>66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27</v>
      </c>
      <c r="B43" t="s">
        <v>31</v>
      </c>
      <c r="C43" t="s">
        <v>67</v>
      </c>
      <c r="D43" t="s">
        <v>68</v>
      </c>
      <c r="E43" t="s">
        <v>31</v>
      </c>
      <c r="F43" t="s">
        <v>69</v>
      </c>
    </row>
    <row r="44" spans="1:11" x14ac:dyDescent="0.25">
      <c r="D44" t="s">
        <v>908</v>
      </c>
      <c r="E44">
        <v>2457613.3769999999</v>
      </c>
      <c r="F44" t="s">
        <v>1902</v>
      </c>
      <c r="G44">
        <v>12.63</v>
      </c>
      <c r="H44">
        <v>0.05</v>
      </c>
      <c r="I44" t="s">
        <v>65</v>
      </c>
      <c r="J44" t="s">
        <v>66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27</v>
      </c>
      <c r="B46" t="s">
        <v>31</v>
      </c>
      <c r="C46" t="s">
        <v>67</v>
      </c>
      <c r="D46" t="s">
        <v>68</v>
      </c>
      <c r="E46" t="s">
        <v>31</v>
      </c>
      <c r="F46" t="s">
        <v>69</v>
      </c>
    </row>
    <row r="47" spans="1:11" x14ac:dyDescent="0.25">
      <c r="D47" t="s">
        <v>908</v>
      </c>
      <c r="E47">
        <v>2457608.3969999999</v>
      </c>
      <c r="F47" t="s">
        <v>1903</v>
      </c>
      <c r="G47">
        <v>12.61</v>
      </c>
      <c r="H47">
        <v>0.05</v>
      </c>
      <c r="I47" t="s">
        <v>65</v>
      </c>
      <c r="J47" t="s">
        <v>66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27</v>
      </c>
      <c r="B49" t="s">
        <v>31</v>
      </c>
      <c r="C49" t="s">
        <v>67</v>
      </c>
      <c r="D49" t="s">
        <v>68</v>
      </c>
      <c r="E49" t="s">
        <v>31</v>
      </c>
      <c r="F49" t="s">
        <v>69</v>
      </c>
    </row>
    <row r="50" spans="1:11" x14ac:dyDescent="0.25">
      <c r="D50" t="s">
        <v>908</v>
      </c>
      <c r="E50">
        <v>2457604.5079999999</v>
      </c>
      <c r="F50" t="s">
        <v>1904</v>
      </c>
      <c r="G50">
        <v>12.7</v>
      </c>
      <c r="H50">
        <v>0.05</v>
      </c>
      <c r="I50" t="s">
        <v>65</v>
      </c>
      <c r="J50" t="s">
        <v>66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27</v>
      </c>
      <c r="B52" t="s">
        <v>31</v>
      </c>
      <c r="C52" t="s">
        <v>67</v>
      </c>
      <c r="D52" t="s">
        <v>68</v>
      </c>
      <c r="E52" t="s">
        <v>31</v>
      </c>
      <c r="F52" t="s">
        <v>69</v>
      </c>
    </row>
    <row r="53" spans="1:11" x14ac:dyDescent="0.25">
      <c r="D53" t="s">
        <v>908</v>
      </c>
      <c r="E53">
        <v>2457598.4380000001</v>
      </c>
      <c r="F53" t="s">
        <v>1905</v>
      </c>
      <c r="G53">
        <v>12.65</v>
      </c>
      <c r="H53">
        <v>0.05</v>
      </c>
      <c r="I53" t="s">
        <v>65</v>
      </c>
      <c r="J53" t="s">
        <v>66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27</v>
      </c>
      <c r="B55" t="s">
        <v>31</v>
      </c>
      <c r="C55" t="s">
        <v>67</v>
      </c>
      <c r="D55" t="s">
        <v>68</v>
      </c>
      <c r="E55" t="s">
        <v>31</v>
      </c>
      <c r="F55" t="s">
        <v>69</v>
      </c>
    </row>
    <row r="56" spans="1:11" x14ac:dyDescent="0.25">
      <c r="D56" t="s">
        <v>908</v>
      </c>
      <c r="E56">
        <v>2457597.503</v>
      </c>
      <c r="F56" t="s">
        <v>1906</v>
      </c>
      <c r="G56">
        <v>12.63</v>
      </c>
      <c r="H56">
        <v>0.05</v>
      </c>
      <c r="I56" t="s">
        <v>65</v>
      </c>
      <c r="J56" t="s">
        <v>66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27</v>
      </c>
      <c r="B58" t="s">
        <v>31</v>
      </c>
      <c r="C58" t="s">
        <v>67</v>
      </c>
      <c r="D58" t="s">
        <v>68</v>
      </c>
      <c r="E58" t="s">
        <v>31</v>
      </c>
      <c r="F58" t="s">
        <v>69</v>
      </c>
    </row>
    <row r="59" spans="1:11" x14ac:dyDescent="0.25">
      <c r="D59" t="s">
        <v>908</v>
      </c>
      <c r="E59">
        <v>2457595.4330000002</v>
      </c>
      <c r="F59" t="s">
        <v>1907</v>
      </c>
      <c r="G59">
        <v>12.67</v>
      </c>
      <c r="H59">
        <v>0.05</v>
      </c>
      <c r="I59" t="s">
        <v>65</v>
      </c>
      <c r="J59" t="s">
        <v>66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27</v>
      </c>
      <c r="B61" t="s">
        <v>31</v>
      </c>
      <c r="C61" t="s">
        <v>67</v>
      </c>
      <c r="D61" t="s">
        <v>68</v>
      </c>
      <c r="E61" t="s">
        <v>31</v>
      </c>
      <c r="F61" t="s">
        <v>69</v>
      </c>
    </row>
    <row r="62" spans="1:11" x14ac:dyDescent="0.25">
      <c r="D62" t="s">
        <v>908</v>
      </c>
      <c r="E62">
        <v>2457589.4160000002</v>
      </c>
      <c r="F62" t="s">
        <v>1908</v>
      </c>
      <c r="G62">
        <v>12.67</v>
      </c>
      <c r="H62">
        <v>0.05</v>
      </c>
      <c r="I62" t="s">
        <v>65</v>
      </c>
      <c r="J62" t="s">
        <v>66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27</v>
      </c>
      <c r="B64" t="s">
        <v>31</v>
      </c>
      <c r="C64" t="s">
        <v>67</v>
      </c>
      <c r="D64" t="s">
        <v>68</v>
      </c>
      <c r="E64" t="s">
        <v>31</v>
      </c>
      <c r="F64" t="s">
        <v>69</v>
      </c>
    </row>
    <row r="65" spans="1:11" x14ac:dyDescent="0.25">
      <c r="D65" t="s">
        <v>908</v>
      </c>
      <c r="E65">
        <v>2457588.4180000001</v>
      </c>
      <c r="F65" t="s">
        <v>1909</v>
      </c>
      <c r="G65">
        <v>12.6</v>
      </c>
      <c r="H65">
        <v>0.05</v>
      </c>
      <c r="I65" t="s">
        <v>65</v>
      </c>
      <c r="J65" t="s">
        <v>66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27</v>
      </c>
      <c r="B67" t="s">
        <v>31</v>
      </c>
      <c r="C67" t="s">
        <v>67</v>
      </c>
      <c r="D67" t="s">
        <v>68</v>
      </c>
      <c r="E67" t="s">
        <v>31</v>
      </c>
      <c r="F67" t="s">
        <v>69</v>
      </c>
    </row>
    <row r="68" spans="1:11" x14ac:dyDescent="0.25">
      <c r="D68" t="s">
        <v>908</v>
      </c>
      <c r="E68">
        <v>2457587.426</v>
      </c>
      <c r="F68" t="s">
        <v>1910</v>
      </c>
      <c r="G68">
        <v>12.72</v>
      </c>
      <c r="H68">
        <v>0.05</v>
      </c>
      <c r="I68" t="s">
        <v>65</v>
      </c>
      <c r="J68" t="s">
        <v>66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31</v>
      </c>
      <c r="C70" t="s">
        <v>67</v>
      </c>
      <c r="D70" t="s">
        <v>68</v>
      </c>
      <c r="E70" t="s">
        <v>31</v>
      </c>
      <c r="F70" t="s">
        <v>69</v>
      </c>
    </row>
    <row r="71" spans="1:11" x14ac:dyDescent="0.25">
      <c r="D71" t="s">
        <v>908</v>
      </c>
      <c r="E71">
        <v>2457586.4249999998</v>
      </c>
      <c r="F71" t="s">
        <v>1911</v>
      </c>
      <c r="G71">
        <v>12.72</v>
      </c>
      <c r="H71">
        <v>0.05</v>
      </c>
      <c r="I71" t="s">
        <v>65</v>
      </c>
      <c r="J71" t="s">
        <v>66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27</v>
      </c>
      <c r="B73" t="s">
        <v>31</v>
      </c>
      <c r="C73" t="s">
        <v>67</v>
      </c>
      <c r="D73" t="s">
        <v>68</v>
      </c>
      <c r="E73" t="s">
        <v>31</v>
      </c>
      <c r="F73" t="s">
        <v>69</v>
      </c>
    </row>
    <row r="74" spans="1:11" x14ac:dyDescent="0.25">
      <c r="D74" t="s">
        <v>908</v>
      </c>
      <c r="E74">
        <v>2457585.5120000001</v>
      </c>
      <c r="F74" t="s">
        <v>1912</v>
      </c>
      <c r="G74">
        <v>12.67</v>
      </c>
      <c r="H74">
        <v>0.05</v>
      </c>
      <c r="I74" t="s">
        <v>65</v>
      </c>
      <c r="J74" t="s">
        <v>66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27</v>
      </c>
      <c r="B76" t="s">
        <v>31</v>
      </c>
      <c r="C76" t="s">
        <v>67</v>
      </c>
      <c r="D76" t="s">
        <v>68</v>
      </c>
      <c r="E76" t="s">
        <v>31</v>
      </c>
      <c r="F76" t="s">
        <v>69</v>
      </c>
    </row>
    <row r="77" spans="1:11" x14ac:dyDescent="0.25">
      <c r="D77" t="s">
        <v>908</v>
      </c>
      <c r="E77">
        <v>2457584.5520000001</v>
      </c>
      <c r="F77" t="s">
        <v>1913</v>
      </c>
      <c r="G77">
        <v>12.72</v>
      </c>
      <c r="H77">
        <v>0.05</v>
      </c>
      <c r="I77" t="s">
        <v>65</v>
      </c>
      <c r="J77" t="s">
        <v>66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27</v>
      </c>
      <c r="B79" t="s">
        <v>31</v>
      </c>
      <c r="C79" t="s">
        <v>67</v>
      </c>
      <c r="D79" t="s">
        <v>68</v>
      </c>
      <c r="E79" t="s">
        <v>31</v>
      </c>
      <c r="F79" t="s">
        <v>69</v>
      </c>
    </row>
    <row r="80" spans="1:11" x14ac:dyDescent="0.25">
      <c r="D80" t="s">
        <v>908</v>
      </c>
      <c r="E80">
        <v>2457575.46</v>
      </c>
      <c r="F80" t="s">
        <v>1914</v>
      </c>
      <c r="G80">
        <v>12.73</v>
      </c>
      <c r="H80">
        <v>0.05</v>
      </c>
      <c r="I80" t="s">
        <v>65</v>
      </c>
      <c r="J80" t="s">
        <v>66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27</v>
      </c>
      <c r="B82" t="s">
        <v>31</v>
      </c>
      <c r="C82" t="s">
        <v>67</v>
      </c>
      <c r="D82" t="s">
        <v>68</v>
      </c>
      <c r="E82" t="s">
        <v>31</v>
      </c>
      <c r="F82" t="s">
        <v>69</v>
      </c>
    </row>
    <row r="83" spans="1:11" x14ac:dyDescent="0.25">
      <c r="D83" t="s">
        <v>908</v>
      </c>
      <c r="E83">
        <v>2457574.4589999998</v>
      </c>
      <c r="F83" t="s">
        <v>1915</v>
      </c>
      <c r="G83">
        <v>12.74</v>
      </c>
      <c r="H83">
        <v>0.05</v>
      </c>
      <c r="I83" t="s">
        <v>65</v>
      </c>
      <c r="J83" t="s">
        <v>66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27</v>
      </c>
      <c r="B85" t="s">
        <v>31</v>
      </c>
      <c r="C85" t="s">
        <v>67</v>
      </c>
      <c r="D85" t="s">
        <v>68</v>
      </c>
      <c r="E85" t="s">
        <v>31</v>
      </c>
      <c r="F85" t="s">
        <v>69</v>
      </c>
    </row>
    <row r="86" spans="1:11" x14ac:dyDescent="0.25">
      <c r="D86" t="s">
        <v>908</v>
      </c>
      <c r="E86">
        <v>2457573.4610000001</v>
      </c>
      <c r="F86" t="s">
        <v>1916</v>
      </c>
      <c r="G86">
        <v>12.72</v>
      </c>
      <c r="H86">
        <v>0.05</v>
      </c>
      <c r="I86" t="s">
        <v>65</v>
      </c>
      <c r="J86" t="s">
        <v>66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27</v>
      </c>
      <c r="B88" t="s">
        <v>31</v>
      </c>
      <c r="C88" t="s">
        <v>67</v>
      </c>
      <c r="D88" t="s">
        <v>68</v>
      </c>
      <c r="E88" t="s">
        <v>31</v>
      </c>
      <c r="F88" t="s">
        <v>69</v>
      </c>
    </row>
    <row r="89" spans="1:11" x14ac:dyDescent="0.25">
      <c r="D89" t="s">
        <v>908</v>
      </c>
      <c r="E89">
        <v>2457572.4700000002</v>
      </c>
      <c r="F89" t="s">
        <v>1917</v>
      </c>
      <c r="G89">
        <v>12.73</v>
      </c>
      <c r="H89">
        <v>0.05</v>
      </c>
      <c r="I89" t="s">
        <v>65</v>
      </c>
      <c r="J89" t="s">
        <v>66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27</v>
      </c>
      <c r="B91" t="s">
        <v>31</v>
      </c>
      <c r="C91" t="s">
        <v>67</v>
      </c>
      <c r="D91" t="s">
        <v>68</v>
      </c>
      <c r="E91" t="s">
        <v>31</v>
      </c>
      <c r="F91" t="s">
        <v>69</v>
      </c>
    </row>
    <row r="92" spans="1:11" x14ac:dyDescent="0.25">
      <c r="A92" t="s">
        <v>960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/>
  <dimension ref="A1:Q92"/>
  <sheetViews>
    <sheetView workbookViewId="0"/>
  </sheetViews>
  <sheetFormatPr baseColWidth="10" defaultRowHeight="15" x14ac:dyDescent="0.25"/>
  <cols>
    <col min="1" max="2" width="19.28515625" customWidth="1"/>
    <col min="3" max="3" width="12.28515625" bestFit="1" customWidth="1"/>
    <col min="4" max="4" width="11.140625" customWidth="1"/>
    <col min="5" max="5" width="15.5703125" bestFit="1" customWidth="1"/>
    <col min="6" max="6" width="81.140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584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2572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585</v>
      </c>
      <c r="E17">
        <v>2457672.2871300001</v>
      </c>
      <c r="F17" t="s">
        <v>2573</v>
      </c>
      <c r="G17">
        <v>11.792999999999999</v>
      </c>
      <c r="H17">
        <v>4.1000000000000002E-2</v>
      </c>
      <c r="I17" t="s">
        <v>18</v>
      </c>
      <c r="J17" t="s">
        <v>1889</v>
      </c>
      <c r="K17" t="s">
        <v>20</v>
      </c>
      <c r="M17" t="str">
        <f>+I17</f>
        <v>V</v>
      </c>
      <c r="N17">
        <f>+G17</f>
        <v>11.792999999999999</v>
      </c>
      <c r="O17" t="str">
        <f>+J17</f>
        <v>RZD</v>
      </c>
      <c r="P17">
        <f>+E17</f>
        <v>2457672.2871300001</v>
      </c>
      <c r="Q17" t="str">
        <f>+F17</f>
        <v>2016 Oct. 10.78713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11.224</v>
      </c>
      <c r="O18" t="str">
        <f>+J20</f>
        <v>RZD</v>
      </c>
      <c r="P18">
        <f>+E20</f>
        <v>2457651.3282499998</v>
      </c>
      <c r="Q18" t="str">
        <f>+F20</f>
        <v>2016 Sep. 19.82825</v>
      </c>
    </row>
    <row r="19" spans="1:17" x14ac:dyDescent="0.25">
      <c r="A19" t="s">
        <v>27</v>
      </c>
      <c r="B19" t="s">
        <v>31</v>
      </c>
      <c r="C19" t="s">
        <v>67</v>
      </c>
      <c r="D19" t="s">
        <v>2574</v>
      </c>
      <c r="E19" t="s">
        <v>31</v>
      </c>
      <c r="F19" t="s">
        <v>31</v>
      </c>
      <c r="M19" t="str">
        <f>+I23</f>
        <v>V</v>
      </c>
      <c r="N19">
        <f>+G23</f>
        <v>11.404999999999999</v>
      </c>
      <c r="O19" t="str">
        <f>+J23</f>
        <v>RZD</v>
      </c>
      <c r="P19">
        <f>+E23</f>
        <v>2457582.3977399999</v>
      </c>
      <c r="Q19" t="str">
        <f>+F23</f>
        <v>2016 Jul. 12.89774</v>
      </c>
    </row>
    <row r="20" spans="1:17" x14ac:dyDescent="0.25">
      <c r="D20" t="s">
        <v>585</v>
      </c>
      <c r="E20">
        <v>2457651.3282499998</v>
      </c>
      <c r="F20" t="s">
        <v>2266</v>
      </c>
      <c r="G20">
        <v>11.224</v>
      </c>
      <c r="H20">
        <v>4.7E-2</v>
      </c>
      <c r="I20" t="s">
        <v>18</v>
      </c>
      <c r="J20" t="s">
        <v>1889</v>
      </c>
      <c r="K20" t="s">
        <v>20</v>
      </c>
      <c r="M20" t="str">
        <f>+I26</f>
        <v>V</v>
      </c>
      <c r="N20">
        <f>+G26</f>
        <v>11.552</v>
      </c>
      <c r="O20" t="str">
        <f>+J26</f>
        <v>DKS</v>
      </c>
      <c r="P20">
        <f>+E26</f>
        <v>2457562.66555</v>
      </c>
      <c r="Q20" t="str">
        <f>+F26</f>
        <v>2016 Jun. 23.16555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B</v>
      </c>
      <c r="N21">
        <f>+G29</f>
        <v>12.33</v>
      </c>
      <c r="O21" t="str">
        <f>+J29</f>
        <v>HBB</v>
      </c>
      <c r="P21">
        <f>+E29</f>
        <v>2457540.8882399998</v>
      </c>
      <c r="Q21" t="str">
        <f>+F29</f>
        <v>2016 Jun. 01.38824</v>
      </c>
    </row>
    <row r="22" spans="1:17" x14ac:dyDescent="0.25">
      <c r="A22" t="s">
        <v>27</v>
      </c>
      <c r="B22" t="s">
        <v>31</v>
      </c>
      <c r="C22" t="s">
        <v>67</v>
      </c>
      <c r="D22" t="s">
        <v>2267</v>
      </c>
      <c r="E22" t="s">
        <v>31</v>
      </c>
      <c r="F22" t="s">
        <v>31</v>
      </c>
      <c r="M22" t="str">
        <f>+I32</f>
        <v>V</v>
      </c>
      <c r="N22">
        <f>+G32</f>
        <v>11.282</v>
      </c>
      <c r="O22" t="str">
        <f>+J32</f>
        <v>HBB</v>
      </c>
      <c r="P22">
        <f>+E32</f>
        <v>2457540.88735</v>
      </c>
      <c r="Q22" t="str">
        <f>+F32</f>
        <v>2016 Jun. 01.38735</v>
      </c>
    </row>
    <row r="23" spans="1:17" x14ac:dyDescent="0.25">
      <c r="D23" t="s">
        <v>585</v>
      </c>
      <c r="E23">
        <v>2457582.3977399999</v>
      </c>
      <c r="F23" t="s">
        <v>1888</v>
      </c>
      <c r="G23">
        <v>11.404999999999999</v>
      </c>
      <c r="H23">
        <v>3.7999999999999999E-2</v>
      </c>
      <c r="I23" t="s">
        <v>18</v>
      </c>
      <c r="J23" t="s">
        <v>1889</v>
      </c>
      <c r="K23" t="s">
        <v>20</v>
      </c>
      <c r="M23" t="str">
        <f>+I35</f>
        <v>V</v>
      </c>
      <c r="N23">
        <f>+G35</f>
        <v>11.535</v>
      </c>
      <c r="O23" t="str">
        <f>+J35</f>
        <v>SXN</v>
      </c>
      <c r="P23">
        <f>+E35</f>
        <v>2457506.2721299999</v>
      </c>
      <c r="Q23" t="str">
        <f>+F35</f>
        <v>2016 Apr. 27.77213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11.372999999999999</v>
      </c>
      <c r="O24" t="str">
        <f>+J38</f>
        <v>DKS</v>
      </c>
      <c r="P24">
        <f>+E38</f>
        <v>2457489.7782100001</v>
      </c>
      <c r="Q24" t="str">
        <f>+F38</f>
        <v>2016 Apr. 11.27821</v>
      </c>
    </row>
    <row r="25" spans="1:17" x14ac:dyDescent="0.25">
      <c r="A25" t="s">
        <v>27</v>
      </c>
      <c r="B25" t="s">
        <v>31</v>
      </c>
      <c r="C25" t="s">
        <v>67</v>
      </c>
      <c r="D25" t="s">
        <v>1890</v>
      </c>
      <c r="E25" t="s">
        <v>31</v>
      </c>
      <c r="F25" t="s">
        <v>31</v>
      </c>
      <c r="M25" t="str">
        <f>+I41</f>
        <v>V</v>
      </c>
      <c r="N25">
        <f>+G41</f>
        <v>11.430999999999999</v>
      </c>
      <c r="O25" t="str">
        <f>+J41</f>
        <v>DKS</v>
      </c>
      <c r="P25">
        <f>+E41</f>
        <v>2457486.7845299998</v>
      </c>
      <c r="Q25" t="str">
        <f>+F41</f>
        <v>2016 Apr. 08.28453</v>
      </c>
    </row>
    <row r="26" spans="1:17" x14ac:dyDescent="0.25">
      <c r="D26" t="s">
        <v>585</v>
      </c>
      <c r="E26">
        <v>2457562.66555</v>
      </c>
      <c r="F26" t="s">
        <v>1891</v>
      </c>
      <c r="G26">
        <v>11.552</v>
      </c>
      <c r="H26">
        <v>1.2E-2</v>
      </c>
      <c r="I26" t="s">
        <v>18</v>
      </c>
      <c r="J26" t="s">
        <v>252</v>
      </c>
      <c r="K26" t="s">
        <v>20</v>
      </c>
      <c r="M26" t="str">
        <f>+I44</f>
        <v>V</v>
      </c>
      <c r="N26">
        <f>+G44</f>
        <v>11.587999999999999</v>
      </c>
      <c r="O26" t="str">
        <f>+J44</f>
        <v>DKS</v>
      </c>
      <c r="P26">
        <f>+E44</f>
        <v>2457471.8695200002</v>
      </c>
      <c r="Q26" t="str">
        <f>+F44</f>
        <v>2016 Mar. 24.36952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600</v>
      </c>
      <c r="B28" t="s">
        <v>1892</v>
      </c>
      <c r="C28" t="s">
        <v>67</v>
      </c>
      <c r="D28" t="s">
        <v>602</v>
      </c>
      <c r="E28" t="s">
        <v>31</v>
      </c>
      <c r="F28" t="s">
        <v>603</v>
      </c>
    </row>
    <row r="29" spans="1:17" x14ac:dyDescent="0.25">
      <c r="D29" t="s">
        <v>585</v>
      </c>
      <c r="E29">
        <v>2457540.8882399998</v>
      </c>
      <c r="F29" t="s">
        <v>586</v>
      </c>
      <c r="G29">
        <v>12.33</v>
      </c>
      <c r="H29">
        <v>1.6E-2</v>
      </c>
      <c r="I29" t="s">
        <v>34</v>
      </c>
      <c r="J29" t="s">
        <v>41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587</v>
      </c>
      <c r="B31" t="s">
        <v>588</v>
      </c>
      <c r="C31" t="s">
        <v>29</v>
      </c>
      <c r="D31" t="s">
        <v>589</v>
      </c>
      <c r="E31" t="s">
        <v>31</v>
      </c>
      <c r="F31" t="s">
        <v>590</v>
      </c>
    </row>
    <row r="32" spans="1:17" x14ac:dyDescent="0.25">
      <c r="D32" t="s">
        <v>585</v>
      </c>
      <c r="E32">
        <v>2457540.88735</v>
      </c>
      <c r="F32" t="s">
        <v>591</v>
      </c>
      <c r="G32">
        <v>11.282</v>
      </c>
      <c r="H32">
        <v>1.4E-2</v>
      </c>
      <c r="I32" t="s">
        <v>18</v>
      </c>
      <c r="J32" t="s">
        <v>41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592</v>
      </c>
      <c r="B34" t="s">
        <v>593</v>
      </c>
      <c r="C34" t="s">
        <v>29</v>
      </c>
      <c r="D34" t="s">
        <v>589</v>
      </c>
      <c r="E34" t="s">
        <v>31</v>
      </c>
      <c r="F34" t="s">
        <v>594</v>
      </c>
    </row>
    <row r="35" spans="1:11" x14ac:dyDescent="0.25">
      <c r="D35" t="s">
        <v>585</v>
      </c>
      <c r="E35">
        <v>2457506.2721299999</v>
      </c>
      <c r="F35" t="s">
        <v>595</v>
      </c>
      <c r="G35">
        <v>11.535</v>
      </c>
      <c r="H35">
        <v>1.7000000000000001E-2</v>
      </c>
      <c r="I35" t="s">
        <v>18</v>
      </c>
      <c r="J35" t="s">
        <v>596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27</v>
      </c>
      <c r="B37" t="s">
        <v>31</v>
      </c>
      <c r="C37" t="s">
        <v>67</v>
      </c>
      <c r="D37" t="s">
        <v>597</v>
      </c>
      <c r="E37" t="s">
        <v>31</v>
      </c>
      <c r="F37" t="s">
        <v>598</v>
      </c>
    </row>
    <row r="38" spans="1:11" x14ac:dyDescent="0.25">
      <c r="D38" t="s">
        <v>585</v>
      </c>
      <c r="E38">
        <v>2457489.7782100001</v>
      </c>
      <c r="F38" t="s">
        <v>599</v>
      </c>
      <c r="G38">
        <v>11.372999999999999</v>
      </c>
      <c r="H38">
        <v>7.0000000000000001E-3</v>
      </c>
      <c r="I38" t="s">
        <v>18</v>
      </c>
      <c r="J38" t="s">
        <v>252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600</v>
      </c>
      <c r="B40" t="s">
        <v>601</v>
      </c>
      <c r="C40" t="s">
        <v>67</v>
      </c>
      <c r="D40" t="s">
        <v>602</v>
      </c>
      <c r="E40" t="s">
        <v>31</v>
      </c>
      <c r="F40" t="s">
        <v>603</v>
      </c>
    </row>
    <row r="41" spans="1:11" x14ac:dyDescent="0.25">
      <c r="D41" t="s">
        <v>585</v>
      </c>
      <c r="E41">
        <v>2457486.7845299998</v>
      </c>
      <c r="F41" t="s">
        <v>604</v>
      </c>
      <c r="G41">
        <v>11.430999999999999</v>
      </c>
      <c r="H41">
        <v>0.03</v>
      </c>
      <c r="I41" t="s">
        <v>18</v>
      </c>
      <c r="J41" t="s">
        <v>252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600</v>
      </c>
      <c r="B43" t="s">
        <v>605</v>
      </c>
      <c r="C43" t="s">
        <v>67</v>
      </c>
      <c r="D43" t="s">
        <v>602</v>
      </c>
      <c r="E43" t="s">
        <v>31</v>
      </c>
      <c r="F43" t="s">
        <v>603</v>
      </c>
    </row>
    <row r="44" spans="1:11" x14ac:dyDescent="0.25">
      <c r="D44" t="s">
        <v>585</v>
      </c>
      <c r="E44">
        <v>2457471.8695200002</v>
      </c>
      <c r="F44" t="s">
        <v>606</v>
      </c>
      <c r="G44">
        <v>11.587999999999999</v>
      </c>
      <c r="H44">
        <v>8.9999999999999993E-3</v>
      </c>
      <c r="I44" t="s">
        <v>18</v>
      </c>
      <c r="J44" t="s">
        <v>252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600</v>
      </c>
      <c r="B46" t="s">
        <v>607</v>
      </c>
      <c r="C46" t="s">
        <v>67</v>
      </c>
      <c r="D46" t="s">
        <v>602</v>
      </c>
      <c r="E46" t="s">
        <v>31</v>
      </c>
      <c r="F46" t="s">
        <v>603</v>
      </c>
    </row>
    <row r="47" spans="1:11" x14ac:dyDescent="0.25">
      <c r="D47" t="s">
        <v>585</v>
      </c>
      <c r="E47">
        <v>2457459.8576600002</v>
      </c>
      <c r="F47" t="s">
        <v>608</v>
      </c>
      <c r="G47">
        <v>11.329000000000001</v>
      </c>
      <c r="H47">
        <v>1.4999999999999999E-2</v>
      </c>
      <c r="I47" t="s">
        <v>18</v>
      </c>
      <c r="J47" t="s">
        <v>252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600</v>
      </c>
      <c r="B49" t="s">
        <v>609</v>
      </c>
      <c r="C49" t="s">
        <v>67</v>
      </c>
      <c r="D49" t="s">
        <v>602</v>
      </c>
      <c r="E49" t="s">
        <v>31</v>
      </c>
      <c r="F49" t="s">
        <v>603</v>
      </c>
    </row>
    <row r="50" spans="1:11" x14ac:dyDescent="0.25">
      <c r="D50" t="s">
        <v>585</v>
      </c>
      <c r="E50">
        <v>2457458.8629999999</v>
      </c>
      <c r="F50" t="s">
        <v>610</v>
      </c>
      <c r="G50">
        <v>11.215999999999999</v>
      </c>
      <c r="H50">
        <v>1.6E-2</v>
      </c>
      <c r="I50" t="s">
        <v>18</v>
      </c>
      <c r="J50" t="s">
        <v>252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600</v>
      </c>
      <c r="B52" t="s">
        <v>611</v>
      </c>
      <c r="C52" t="s">
        <v>67</v>
      </c>
      <c r="D52" t="s">
        <v>602</v>
      </c>
      <c r="E52" t="s">
        <v>31</v>
      </c>
      <c r="F52" t="s">
        <v>603</v>
      </c>
    </row>
    <row r="53" spans="1:11" x14ac:dyDescent="0.25">
      <c r="D53" t="s">
        <v>585</v>
      </c>
      <c r="E53">
        <v>2457454.8764</v>
      </c>
      <c r="F53" t="s">
        <v>612</v>
      </c>
      <c r="G53">
        <v>10.906000000000001</v>
      </c>
      <c r="H53">
        <v>1.2999999999999999E-2</v>
      </c>
      <c r="I53" t="s">
        <v>18</v>
      </c>
      <c r="J53" t="s">
        <v>252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600</v>
      </c>
      <c r="B55" t="s">
        <v>613</v>
      </c>
      <c r="C55" t="s">
        <v>67</v>
      </c>
      <c r="D55" t="s">
        <v>602</v>
      </c>
      <c r="E55" t="s">
        <v>31</v>
      </c>
      <c r="F55" t="s">
        <v>603</v>
      </c>
    </row>
    <row r="56" spans="1:11" x14ac:dyDescent="0.25">
      <c r="D56" t="s">
        <v>585</v>
      </c>
      <c r="E56">
        <v>2457452.88106</v>
      </c>
      <c r="F56" t="s">
        <v>614</v>
      </c>
      <c r="G56">
        <v>11.333</v>
      </c>
      <c r="H56">
        <v>4.4999999999999998E-2</v>
      </c>
      <c r="I56" t="s">
        <v>18</v>
      </c>
      <c r="J56" t="s">
        <v>252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600</v>
      </c>
      <c r="B58" t="s">
        <v>615</v>
      </c>
      <c r="C58" t="s">
        <v>67</v>
      </c>
      <c r="D58" t="s">
        <v>602</v>
      </c>
      <c r="E58" t="s">
        <v>31</v>
      </c>
      <c r="F58" t="s">
        <v>616</v>
      </c>
    </row>
    <row r="59" spans="1:11" x14ac:dyDescent="0.25">
      <c r="D59" t="s">
        <v>585</v>
      </c>
      <c r="E59">
        <v>2457446.8962599998</v>
      </c>
      <c r="F59" t="s">
        <v>617</v>
      </c>
      <c r="G59">
        <v>11.188000000000001</v>
      </c>
      <c r="H59">
        <v>1.2999999999999999E-2</v>
      </c>
      <c r="I59" t="s">
        <v>18</v>
      </c>
      <c r="J59" t="s">
        <v>252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600</v>
      </c>
      <c r="B61" t="s">
        <v>618</v>
      </c>
      <c r="C61" t="s">
        <v>67</v>
      </c>
      <c r="D61" t="s">
        <v>602</v>
      </c>
      <c r="E61" t="s">
        <v>31</v>
      </c>
      <c r="F61" t="s">
        <v>603</v>
      </c>
    </row>
    <row r="62" spans="1:11" x14ac:dyDescent="0.25">
      <c r="D62" t="s">
        <v>585</v>
      </c>
      <c r="E62">
        <v>2457446.2199900001</v>
      </c>
      <c r="F62" t="s">
        <v>619</v>
      </c>
      <c r="G62">
        <v>11.105</v>
      </c>
      <c r="H62">
        <v>2.4E-2</v>
      </c>
      <c r="I62" t="s">
        <v>18</v>
      </c>
      <c r="J62" t="s">
        <v>596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27</v>
      </c>
      <c r="B64" t="s">
        <v>31</v>
      </c>
      <c r="C64" t="s">
        <v>67</v>
      </c>
      <c r="D64" t="s">
        <v>620</v>
      </c>
      <c r="E64" t="s">
        <v>31</v>
      </c>
      <c r="F64" t="s">
        <v>598</v>
      </c>
    </row>
    <row r="65" spans="1:11" x14ac:dyDescent="0.25">
      <c r="D65" t="s">
        <v>585</v>
      </c>
      <c r="E65">
        <v>2457426.9570499999</v>
      </c>
      <c r="F65" t="s">
        <v>621</v>
      </c>
      <c r="G65">
        <v>11.433</v>
      </c>
      <c r="H65">
        <v>1.0999999999999999E-2</v>
      </c>
      <c r="I65" t="s">
        <v>18</v>
      </c>
      <c r="J65" t="s">
        <v>252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600</v>
      </c>
      <c r="B67" t="s">
        <v>622</v>
      </c>
      <c r="C67" t="s">
        <v>67</v>
      </c>
      <c r="D67" t="s">
        <v>602</v>
      </c>
      <c r="E67" t="s">
        <v>31</v>
      </c>
      <c r="F67" t="s">
        <v>603</v>
      </c>
    </row>
    <row r="68" spans="1:11" x14ac:dyDescent="0.25">
      <c r="D68" t="s">
        <v>585</v>
      </c>
      <c r="E68">
        <v>2457214.0959899998</v>
      </c>
      <c r="F68" t="s">
        <v>623</v>
      </c>
      <c r="G68">
        <v>11.176</v>
      </c>
      <c r="H68">
        <v>0.01</v>
      </c>
      <c r="I68" t="s">
        <v>18</v>
      </c>
      <c r="J68" t="s">
        <v>624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625</v>
      </c>
      <c r="C70" t="s">
        <v>67</v>
      </c>
      <c r="D70" t="s">
        <v>626</v>
      </c>
      <c r="E70" t="s">
        <v>31</v>
      </c>
      <c r="F70" t="s">
        <v>627</v>
      </c>
    </row>
    <row r="71" spans="1:11" x14ac:dyDescent="0.25">
      <c r="D71" t="s">
        <v>585</v>
      </c>
      <c r="E71">
        <v>2457214.0955500002</v>
      </c>
      <c r="F71" t="s">
        <v>628</v>
      </c>
      <c r="G71">
        <v>11.192</v>
      </c>
      <c r="H71">
        <v>0.01</v>
      </c>
      <c r="I71" t="s">
        <v>18</v>
      </c>
      <c r="J71" t="s">
        <v>624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27</v>
      </c>
      <c r="B73" t="s">
        <v>629</v>
      </c>
      <c r="C73" t="s">
        <v>67</v>
      </c>
      <c r="D73" t="s">
        <v>626</v>
      </c>
      <c r="E73" t="s">
        <v>31</v>
      </c>
      <c r="F73" t="s">
        <v>627</v>
      </c>
    </row>
    <row r="74" spans="1:11" x14ac:dyDescent="0.25">
      <c r="D74" t="s">
        <v>585</v>
      </c>
      <c r="E74">
        <v>2457214.0946900002</v>
      </c>
      <c r="F74" t="s">
        <v>630</v>
      </c>
      <c r="G74">
        <v>11.173</v>
      </c>
      <c r="H74">
        <v>1.0999999999999999E-2</v>
      </c>
      <c r="I74" t="s">
        <v>18</v>
      </c>
      <c r="J74" t="s">
        <v>624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27</v>
      </c>
      <c r="B76" t="s">
        <v>631</v>
      </c>
      <c r="C76" t="s">
        <v>67</v>
      </c>
      <c r="D76" t="s">
        <v>626</v>
      </c>
      <c r="E76" t="s">
        <v>31</v>
      </c>
      <c r="F76" t="s">
        <v>627</v>
      </c>
    </row>
    <row r="77" spans="1:11" x14ac:dyDescent="0.25">
      <c r="D77" t="s">
        <v>585</v>
      </c>
      <c r="E77">
        <v>2457214.0907899998</v>
      </c>
      <c r="F77" t="s">
        <v>632</v>
      </c>
      <c r="G77">
        <v>11.273</v>
      </c>
      <c r="H77">
        <v>0.01</v>
      </c>
      <c r="I77" t="s">
        <v>18</v>
      </c>
      <c r="J77" t="s">
        <v>624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27</v>
      </c>
      <c r="B79" t="s">
        <v>629</v>
      </c>
      <c r="C79" t="s">
        <v>67</v>
      </c>
      <c r="D79" t="s">
        <v>626</v>
      </c>
      <c r="E79" t="s">
        <v>31</v>
      </c>
      <c r="F79" t="s">
        <v>627</v>
      </c>
    </row>
    <row r="80" spans="1:11" x14ac:dyDescent="0.25">
      <c r="D80" t="s">
        <v>585</v>
      </c>
      <c r="E80">
        <v>2457214.0894900002</v>
      </c>
      <c r="F80" t="s">
        <v>633</v>
      </c>
      <c r="G80">
        <v>11.276</v>
      </c>
      <c r="H80">
        <v>1.0999999999999999E-2</v>
      </c>
      <c r="I80" t="s">
        <v>18</v>
      </c>
      <c r="J80" t="s">
        <v>624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27</v>
      </c>
      <c r="B82" t="s">
        <v>634</v>
      </c>
      <c r="C82" t="s">
        <v>67</v>
      </c>
      <c r="D82" t="s">
        <v>626</v>
      </c>
      <c r="E82" t="s">
        <v>31</v>
      </c>
      <c r="F82" t="s">
        <v>627</v>
      </c>
    </row>
    <row r="83" spans="1:11" x14ac:dyDescent="0.25">
      <c r="D83" t="s">
        <v>585</v>
      </c>
      <c r="E83">
        <v>2457214.0886200001</v>
      </c>
      <c r="F83" t="s">
        <v>635</v>
      </c>
      <c r="G83">
        <v>11.276</v>
      </c>
      <c r="H83">
        <v>0.01</v>
      </c>
      <c r="I83" t="s">
        <v>18</v>
      </c>
      <c r="J83" t="s">
        <v>624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27</v>
      </c>
      <c r="B85" t="s">
        <v>636</v>
      </c>
      <c r="C85" t="s">
        <v>67</v>
      </c>
      <c r="D85" t="s">
        <v>626</v>
      </c>
      <c r="E85" t="s">
        <v>31</v>
      </c>
      <c r="F85" t="s">
        <v>627</v>
      </c>
    </row>
    <row r="86" spans="1:11" x14ac:dyDescent="0.25">
      <c r="D86" t="s">
        <v>585</v>
      </c>
      <c r="E86">
        <v>2457214.0877499999</v>
      </c>
      <c r="F86" t="s">
        <v>637</v>
      </c>
      <c r="G86">
        <v>11.284000000000001</v>
      </c>
      <c r="H86">
        <v>0.01</v>
      </c>
      <c r="I86" t="s">
        <v>18</v>
      </c>
      <c r="J86" t="s">
        <v>624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27</v>
      </c>
      <c r="B88" t="s">
        <v>638</v>
      </c>
      <c r="C88" t="s">
        <v>67</v>
      </c>
      <c r="D88" t="s">
        <v>626</v>
      </c>
      <c r="E88" t="s">
        <v>31</v>
      </c>
      <c r="F88" t="s">
        <v>627</v>
      </c>
    </row>
    <row r="89" spans="1:11" x14ac:dyDescent="0.25">
      <c r="D89" t="s">
        <v>585</v>
      </c>
      <c r="E89">
        <v>2457214.0873199999</v>
      </c>
      <c r="F89" t="s">
        <v>639</v>
      </c>
      <c r="G89">
        <v>11.279</v>
      </c>
      <c r="H89">
        <v>0.01</v>
      </c>
      <c r="I89" t="s">
        <v>18</v>
      </c>
      <c r="J89" t="s">
        <v>624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27</v>
      </c>
      <c r="B91" t="s">
        <v>640</v>
      </c>
      <c r="C91" t="s">
        <v>67</v>
      </c>
      <c r="D91" t="s">
        <v>626</v>
      </c>
      <c r="E91" t="s">
        <v>31</v>
      </c>
      <c r="F91" t="s">
        <v>627</v>
      </c>
    </row>
    <row r="92" spans="1:11" x14ac:dyDescent="0.25">
      <c r="A92" t="s">
        <v>641</v>
      </c>
    </row>
  </sheetData>
  <hyperlinks>
    <hyperlink ref="L1" r:id="rId1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/>
  <dimension ref="A1:Q92"/>
  <sheetViews>
    <sheetView workbookViewId="0">
      <selection activeCell="F21" sqref="F21"/>
    </sheetView>
  </sheetViews>
  <sheetFormatPr baseColWidth="10" defaultRowHeight="15" x14ac:dyDescent="0.25"/>
  <cols>
    <col min="1" max="2" width="17.7109375" bestFit="1" customWidth="1"/>
    <col min="3" max="3" width="12.28515625" bestFit="1" customWidth="1"/>
    <col min="4" max="4" width="9.5703125" customWidth="1"/>
    <col min="5" max="5" width="15.5703125" bestFit="1" customWidth="1"/>
    <col min="6" max="6" width="17.710937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0" x14ac:dyDescent="0.25">
      <c r="A1" t="s">
        <v>0</v>
      </c>
    </row>
    <row r="3" spans="1:10" x14ac:dyDescent="0.25">
      <c r="A3" t="s">
        <v>1</v>
      </c>
    </row>
    <row r="4" spans="1:10" x14ac:dyDescent="0.25">
      <c r="A4" t="s">
        <v>2</v>
      </c>
    </row>
    <row r="5" spans="1:10" x14ac:dyDescent="0.25">
      <c r="A5" t="s">
        <v>3</v>
      </c>
    </row>
    <row r="6" spans="1:10" x14ac:dyDescent="0.25">
      <c r="A6" t="s">
        <v>4</v>
      </c>
    </row>
    <row r="8" spans="1:10" x14ac:dyDescent="0.25">
      <c r="A8" t="s">
        <v>5</v>
      </c>
    </row>
    <row r="10" spans="1:10" x14ac:dyDescent="0.25">
      <c r="A10" t="s">
        <v>2575</v>
      </c>
    </row>
    <row r="12" spans="1:10" x14ac:dyDescent="0.25">
      <c r="A12" t="s">
        <v>6</v>
      </c>
    </row>
    <row r="13" spans="1:10" x14ac:dyDescent="0.25">
      <c r="A13" t="s">
        <v>7</v>
      </c>
    </row>
    <row r="14" spans="1:10" x14ac:dyDescent="0.25">
      <c r="A14" t="s">
        <v>8</v>
      </c>
    </row>
    <row r="16" spans="1:10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366</v>
      </c>
      <c r="E17">
        <v>2457714.19306</v>
      </c>
      <c r="F17" t="s">
        <v>2576</v>
      </c>
      <c r="G17">
        <v>12.56</v>
      </c>
      <c r="H17">
        <v>0.01</v>
      </c>
      <c r="I17" t="s">
        <v>18</v>
      </c>
      <c r="J17" t="s">
        <v>254</v>
      </c>
      <c r="K17" t="s">
        <v>20</v>
      </c>
      <c r="M17" t="str">
        <f>+I17</f>
        <v>V</v>
      </c>
      <c r="N17">
        <f>+G17</f>
        <v>12.56</v>
      </c>
      <c r="O17" t="str">
        <f>+J17</f>
        <v>TIA</v>
      </c>
      <c r="P17">
        <f>+E17</f>
        <v>2457714.19306</v>
      </c>
      <c r="Q17" t="str">
        <f>+F17</f>
        <v>2016 Nov. 21.69306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B</v>
      </c>
      <c r="N18">
        <f>+G20</f>
        <v>13.34</v>
      </c>
      <c r="O18" t="str">
        <f>+J20</f>
        <v>TIA</v>
      </c>
      <c r="P18">
        <f>+E20</f>
        <v>2457714.19306</v>
      </c>
      <c r="Q18" t="str">
        <f>+F20</f>
        <v>2016 Nov. 21.69306</v>
      </c>
    </row>
    <row r="19" spans="1:17" x14ac:dyDescent="0.25">
      <c r="A19" t="s">
        <v>367</v>
      </c>
      <c r="B19" t="s">
        <v>368</v>
      </c>
      <c r="C19" t="s">
        <v>67</v>
      </c>
      <c r="D19" t="s">
        <v>369</v>
      </c>
      <c r="E19" t="s">
        <v>31</v>
      </c>
      <c r="F19" t="s">
        <v>31</v>
      </c>
      <c r="M19" t="str">
        <f>+I23</f>
        <v>V</v>
      </c>
      <c r="N19">
        <f>+G23</f>
        <v>12.71</v>
      </c>
      <c r="O19" t="str">
        <f>+J23</f>
        <v>TIA</v>
      </c>
      <c r="P19">
        <f>+E23</f>
        <v>2457692.24236</v>
      </c>
      <c r="Q19" t="str">
        <f>+F23</f>
        <v>2016 Oct. 30.74236</v>
      </c>
    </row>
    <row r="20" spans="1:17" x14ac:dyDescent="0.25">
      <c r="D20" t="s">
        <v>366</v>
      </c>
      <c r="E20">
        <v>2457714.19306</v>
      </c>
      <c r="F20" t="s">
        <v>2576</v>
      </c>
      <c r="G20">
        <v>13.34</v>
      </c>
      <c r="H20">
        <v>1.4999999999999999E-2</v>
      </c>
      <c r="I20" t="s">
        <v>34</v>
      </c>
      <c r="J20" t="s">
        <v>254</v>
      </c>
      <c r="K20" t="s">
        <v>20</v>
      </c>
      <c r="M20" t="str">
        <f>+I26</f>
        <v>B</v>
      </c>
      <c r="N20">
        <f>+G26</f>
        <v>13.4</v>
      </c>
      <c r="O20" t="str">
        <f>+J26</f>
        <v>TIA</v>
      </c>
      <c r="P20">
        <f>+E26</f>
        <v>2457692.24236</v>
      </c>
      <c r="Q20" t="str">
        <f>+F26</f>
        <v>2016 Oct. 30.74236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13.07</v>
      </c>
      <c r="O21" t="str">
        <f>+J29</f>
        <v>TIA</v>
      </c>
      <c r="P21">
        <f>+E29</f>
        <v>2457659.2437499999</v>
      </c>
      <c r="Q21" t="str">
        <f>+F29</f>
        <v>2016 Sep. 27.74375</v>
      </c>
    </row>
    <row r="22" spans="1:17" x14ac:dyDescent="0.25">
      <c r="A22" t="s">
        <v>370</v>
      </c>
      <c r="B22" t="s">
        <v>371</v>
      </c>
      <c r="C22" t="s">
        <v>67</v>
      </c>
      <c r="D22" t="s">
        <v>369</v>
      </c>
      <c r="E22" t="s">
        <v>31</v>
      </c>
      <c r="F22" t="s">
        <v>31</v>
      </c>
      <c r="M22" t="str">
        <f>+I32</f>
        <v>B</v>
      </c>
      <c r="N22">
        <f>+G32</f>
        <v>13.52</v>
      </c>
      <c r="O22" t="str">
        <f>+J32</f>
        <v>TIA</v>
      </c>
      <c r="P22">
        <f>+E32</f>
        <v>2457659.2437499999</v>
      </c>
      <c r="Q22" t="str">
        <f>+F32</f>
        <v>2016 Sep. 27.74375</v>
      </c>
    </row>
    <row r="23" spans="1:17" x14ac:dyDescent="0.25">
      <c r="D23" t="s">
        <v>366</v>
      </c>
      <c r="E23">
        <v>2457692.24236</v>
      </c>
      <c r="F23" t="s">
        <v>2577</v>
      </c>
      <c r="G23">
        <v>12.71</v>
      </c>
      <c r="H23">
        <v>0.02</v>
      </c>
      <c r="I23" t="s">
        <v>18</v>
      </c>
      <c r="J23" t="s">
        <v>254</v>
      </c>
      <c r="K23" t="s">
        <v>20</v>
      </c>
      <c r="M23" t="str">
        <f>+I35</f>
        <v>V</v>
      </c>
      <c r="N23">
        <f>+G35</f>
        <v>13.1</v>
      </c>
      <c r="O23" t="str">
        <f>+J35</f>
        <v>BOA</v>
      </c>
      <c r="P23">
        <f>+E35</f>
        <v>2457655.3670000001</v>
      </c>
      <c r="Q23" t="str">
        <f>+F35</f>
        <v>2016 Sep. 23.86700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13.01</v>
      </c>
      <c r="O24" t="str">
        <f>+J38</f>
        <v>BOA</v>
      </c>
      <c r="P24">
        <f>+E38</f>
        <v>2457640.409</v>
      </c>
      <c r="Q24" t="str">
        <f>+F38</f>
        <v>2016 Sep. 08.90900</v>
      </c>
    </row>
    <row r="25" spans="1:17" x14ac:dyDescent="0.25">
      <c r="A25" t="s">
        <v>367</v>
      </c>
      <c r="B25" t="s">
        <v>368</v>
      </c>
      <c r="C25" t="s">
        <v>67</v>
      </c>
      <c r="D25" t="s">
        <v>369</v>
      </c>
      <c r="E25" t="s">
        <v>31</v>
      </c>
      <c r="F25" t="s">
        <v>31</v>
      </c>
      <c r="M25" t="str">
        <f>+I41</f>
        <v>V</v>
      </c>
      <c r="N25">
        <f>+G41</f>
        <v>13.02</v>
      </c>
      <c r="O25" t="str">
        <f>+J41</f>
        <v>TIA</v>
      </c>
      <c r="P25">
        <f>+E41</f>
        <v>2457639.2729199999</v>
      </c>
      <c r="Q25" t="str">
        <f>+F41</f>
        <v>2016 Sep. 07.77292</v>
      </c>
    </row>
    <row r="26" spans="1:17" x14ac:dyDescent="0.25">
      <c r="D26" t="s">
        <v>366</v>
      </c>
      <c r="E26">
        <v>2457692.24236</v>
      </c>
      <c r="F26" t="s">
        <v>2577</v>
      </c>
      <c r="G26">
        <v>13.4</v>
      </c>
      <c r="H26">
        <v>0.02</v>
      </c>
      <c r="I26" t="s">
        <v>34</v>
      </c>
      <c r="J26" t="s">
        <v>254</v>
      </c>
      <c r="K26" t="s">
        <v>20</v>
      </c>
      <c r="M26" t="str">
        <f>+I44</f>
        <v>V</v>
      </c>
      <c r="N26">
        <f>+G44</f>
        <v>12.75</v>
      </c>
      <c r="O26" t="str">
        <f>+J44</f>
        <v>BOA</v>
      </c>
      <c r="P26">
        <f>+E44</f>
        <v>2457638.4139999999</v>
      </c>
      <c r="Q26" t="str">
        <f>+F44</f>
        <v>2016 Sep. 06.91400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370</v>
      </c>
      <c r="B28" t="s">
        <v>371</v>
      </c>
      <c r="C28" t="s">
        <v>67</v>
      </c>
      <c r="D28" t="s">
        <v>369</v>
      </c>
      <c r="E28" t="s">
        <v>31</v>
      </c>
      <c r="F28" t="s">
        <v>31</v>
      </c>
    </row>
    <row r="29" spans="1:17" x14ac:dyDescent="0.25">
      <c r="D29" t="s">
        <v>366</v>
      </c>
      <c r="E29">
        <v>2457659.2437499999</v>
      </c>
      <c r="F29" t="s">
        <v>2578</v>
      </c>
      <c r="G29">
        <v>13.07</v>
      </c>
      <c r="H29">
        <v>0.02</v>
      </c>
      <c r="I29" t="s">
        <v>18</v>
      </c>
      <c r="J29" t="s">
        <v>254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367</v>
      </c>
      <c r="B31" t="s">
        <v>368</v>
      </c>
      <c r="C31" t="s">
        <v>67</v>
      </c>
      <c r="D31" t="s">
        <v>369</v>
      </c>
      <c r="E31" t="s">
        <v>31</v>
      </c>
      <c r="F31" t="s">
        <v>31</v>
      </c>
    </row>
    <row r="32" spans="1:17" x14ac:dyDescent="0.25">
      <c r="D32" t="s">
        <v>366</v>
      </c>
      <c r="E32">
        <v>2457659.2437499999</v>
      </c>
      <c r="F32" t="s">
        <v>2578</v>
      </c>
      <c r="G32">
        <v>13.52</v>
      </c>
      <c r="H32">
        <v>0.02</v>
      </c>
      <c r="I32" t="s">
        <v>34</v>
      </c>
      <c r="J32" t="s">
        <v>254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370</v>
      </c>
      <c r="B34" t="s">
        <v>371</v>
      </c>
      <c r="C34" t="s">
        <v>67</v>
      </c>
      <c r="D34" t="s">
        <v>369</v>
      </c>
      <c r="E34" t="s">
        <v>31</v>
      </c>
      <c r="F34" t="s">
        <v>31</v>
      </c>
    </row>
    <row r="35" spans="1:11" x14ac:dyDescent="0.25">
      <c r="D35" t="s">
        <v>366</v>
      </c>
      <c r="E35">
        <v>2457655.3670000001</v>
      </c>
      <c r="F35" t="s">
        <v>2579</v>
      </c>
      <c r="G35">
        <v>13.1</v>
      </c>
      <c r="H35" t="s">
        <v>31</v>
      </c>
      <c r="I35" t="s">
        <v>18</v>
      </c>
      <c r="J35" t="s">
        <v>372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373</v>
      </c>
      <c r="B37" t="s">
        <v>31</v>
      </c>
      <c r="C37" t="s">
        <v>67</v>
      </c>
      <c r="E37" t="s">
        <v>31</v>
      </c>
      <c r="F37" t="s">
        <v>31</v>
      </c>
    </row>
    <row r="38" spans="1:11" x14ac:dyDescent="0.25">
      <c r="D38" t="s">
        <v>366</v>
      </c>
      <c r="E38">
        <v>2457640.409</v>
      </c>
      <c r="F38" t="s">
        <v>2580</v>
      </c>
      <c r="G38">
        <v>13.01</v>
      </c>
      <c r="H38" t="s">
        <v>31</v>
      </c>
      <c r="I38" t="s">
        <v>18</v>
      </c>
      <c r="J38" t="s">
        <v>372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373</v>
      </c>
      <c r="B40" t="s">
        <v>31</v>
      </c>
      <c r="C40" t="s">
        <v>67</v>
      </c>
      <c r="E40" t="s">
        <v>31</v>
      </c>
      <c r="F40" t="s">
        <v>31</v>
      </c>
    </row>
    <row r="41" spans="1:11" x14ac:dyDescent="0.25">
      <c r="D41" t="s">
        <v>366</v>
      </c>
      <c r="E41">
        <v>2457639.2729199999</v>
      </c>
      <c r="F41" t="s">
        <v>2251</v>
      </c>
      <c r="G41">
        <v>13.02</v>
      </c>
      <c r="H41">
        <v>0.01</v>
      </c>
      <c r="I41" t="s">
        <v>18</v>
      </c>
      <c r="J41" t="s">
        <v>254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367</v>
      </c>
      <c r="B43" t="s">
        <v>368</v>
      </c>
      <c r="C43" t="s">
        <v>67</v>
      </c>
      <c r="D43" t="s">
        <v>369</v>
      </c>
      <c r="E43" t="s">
        <v>31</v>
      </c>
      <c r="F43" t="s">
        <v>31</v>
      </c>
    </row>
    <row r="44" spans="1:11" x14ac:dyDescent="0.25">
      <c r="D44" t="s">
        <v>366</v>
      </c>
      <c r="E44">
        <v>2457638.4139999999</v>
      </c>
      <c r="F44" t="s">
        <v>2581</v>
      </c>
      <c r="G44">
        <v>12.75</v>
      </c>
      <c r="H44" t="s">
        <v>31</v>
      </c>
      <c r="I44" t="s">
        <v>18</v>
      </c>
      <c r="J44" t="s">
        <v>372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373</v>
      </c>
      <c r="B46" t="s">
        <v>31</v>
      </c>
      <c r="C46" t="s">
        <v>67</v>
      </c>
      <c r="E46" t="s">
        <v>31</v>
      </c>
      <c r="F46" t="s">
        <v>31</v>
      </c>
    </row>
    <row r="47" spans="1:11" x14ac:dyDescent="0.25">
      <c r="D47" t="s">
        <v>366</v>
      </c>
      <c r="E47">
        <v>2457631.4330000002</v>
      </c>
      <c r="F47" t="s">
        <v>2252</v>
      </c>
      <c r="G47">
        <v>12.99</v>
      </c>
      <c r="H47" t="s">
        <v>31</v>
      </c>
      <c r="I47" t="s">
        <v>18</v>
      </c>
      <c r="J47" t="s">
        <v>372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373</v>
      </c>
      <c r="B49" t="s">
        <v>31</v>
      </c>
      <c r="C49" t="s">
        <v>67</v>
      </c>
      <c r="E49" t="s">
        <v>31</v>
      </c>
      <c r="F49" t="s">
        <v>31</v>
      </c>
    </row>
    <row r="50" spans="1:11" x14ac:dyDescent="0.25">
      <c r="D50" t="s">
        <v>366</v>
      </c>
      <c r="E50">
        <v>2457630.4360000002</v>
      </c>
      <c r="F50" t="s">
        <v>2253</v>
      </c>
      <c r="G50">
        <v>13</v>
      </c>
      <c r="H50" t="s">
        <v>31</v>
      </c>
      <c r="I50" t="s">
        <v>18</v>
      </c>
      <c r="J50" t="s">
        <v>372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373</v>
      </c>
      <c r="B52" t="s">
        <v>31</v>
      </c>
      <c r="C52" t="s">
        <v>67</v>
      </c>
      <c r="E52" t="s">
        <v>31</v>
      </c>
      <c r="F52" t="s">
        <v>31</v>
      </c>
    </row>
    <row r="53" spans="1:11" x14ac:dyDescent="0.25">
      <c r="D53" t="s">
        <v>366</v>
      </c>
      <c r="E53">
        <v>2457627.2902799998</v>
      </c>
      <c r="F53" t="s">
        <v>2151</v>
      </c>
      <c r="G53">
        <v>12.95</v>
      </c>
      <c r="H53">
        <v>1.4999999999999999E-2</v>
      </c>
      <c r="I53" t="s">
        <v>18</v>
      </c>
      <c r="J53" t="s">
        <v>254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367</v>
      </c>
      <c r="B55" t="s">
        <v>368</v>
      </c>
      <c r="C55" t="s">
        <v>67</v>
      </c>
      <c r="D55" t="s">
        <v>369</v>
      </c>
      <c r="E55" t="s">
        <v>31</v>
      </c>
      <c r="F55" t="s">
        <v>31</v>
      </c>
    </row>
    <row r="56" spans="1:11" x14ac:dyDescent="0.25">
      <c r="D56" t="s">
        <v>366</v>
      </c>
      <c r="E56">
        <v>2457627.2902799998</v>
      </c>
      <c r="F56" t="s">
        <v>2151</v>
      </c>
      <c r="G56">
        <v>13.49</v>
      </c>
      <c r="H56">
        <v>0.03</v>
      </c>
      <c r="I56" t="s">
        <v>34</v>
      </c>
      <c r="J56" t="s">
        <v>254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370</v>
      </c>
      <c r="B58" t="s">
        <v>371</v>
      </c>
      <c r="C58" t="s">
        <v>67</v>
      </c>
      <c r="D58" t="s">
        <v>369</v>
      </c>
      <c r="E58" t="s">
        <v>31</v>
      </c>
      <c r="F58" t="s">
        <v>31</v>
      </c>
    </row>
    <row r="59" spans="1:11" x14ac:dyDescent="0.25">
      <c r="D59" t="s">
        <v>366</v>
      </c>
      <c r="E59">
        <v>2457625.2875000001</v>
      </c>
      <c r="F59" t="s">
        <v>2152</v>
      </c>
      <c r="G59">
        <v>12.9</v>
      </c>
      <c r="H59">
        <v>1.4999999999999999E-2</v>
      </c>
      <c r="I59" t="s">
        <v>18</v>
      </c>
      <c r="J59" t="s">
        <v>254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367</v>
      </c>
      <c r="B61" t="s">
        <v>368</v>
      </c>
      <c r="C61" t="s">
        <v>67</v>
      </c>
      <c r="D61" t="s">
        <v>369</v>
      </c>
      <c r="E61" t="s">
        <v>31</v>
      </c>
      <c r="F61" t="s">
        <v>31</v>
      </c>
    </row>
    <row r="62" spans="1:11" x14ac:dyDescent="0.25">
      <c r="D62" t="s">
        <v>366</v>
      </c>
      <c r="E62">
        <v>2457625.2875000001</v>
      </c>
      <c r="F62" t="s">
        <v>2152</v>
      </c>
      <c r="G62">
        <v>13.45</v>
      </c>
      <c r="H62">
        <v>0.05</v>
      </c>
      <c r="I62" t="s">
        <v>34</v>
      </c>
      <c r="J62" t="s">
        <v>254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370</v>
      </c>
      <c r="B64" t="s">
        <v>371</v>
      </c>
      <c r="C64" t="s">
        <v>67</v>
      </c>
      <c r="D64" t="s">
        <v>369</v>
      </c>
      <c r="E64" t="s">
        <v>31</v>
      </c>
      <c r="F64" t="s">
        <v>31</v>
      </c>
    </row>
    <row r="65" spans="1:11" x14ac:dyDescent="0.25">
      <c r="D65" t="s">
        <v>366</v>
      </c>
      <c r="E65">
        <v>2457624.4530000002</v>
      </c>
      <c r="F65" t="s">
        <v>2254</v>
      </c>
      <c r="G65">
        <v>12.92</v>
      </c>
      <c r="H65" t="s">
        <v>31</v>
      </c>
      <c r="I65" t="s">
        <v>18</v>
      </c>
      <c r="J65" t="s">
        <v>372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373</v>
      </c>
      <c r="B67" t="s">
        <v>31</v>
      </c>
      <c r="C67" t="s">
        <v>67</v>
      </c>
      <c r="E67" t="s">
        <v>31</v>
      </c>
      <c r="F67" t="s">
        <v>31</v>
      </c>
    </row>
    <row r="68" spans="1:11" x14ac:dyDescent="0.25">
      <c r="D68" t="s">
        <v>366</v>
      </c>
      <c r="E68">
        <v>2457617.4720000001</v>
      </c>
      <c r="F68" t="s">
        <v>2255</v>
      </c>
      <c r="G68">
        <v>12.96</v>
      </c>
      <c r="H68" t="s">
        <v>31</v>
      </c>
      <c r="I68" t="s">
        <v>18</v>
      </c>
      <c r="J68" t="s">
        <v>372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373</v>
      </c>
      <c r="B70" t="s">
        <v>31</v>
      </c>
      <c r="C70" t="s">
        <v>67</v>
      </c>
      <c r="E70" t="s">
        <v>31</v>
      </c>
      <c r="F70" t="s">
        <v>31</v>
      </c>
    </row>
    <row r="71" spans="1:11" x14ac:dyDescent="0.25">
      <c r="D71" t="s">
        <v>366</v>
      </c>
      <c r="E71">
        <v>2457613.4819999998</v>
      </c>
      <c r="F71" t="s">
        <v>2024</v>
      </c>
      <c r="G71">
        <v>12.88</v>
      </c>
      <c r="H71" t="s">
        <v>31</v>
      </c>
      <c r="I71" t="s">
        <v>18</v>
      </c>
      <c r="J71" t="s">
        <v>372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373</v>
      </c>
      <c r="B73" t="s">
        <v>31</v>
      </c>
      <c r="C73" t="s">
        <v>67</v>
      </c>
      <c r="E73" t="s">
        <v>31</v>
      </c>
      <c r="F73" t="s">
        <v>31</v>
      </c>
    </row>
    <row r="74" spans="1:11" x14ac:dyDescent="0.25">
      <c r="D74" t="s">
        <v>366</v>
      </c>
      <c r="E74">
        <v>2457607.4989999998</v>
      </c>
      <c r="F74" t="s">
        <v>2256</v>
      </c>
      <c r="G74">
        <v>12.88</v>
      </c>
      <c r="H74" t="s">
        <v>31</v>
      </c>
      <c r="I74" t="s">
        <v>18</v>
      </c>
      <c r="J74" t="s">
        <v>372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373</v>
      </c>
      <c r="B76" t="s">
        <v>31</v>
      </c>
      <c r="C76" t="s">
        <v>67</v>
      </c>
      <c r="E76" t="s">
        <v>31</v>
      </c>
      <c r="F76" t="s">
        <v>31</v>
      </c>
    </row>
    <row r="77" spans="1:11" x14ac:dyDescent="0.25">
      <c r="D77" t="s">
        <v>366</v>
      </c>
      <c r="E77">
        <v>2457604.44306</v>
      </c>
      <c r="F77" t="s">
        <v>2153</v>
      </c>
      <c r="G77">
        <v>12.83</v>
      </c>
      <c r="H77">
        <v>0.02</v>
      </c>
      <c r="I77" t="s">
        <v>18</v>
      </c>
      <c r="J77" t="s">
        <v>254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367</v>
      </c>
      <c r="B79" t="s">
        <v>368</v>
      </c>
      <c r="C79" t="s">
        <v>67</v>
      </c>
      <c r="D79" t="s">
        <v>369</v>
      </c>
      <c r="E79" t="s">
        <v>31</v>
      </c>
      <c r="F79" t="s">
        <v>31</v>
      </c>
    </row>
    <row r="80" spans="1:11" x14ac:dyDescent="0.25">
      <c r="D80" t="s">
        <v>212</v>
      </c>
      <c r="E80">
        <v>2457599.3597200001</v>
      </c>
      <c r="F80" t="s">
        <v>1895</v>
      </c>
      <c r="G80">
        <v>13.49</v>
      </c>
      <c r="H80">
        <v>1.4999999999999999E-2</v>
      </c>
      <c r="I80" t="s">
        <v>34</v>
      </c>
      <c r="J80" t="s">
        <v>254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370</v>
      </c>
      <c r="B82" t="s">
        <v>371</v>
      </c>
      <c r="C82" t="s">
        <v>67</v>
      </c>
      <c r="D82" t="s">
        <v>369</v>
      </c>
      <c r="E82" t="s">
        <v>31</v>
      </c>
      <c r="F82" t="s">
        <v>31</v>
      </c>
    </row>
    <row r="83" spans="1:11" x14ac:dyDescent="0.25">
      <c r="D83" t="s">
        <v>366</v>
      </c>
      <c r="E83">
        <v>2457599.3597200001</v>
      </c>
      <c r="F83" t="s">
        <v>1895</v>
      </c>
      <c r="G83">
        <v>12.89</v>
      </c>
      <c r="H83">
        <v>1.4999999999999999E-2</v>
      </c>
      <c r="I83" t="s">
        <v>18</v>
      </c>
      <c r="J83" t="s">
        <v>254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367</v>
      </c>
      <c r="B85" t="s">
        <v>368</v>
      </c>
      <c r="C85" t="s">
        <v>67</v>
      </c>
      <c r="D85" t="s">
        <v>369</v>
      </c>
      <c r="E85" t="s">
        <v>31</v>
      </c>
      <c r="F85" t="s">
        <v>31</v>
      </c>
    </row>
    <row r="86" spans="1:11" x14ac:dyDescent="0.25">
      <c r="D86" t="s">
        <v>366</v>
      </c>
      <c r="E86">
        <v>2457593.5380000002</v>
      </c>
      <c r="F86" t="s">
        <v>1896</v>
      </c>
      <c r="G86">
        <v>12.93</v>
      </c>
      <c r="H86" t="s">
        <v>31</v>
      </c>
      <c r="I86" t="s">
        <v>18</v>
      </c>
      <c r="J86" t="s">
        <v>372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373</v>
      </c>
      <c r="B88" t="s">
        <v>31</v>
      </c>
      <c r="C88" t="s">
        <v>67</v>
      </c>
      <c r="E88" t="s">
        <v>31</v>
      </c>
      <c r="F88" t="s">
        <v>31</v>
      </c>
    </row>
    <row r="89" spans="1:11" x14ac:dyDescent="0.25">
      <c r="D89" t="s">
        <v>366</v>
      </c>
      <c r="E89">
        <v>2457588.5520000001</v>
      </c>
      <c r="F89" t="s">
        <v>1897</v>
      </c>
      <c r="G89">
        <v>12.93</v>
      </c>
      <c r="H89" t="s">
        <v>31</v>
      </c>
      <c r="I89" t="s">
        <v>18</v>
      </c>
      <c r="J89" t="s">
        <v>372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373</v>
      </c>
      <c r="B91" t="s">
        <v>31</v>
      </c>
      <c r="C91" t="s">
        <v>67</v>
      </c>
      <c r="E91" t="s">
        <v>31</v>
      </c>
      <c r="F91" t="s">
        <v>31</v>
      </c>
    </row>
    <row r="92" spans="1:11" x14ac:dyDescent="0.25">
      <c r="A92" t="s">
        <v>1431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A1:Q92"/>
  <sheetViews>
    <sheetView workbookViewId="0">
      <selection activeCell="F17" sqref="F17"/>
    </sheetView>
  </sheetViews>
  <sheetFormatPr baseColWidth="10" defaultRowHeight="15" x14ac:dyDescent="0.25"/>
  <cols>
    <col min="1" max="1" width="12.140625" customWidth="1"/>
    <col min="2" max="2" width="19.42578125" customWidth="1"/>
    <col min="3" max="3" width="12.28515625" bestFit="1" customWidth="1"/>
    <col min="4" max="4" width="9.7109375" customWidth="1"/>
    <col min="5" max="5" width="15.5703125" bestFit="1" customWidth="1"/>
    <col min="6" max="6" width="17.710937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1201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2582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1202</v>
      </c>
      <c r="E17">
        <v>2457715.442144</v>
      </c>
      <c r="F17" t="s">
        <v>2583</v>
      </c>
      <c r="G17">
        <v>8.5830000000000002</v>
      </c>
      <c r="H17">
        <v>3.4000000000000002E-2</v>
      </c>
      <c r="I17" t="s">
        <v>250</v>
      </c>
      <c r="J17" t="s">
        <v>690</v>
      </c>
      <c r="K17" t="s">
        <v>20</v>
      </c>
      <c r="M17" t="str">
        <f>+I17</f>
        <v>R</v>
      </c>
      <c r="N17">
        <f>+G17</f>
        <v>8.5830000000000002</v>
      </c>
      <c r="O17" t="str">
        <f>+J17</f>
        <v>HKEB</v>
      </c>
      <c r="P17">
        <f>+E17</f>
        <v>2457715.442144</v>
      </c>
      <c r="Q17" t="str">
        <f>+F17</f>
        <v>2016 Nov. 22.94214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11.037000000000001</v>
      </c>
      <c r="O18" t="str">
        <f>+J20</f>
        <v>HKEB</v>
      </c>
      <c r="P18">
        <f>+E20</f>
        <v>2457715.4416939998</v>
      </c>
      <c r="Q18" t="str">
        <f>+F20</f>
        <v>2016 Nov. 22.94169</v>
      </c>
    </row>
    <row r="19" spans="1:17" x14ac:dyDescent="0.25">
      <c r="A19" t="s">
        <v>27</v>
      </c>
      <c r="B19" t="s">
        <v>2584</v>
      </c>
      <c r="C19" t="s">
        <v>29</v>
      </c>
      <c r="D19" t="s">
        <v>2154</v>
      </c>
      <c r="E19" t="s">
        <v>31</v>
      </c>
      <c r="F19" t="s">
        <v>2155</v>
      </c>
      <c r="M19" t="str">
        <f>+I23</f>
        <v>B</v>
      </c>
      <c r="N19">
        <f>+G23</f>
        <v>11.914999999999999</v>
      </c>
      <c r="O19" t="str">
        <f>+J23</f>
        <v>KNAA</v>
      </c>
      <c r="P19">
        <f>+E23</f>
        <v>2457714.7287499998</v>
      </c>
      <c r="Q19" t="str">
        <f>+F23</f>
        <v>2016 Nov. 22.22875</v>
      </c>
    </row>
    <row r="20" spans="1:17" x14ac:dyDescent="0.25">
      <c r="D20" t="s">
        <v>1202</v>
      </c>
      <c r="E20">
        <v>2457715.4416939998</v>
      </c>
      <c r="F20" t="s">
        <v>2585</v>
      </c>
      <c r="G20">
        <v>11.037000000000001</v>
      </c>
      <c r="H20">
        <v>2.7E-2</v>
      </c>
      <c r="I20" t="s">
        <v>18</v>
      </c>
      <c r="J20" t="s">
        <v>690</v>
      </c>
      <c r="K20" t="s">
        <v>20</v>
      </c>
      <c r="M20" t="str">
        <f>+I26</f>
        <v>V</v>
      </c>
      <c r="N20">
        <f>+G26</f>
        <v>11.097</v>
      </c>
      <c r="O20" t="str">
        <f>+J26</f>
        <v>KNAA</v>
      </c>
      <c r="P20">
        <f>+E26</f>
        <v>2457714.7278900002</v>
      </c>
      <c r="Q20" t="str">
        <f>+F26</f>
        <v>2016 Nov. 22.22789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11.04</v>
      </c>
      <c r="O21" t="str">
        <f>+J29</f>
        <v>JM</v>
      </c>
      <c r="P21">
        <f>+E29</f>
        <v>2457713.6618499998</v>
      </c>
      <c r="Q21" t="str">
        <f>+F29</f>
        <v>2016 Nov. 21.16185</v>
      </c>
    </row>
    <row r="22" spans="1:17" x14ac:dyDescent="0.25">
      <c r="A22" t="s">
        <v>27</v>
      </c>
      <c r="B22" t="s">
        <v>2586</v>
      </c>
      <c r="C22" t="s">
        <v>29</v>
      </c>
      <c r="D22" t="s">
        <v>2154</v>
      </c>
      <c r="E22" t="s">
        <v>31</v>
      </c>
      <c r="F22" t="s">
        <v>2155</v>
      </c>
      <c r="M22" t="str">
        <f>+I32</f>
        <v>B</v>
      </c>
      <c r="N22">
        <f>+G32</f>
        <v>11.677</v>
      </c>
      <c r="O22" t="str">
        <f>+J32</f>
        <v>JM</v>
      </c>
      <c r="P22">
        <f>+E32</f>
        <v>2457713.66004</v>
      </c>
      <c r="Q22" t="str">
        <f>+F32</f>
        <v>2016 Nov. 21.16004</v>
      </c>
    </row>
    <row r="23" spans="1:17" x14ac:dyDescent="0.25">
      <c r="D23" t="s">
        <v>1202</v>
      </c>
      <c r="E23">
        <v>2457714.7287499998</v>
      </c>
      <c r="F23" t="s">
        <v>2587</v>
      </c>
      <c r="G23">
        <v>11.914999999999999</v>
      </c>
      <c r="H23">
        <v>6.0000000000000001E-3</v>
      </c>
      <c r="I23" t="s">
        <v>34</v>
      </c>
      <c r="J23" t="s">
        <v>2588</v>
      </c>
      <c r="K23" t="s">
        <v>20</v>
      </c>
      <c r="M23" t="str">
        <f>+I35</f>
        <v>I</v>
      </c>
      <c r="N23">
        <f>+G35</f>
        <v>6.1689999999999996</v>
      </c>
      <c r="O23" t="str">
        <f>+J35</f>
        <v>JM</v>
      </c>
      <c r="P23">
        <f>+E35</f>
        <v>2457713.6587100001</v>
      </c>
      <c r="Q23" t="str">
        <f>+F35</f>
        <v>2016 Nov. 21.15871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R</v>
      </c>
      <c r="N24">
        <f>+G38</f>
        <v>8.5820000000000007</v>
      </c>
      <c r="O24" t="str">
        <f>+J38</f>
        <v>JM</v>
      </c>
      <c r="P24">
        <f>+E38</f>
        <v>2457713.65796</v>
      </c>
      <c r="Q24" t="str">
        <f>+F38</f>
        <v>2016 Nov. 21.15796</v>
      </c>
    </row>
    <row r="25" spans="1:17" x14ac:dyDescent="0.25">
      <c r="A25" t="s">
        <v>2589</v>
      </c>
      <c r="B25" t="s">
        <v>2590</v>
      </c>
      <c r="C25" t="s">
        <v>29</v>
      </c>
      <c r="D25" t="s">
        <v>2591</v>
      </c>
      <c r="E25" t="s">
        <v>31</v>
      </c>
      <c r="F25" t="s">
        <v>31</v>
      </c>
      <c r="M25" t="str">
        <f>+I41</f>
        <v>V</v>
      </c>
      <c r="N25">
        <f>+G41</f>
        <v>11.202</v>
      </c>
      <c r="O25" t="str">
        <f>+J41</f>
        <v>JM</v>
      </c>
      <c r="P25">
        <f>+E41</f>
        <v>2457706.6655999999</v>
      </c>
      <c r="Q25" t="str">
        <f>+F41</f>
        <v>2016 Nov. 14.16560</v>
      </c>
    </row>
    <row r="26" spans="1:17" x14ac:dyDescent="0.25">
      <c r="D26" t="s">
        <v>1202</v>
      </c>
      <c r="E26">
        <v>2457714.7278900002</v>
      </c>
      <c r="F26" t="s">
        <v>2592</v>
      </c>
      <c r="G26">
        <v>11.097</v>
      </c>
      <c r="H26">
        <v>4.0000000000000001E-3</v>
      </c>
      <c r="I26" t="s">
        <v>18</v>
      </c>
      <c r="J26" t="s">
        <v>2588</v>
      </c>
      <c r="K26" t="s">
        <v>20</v>
      </c>
      <c r="M26" t="str">
        <f>+I44</f>
        <v>B</v>
      </c>
      <c r="N26">
        <f>+G44</f>
        <v>11.82</v>
      </c>
      <c r="O26" t="str">
        <f>+J44</f>
        <v>JM</v>
      </c>
      <c r="P26">
        <f>+E44</f>
        <v>2457706.6638500001</v>
      </c>
      <c r="Q26" t="str">
        <f>+F44</f>
        <v>2016 Nov. 14.16385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2593</v>
      </c>
      <c r="B28" t="s">
        <v>2594</v>
      </c>
      <c r="C28" t="s">
        <v>29</v>
      </c>
      <c r="D28" t="s">
        <v>2591</v>
      </c>
      <c r="E28" t="s">
        <v>31</v>
      </c>
      <c r="F28" t="s">
        <v>31</v>
      </c>
    </row>
    <row r="29" spans="1:17" x14ac:dyDescent="0.25">
      <c r="D29" t="s">
        <v>1202</v>
      </c>
      <c r="E29">
        <v>2457713.6618499998</v>
      </c>
      <c r="F29" t="s">
        <v>2595</v>
      </c>
      <c r="G29">
        <v>11.04</v>
      </c>
      <c r="H29">
        <v>0.02</v>
      </c>
      <c r="I29" t="s">
        <v>18</v>
      </c>
      <c r="J29" t="s">
        <v>248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2260</v>
      </c>
      <c r="B31" t="s">
        <v>2596</v>
      </c>
      <c r="C31" t="s">
        <v>67</v>
      </c>
      <c r="D31" t="s">
        <v>2258</v>
      </c>
      <c r="E31" t="s">
        <v>31</v>
      </c>
      <c r="F31" t="s">
        <v>31</v>
      </c>
    </row>
    <row r="32" spans="1:17" x14ac:dyDescent="0.25">
      <c r="D32" t="s">
        <v>1202</v>
      </c>
      <c r="E32">
        <v>2457713.66004</v>
      </c>
      <c r="F32" t="s">
        <v>2597</v>
      </c>
      <c r="G32">
        <v>11.677</v>
      </c>
      <c r="H32">
        <v>0.02</v>
      </c>
      <c r="I32" t="s">
        <v>34</v>
      </c>
      <c r="J32" t="s">
        <v>248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2261</v>
      </c>
      <c r="B34" t="s">
        <v>2598</v>
      </c>
      <c r="C34" t="s">
        <v>67</v>
      </c>
      <c r="D34" t="s">
        <v>2258</v>
      </c>
      <c r="E34" t="s">
        <v>31</v>
      </c>
      <c r="F34" t="s">
        <v>31</v>
      </c>
    </row>
    <row r="35" spans="1:11" x14ac:dyDescent="0.25">
      <c r="D35" t="s">
        <v>1202</v>
      </c>
      <c r="E35">
        <v>2457713.6587100001</v>
      </c>
      <c r="F35" t="s">
        <v>2599</v>
      </c>
      <c r="G35">
        <v>6.1689999999999996</v>
      </c>
      <c r="H35">
        <v>0.02</v>
      </c>
      <c r="I35" t="s">
        <v>249</v>
      </c>
      <c r="J35" t="s">
        <v>248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2257</v>
      </c>
      <c r="B37" t="s">
        <v>2600</v>
      </c>
      <c r="C37" t="s">
        <v>67</v>
      </c>
      <c r="D37" t="s">
        <v>2258</v>
      </c>
      <c r="E37" t="s">
        <v>31</v>
      </c>
      <c r="F37" t="s">
        <v>31</v>
      </c>
    </row>
    <row r="38" spans="1:11" x14ac:dyDescent="0.25">
      <c r="D38" t="s">
        <v>1202</v>
      </c>
      <c r="E38">
        <v>2457713.65796</v>
      </c>
      <c r="F38" t="s">
        <v>2601</v>
      </c>
      <c r="G38">
        <v>8.5820000000000007</v>
      </c>
      <c r="H38">
        <v>0.02</v>
      </c>
      <c r="I38" t="s">
        <v>250</v>
      </c>
      <c r="J38" t="s">
        <v>248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2259</v>
      </c>
      <c r="B40" t="s">
        <v>2602</v>
      </c>
      <c r="C40" t="s">
        <v>67</v>
      </c>
      <c r="D40" t="s">
        <v>2258</v>
      </c>
      <c r="E40" t="s">
        <v>31</v>
      </c>
      <c r="F40" t="s">
        <v>31</v>
      </c>
    </row>
    <row r="41" spans="1:11" x14ac:dyDescent="0.25">
      <c r="D41" t="s">
        <v>1202</v>
      </c>
      <c r="E41">
        <v>2457706.6655999999</v>
      </c>
      <c r="F41" t="s">
        <v>2603</v>
      </c>
      <c r="G41">
        <v>11.202</v>
      </c>
      <c r="H41">
        <v>0.02</v>
      </c>
      <c r="I41" t="s">
        <v>18</v>
      </c>
      <c r="J41" t="s">
        <v>248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2260</v>
      </c>
      <c r="B43" t="s">
        <v>2604</v>
      </c>
      <c r="C43" t="s">
        <v>67</v>
      </c>
      <c r="D43" t="s">
        <v>2258</v>
      </c>
      <c r="E43" t="s">
        <v>31</v>
      </c>
      <c r="F43" t="s">
        <v>31</v>
      </c>
    </row>
    <row r="44" spans="1:11" x14ac:dyDescent="0.25">
      <c r="D44" t="s">
        <v>1202</v>
      </c>
      <c r="E44">
        <v>2457706.6638500001</v>
      </c>
      <c r="F44" t="s">
        <v>2605</v>
      </c>
      <c r="G44">
        <v>11.82</v>
      </c>
      <c r="H44">
        <v>0.02</v>
      </c>
      <c r="I44" t="s">
        <v>34</v>
      </c>
      <c r="J44" t="s">
        <v>248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2261</v>
      </c>
      <c r="B46" t="s">
        <v>2606</v>
      </c>
      <c r="C46" t="s">
        <v>67</v>
      </c>
      <c r="D46" t="s">
        <v>2258</v>
      </c>
      <c r="E46" t="s">
        <v>31</v>
      </c>
      <c r="F46" t="s">
        <v>31</v>
      </c>
    </row>
    <row r="47" spans="1:11" x14ac:dyDescent="0.25">
      <c r="D47" t="s">
        <v>1202</v>
      </c>
      <c r="E47">
        <v>2457706.66261</v>
      </c>
      <c r="F47" t="s">
        <v>2607</v>
      </c>
      <c r="G47">
        <v>5.94</v>
      </c>
      <c r="H47">
        <v>0.02</v>
      </c>
      <c r="I47" t="s">
        <v>249</v>
      </c>
      <c r="J47" t="s">
        <v>248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2257</v>
      </c>
      <c r="B49" t="s">
        <v>2608</v>
      </c>
      <c r="C49" t="s">
        <v>67</v>
      </c>
      <c r="D49" t="s">
        <v>2258</v>
      </c>
      <c r="E49" t="s">
        <v>31</v>
      </c>
      <c r="F49" t="s">
        <v>31</v>
      </c>
    </row>
    <row r="50" spans="1:11" x14ac:dyDescent="0.25">
      <c r="D50" t="s">
        <v>1202</v>
      </c>
      <c r="E50">
        <v>2457706.6619299999</v>
      </c>
      <c r="F50" t="s">
        <v>2609</v>
      </c>
      <c r="G50">
        <v>8.5370000000000008</v>
      </c>
      <c r="H50">
        <v>0.02</v>
      </c>
      <c r="I50" t="s">
        <v>250</v>
      </c>
      <c r="J50" t="s">
        <v>248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2259</v>
      </c>
      <c r="B52" t="s">
        <v>2610</v>
      </c>
      <c r="C52" t="s">
        <v>67</v>
      </c>
      <c r="D52" t="s">
        <v>2258</v>
      </c>
      <c r="E52" t="s">
        <v>31</v>
      </c>
      <c r="F52" t="s">
        <v>31</v>
      </c>
    </row>
    <row r="53" spans="1:11" x14ac:dyDescent="0.25">
      <c r="D53" t="s">
        <v>1202</v>
      </c>
      <c r="E53">
        <v>2457705.6759100002</v>
      </c>
      <c r="F53" t="s">
        <v>2611</v>
      </c>
      <c r="G53">
        <v>11.188000000000001</v>
      </c>
      <c r="H53">
        <v>0.02</v>
      </c>
      <c r="I53" t="s">
        <v>18</v>
      </c>
      <c r="J53" t="s">
        <v>248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2260</v>
      </c>
      <c r="B55" t="s">
        <v>2612</v>
      </c>
      <c r="C55" t="s">
        <v>67</v>
      </c>
      <c r="D55" t="s">
        <v>2258</v>
      </c>
      <c r="E55" t="s">
        <v>31</v>
      </c>
      <c r="F55" t="s">
        <v>31</v>
      </c>
    </row>
    <row r="56" spans="1:11" x14ac:dyDescent="0.25">
      <c r="D56" t="s">
        <v>1202</v>
      </c>
      <c r="E56">
        <v>2457705.67417</v>
      </c>
      <c r="F56" t="s">
        <v>2613</v>
      </c>
      <c r="G56">
        <v>11.762</v>
      </c>
      <c r="H56">
        <v>0.02</v>
      </c>
      <c r="I56" t="s">
        <v>34</v>
      </c>
      <c r="J56" t="s">
        <v>248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2261</v>
      </c>
      <c r="B58" t="s">
        <v>2614</v>
      </c>
      <c r="C58" t="s">
        <v>67</v>
      </c>
      <c r="D58" t="s">
        <v>2258</v>
      </c>
      <c r="E58" t="s">
        <v>31</v>
      </c>
      <c r="F58" t="s">
        <v>31</v>
      </c>
    </row>
    <row r="59" spans="1:11" x14ac:dyDescent="0.25">
      <c r="D59" t="s">
        <v>1202</v>
      </c>
      <c r="E59">
        <v>2457705.6729199998</v>
      </c>
      <c r="F59" t="s">
        <v>2615</v>
      </c>
      <c r="G59">
        <v>5.5549999999999997</v>
      </c>
      <c r="H59">
        <v>0.02</v>
      </c>
      <c r="I59" t="s">
        <v>249</v>
      </c>
      <c r="J59" t="s">
        <v>248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2257</v>
      </c>
      <c r="B61" t="s">
        <v>2616</v>
      </c>
      <c r="C61" t="s">
        <v>67</v>
      </c>
      <c r="D61" t="s">
        <v>2258</v>
      </c>
      <c r="E61" t="s">
        <v>31</v>
      </c>
      <c r="F61" t="s">
        <v>31</v>
      </c>
    </row>
    <row r="62" spans="1:11" x14ac:dyDescent="0.25">
      <c r="D62" t="s">
        <v>1202</v>
      </c>
      <c r="E62">
        <v>2457705.67221</v>
      </c>
      <c r="F62" t="s">
        <v>2617</v>
      </c>
      <c r="G62">
        <v>8.5350000000000001</v>
      </c>
      <c r="H62">
        <v>0.02</v>
      </c>
      <c r="I62" t="s">
        <v>250</v>
      </c>
      <c r="J62" t="s">
        <v>248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2259</v>
      </c>
      <c r="B64" t="s">
        <v>2618</v>
      </c>
      <c r="C64" t="s">
        <v>67</v>
      </c>
      <c r="D64" t="s">
        <v>2258</v>
      </c>
      <c r="E64" t="s">
        <v>31</v>
      </c>
      <c r="F64" t="s">
        <v>31</v>
      </c>
    </row>
    <row r="65" spans="1:11" x14ac:dyDescent="0.25">
      <c r="D65" t="s">
        <v>2619</v>
      </c>
      <c r="E65">
        <v>2457705.04324</v>
      </c>
      <c r="F65" t="s">
        <v>2620</v>
      </c>
      <c r="G65">
        <v>11.180999999999999</v>
      </c>
      <c r="H65">
        <v>2.7E-2</v>
      </c>
      <c r="I65" t="s">
        <v>18</v>
      </c>
      <c r="J65" t="s">
        <v>2621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27</v>
      </c>
      <c r="B67" t="s">
        <v>2622</v>
      </c>
      <c r="C67" t="s">
        <v>67</v>
      </c>
      <c r="D67">
        <v>161114</v>
      </c>
      <c r="E67" t="s">
        <v>31</v>
      </c>
      <c r="F67" t="s">
        <v>31</v>
      </c>
    </row>
    <row r="68" spans="1:11" x14ac:dyDescent="0.25">
      <c r="D68" t="s">
        <v>2619</v>
      </c>
      <c r="E68">
        <v>2457704.8662999999</v>
      </c>
      <c r="F68" t="s">
        <v>2623</v>
      </c>
      <c r="G68">
        <v>11.118</v>
      </c>
      <c r="H68">
        <v>3.1E-2</v>
      </c>
      <c r="I68" t="s">
        <v>18</v>
      </c>
      <c r="J68" t="s">
        <v>2621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2624</v>
      </c>
      <c r="C70" t="s">
        <v>67</v>
      </c>
      <c r="D70">
        <v>161114</v>
      </c>
      <c r="E70" t="s">
        <v>31</v>
      </c>
      <c r="F70" t="s">
        <v>31</v>
      </c>
    </row>
    <row r="71" spans="1:11" x14ac:dyDescent="0.25">
      <c r="D71" t="s">
        <v>1202</v>
      </c>
      <c r="E71">
        <v>2457701.6725400002</v>
      </c>
      <c r="F71" t="s">
        <v>2625</v>
      </c>
      <c r="G71">
        <v>11.173999999999999</v>
      </c>
      <c r="H71">
        <v>0.02</v>
      </c>
      <c r="I71" t="s">
        <v>18</v>
      </c>
      <c r="J71" t="s">
        <v>248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2260</v>
      </c>
      <c r="B73" t="s">
        <v>2626</v>
      </c>
      <c r="C73" t="s">
        <v>67</v>
      </c>
      <c r="D73" t="s">
        <v>2258</v>
      </c>
      <c r="E73" t="s">
        <v>31</v>
      </c>
      <c r="F73" t="s">
        <v>31</v>
      </c>
    </row>
    <row r="74" spans="1:11" x14ac:dyDescent="0.25">
      <c r="D74" t="s">
        <v>1202</v>
      </c>
      <c r="E74">
        <v>2457701.67081</v>
      </c>
      <c r="F74" t="s">
        <v>2627</v>
      </c>
      <c r="G74">
        <v>11.855</v>
      </c>
      <c r="H74">
        <v>0.02</v>
      </c>
      <c r="I74" t="s">
        <v>34</v>
      </c>
      <c r="J74" t="s">
        <v>248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2261</v>
      </c>
      <c r="B76" t="s">
        <v>2628</v>
      </c>
      <c r="C76" t="s">
        <v>67</v>
      </c>
      <c r="D76" t="s">
        <v>2258</v>
      </c>
      <c r="E76" t="s">
        <v>31</v>
      </c>
      <c r="F76" t="s">
        <v>31</v>
      </c>
    </row>
    <row r="77" spans="1:11" x14ac:dyDescent="0.25">
      <c r="D77" t="s">
        <v>1202</v>
      </c>
      <c r="E77">
        <v>2457701.6695699999</v>
      </c>
      <c r="F77" t="s">
        <v>2629</v>
      </c>
      <c r="G77">
        <v>5.9340000000000002</v>
      </c>
      <c r="H77">
        <v>0.02</v>
      </c>
      <c r="I77" t="s">
        <v>249</v>
      </c>
      <c r="J77" t="s">
        <v>248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2257</v>
      </c>
      <c r="B79" t="s">
        <v>2630</v>
      </c>
      <c r="C79" t="s">
        <v>67</v>
      </c>
      <c r="D79" t="s">
        <v>2258</v>
      </c>
      <c r="E79" t="s">
        <v>31</v>
      </c>
      <c r="F79" t="s">
        <v>31</v>
      </c>
    </row>
    <row r="80" spans="1:11" x14ac:dyDescent="0.25">
      <c r="D80" t="s">
        <v>1202</v>
      </c>
      <c r="E80">
        <v>2457701.6688999999</v>
      </c>
      <c r="F80" t="s">
        <v>2631</v>
      </c>
      <c r="G80">
        <v>8.4860000000000007</v>
      </c>
      <c r="H80">
        <v>0.02</v>
      </c>
      <c r="I80" t="s">
        <v>250</v>
      </c>
      <c r="J80" t="s">
        <v>248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2259</v>
      </c>
      <c r="B82" t="s">
        <v>2632</v>
      </c>
      <c r="C82" t="s">
        <v>67</v>
      </c>
      <c r="D82" t="s">
        <v>2258</v>
      </c>
      <c r="E82" t="s">
        <v>31</v>
      </c>
      <c r="F82" t="s">
        <v>31</v>
      </c>
    </row>
    <row r="83" spans="1:11" x14ac:dyDescent="0.25">
      <c r="D83" t="s">
        <v>1202</v>
      </c>
      <c r="E83">
        <v>2457698.6780900001</v>
      </c>
      <c r="F83" t="s">
        <v>2633</v>
      </c>
      <c r="G83">
        <v>11.055</v>
      </c>
      <c r="H83">
        <v>0.02</v>
      </c>
      <c r="I83" t="s">
        <v>18</v>
      </c>
      <c r="J83" t="s">
        <v>248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2260</v>
      </c>
      <c r="B85" t="s">
        <v>2634</v>
      </c>
      <c r="C85" t="s">
        <v>67</v>
      </c>
      <c r="D85" t="s">
        <v>2258</v>
      </c>
      <c r="E85" t="s">
        <v>31</v>
      </c>
      <c r="F85" t="s">
        <v>31</v>
      </c>
    </row>
    <row r="86" spans="1:11" x14ac:dyDescent="0.25">
      <c r="D86" t="s">
        <v>1202</v>
      </c>
      <c r="E86">
        <v>2457698.67631</v>
      </c>
      <c r="F86" t="s">
        <v>2635</v>
      </c>
      <c r="G86">
        <v>11.827999999999999</v>
      </c>
      <c r="H86">
        <v>0.02</v>
      </c>
      <c r="I86" t="s">
        <v>34</v>
      </c>
      <c r="J86" t="s">
        <v>248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2261</v>
      </c>
      <c r="B88" t="s">
        <v>2636</v>
      </c>
      <c r="C88" t="s">
        <v>67</v>
      </c>
      <c r="D88" t="s">
        <v>2258</v>
      </c>
      <c r="E88" t="s">
        <v>31</v>
      </c>
      <c r="F88" t="s">
        <v>31</v>
      </c>
    </row>
    <row r="89" spans="1:11" x14ac:dyDescent="0.25">
      <c r="D89" t="s">
        <v>1202</v>
      </c>
      <c r="E89">
        <v>2457698.67508</v>
      </c>
      <c r="F89" t="s">
        <v>2637</v>
      </c>
      <c r="G89">
        <v>6.2039999999999997</v>
      </c>
      <c r="H89">
        <v>0.02</v>
      </c>
      <c r="I89" t="s">
        <v>249</v>
      </c>
      <c r="J89" t="s">
        <v>248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2257</v>
      </c>
      <c r="B91" t="s">
        <v>2638</v>
      </c>
      <c r="C91" t="s">
        <v>67</v>
      </c>
      <c r="D91" t="s">
        <v>2258</v>
      </c>
      <c r="E91" t="s">
        <v>31</v>
      </c>
      <c r="F91" t="s">
        <v>31</v>
      </c>
    </row>
    <row r="92" spans="1:11" x14ac:dyDescent="0.25">
      <c r="A92" t="s">
        <v>320</v>
      </c>
    </row>
  </sheetData>
  <hyperlinks>
    <hyperlink ref="L1" r:id="rId1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/>
  <dimension ref="A1:Q26"/>
  <sheetViews>
    <sheetView workbookViewId="0">
      <selection sqref="A1:XFD1048576"/>
    </sheetView>
  </sheetViews>
  <sheetFormatPr baseColWidth="10" defaultRowHeight="15" x14ac:dyDescent="0.25"/>
  <cols>
    <col min="1" max="1" width="10.140625" customWidth="1"/>
    <col min="2" max="2" width="19.5703125" customWidth="1"/>
    <col min="3" max="3" width="12.28515625" bestFit="1" customWidth="1"/>
    <col min="4" max="4" width="10" customWidth="1"/>
    <col min="5" max="5" width="15.5703125" bestFit="1" customWidth="1"/>
    <col min="6" max="6" width="17.710937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1342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1343</v>
      </c>
    </row>
    <row r="12" spans="1:12" x14ac:dyDescent="0.25">
      <c r="A12" t="s">
        <v>1344</v>
      </c>
    </row>
    <row r="17" spans="13:17" x14ac:dyDescent="0.25">
      <c r="M17">
        <f>+I17</f>
        <v>0</v>
      </c>
      <c r="N17">
        <f>+G17</f>
        <v>0</v>
      </c>
      <c r="O17">
        <f>+J17</f>
        <v>0</v>
      </c>
      <c r="P17">
        <f>+E17</f>
        <v>0</v>
      </c>
      <c r="Q17">
        <f>+F17</f>
        <v>0</v>
      </c>
    </row>
    <row r="18" spans="13:17" x14ac:dyDescent="0.25">
      <c r="M18">
        <f>+I20</f>
        <v>0</v>
      </c>
      <c r="N18">
        <f>+G20</f>
        <v>0</v>
      </c>
      <c r="O18">
        <f>+J20</f>
        <v>0</v>
      </c>
      <c r="P18">
        <f>+E20</f>
        <v>0</v>
      </c>
      <c r="Q18">
        <f>+F20</f>
        <v>0</v>
      </c>
    </row>
    <row r="19" spans="13:17" x14ac:dyDescent="0.25">
      <c r="M19">
        <f>+I23</f>
        <v>0</v>
      </c>
      <c r="N19">
        <f>+G23</f>
        <v>0</v>
      </c>
      <c r="O19">
        <f>+J23</f>
        <v>0</v>
      </c>
      <c r="P19">
        <f>+E23</f>
        <v>0</v>
      </c>
      <c r="Q19">
        <f>+F23</f>
        <v>0</v>
      </c>
    </row>
    <row r="20" spans="13:17" x14ac:dyDescent="0.25">
      <c r="M20">
        <f>+I26</f>
        <v>0</v>
      </c>
      <c r="N20">
        <f>+G26</f>
        <v>0</v>
      </c>
      <c r="O20">
        <f>+J26</f>
        <v>0</v>
      </c>
      <c r="P20">
        <f>+E26</f>
        <v>0</v>
      </c>
      <c r="Q20">
        <f>+F26</f>
        <v>0</v>
      </c>
    </row>
    <row r="21" spans="13:17" x14ac:dyDescent="0.25">
      <c r="M21">
        <f>+I29</f>
        <v>0</v>
      </c>
      <c r="N21">
        <f>+G29</f>
        <v>0</v>
      </c>
      <c r="O21">
        <f>+J29</f>
        <v>0</v>
      </c>
      <c r="P21">
        <f>+E29</f>
        <v>0</v>
      </c>
      <c r="Q21">
        <f>+F29</f>
        <v>0</v>
      </c>
    </row>
    <row r="22" spans="13:17" x14ac:dyDescent="0.25">
      <c r="M22">
        <f>+I32</f>
        <v>0</v>
      </c>
      <c r="N22">
        <f>+G32</f>
        <v>0</v>
      </c>
      <c r="O22">
        <f>+J32</f>
        <v>0</v>
      </c>
      <c r="P22">
        <f>+E32</f>
        <v>0</v>
      </c>
      <c r="Q22">
        <f>+F32</f>
        <v>0</v>
      </c>
    </row>
    <row r="23" spans="13:17" x14ac:dyDescent="0.25">
      <c r="M23">
        <f>+I35</f>
        <v>0</v>
      </c>
      <c r="N23">
        <f>+G35</f>
        <v>0</v>
      </c>
      <c r="O23">
        <f>+J35</f>
        <v>0</v>
      </c>
      <c r="P23">
        <f>+E35</f>
        <v>0</v>
      </c>
      <c r="Q23">
        <f>+F35</f>
        <v>0</v>
      </c>
    </row>
    <row r="24" spans="13:17" x14ac:dyDescent="0.25">
      <c r="M24">
        <f>+I38</f>
        <v>0</v>
      </c>
      <c r="N24">
        <f>+G38</f>
        <v>0</v>
      </c>
      <c r="O24">
        <f>+J38</f>
        <v>0</v>
      </c>
      <c r="P24">
        <f>+E38</f>
        <v>0</v>
      </c>
      <c r="Q24">
        <f>+F38</f>
        <v>0</v>
      </c>
    </row>
    <row r="25" spans="13:17" x14ac:dyDescent="0.25">
      <c r="M25">
        <f>+I41</f>
        <v>0</v>
      </c>
      <c r="N25">
        <f>+G41</f>
        <v>0</v>
      </c>
      <c r="O25">
        <f>+J41</f>
        <v>0</v>
      </c>
      <c r="P25">
        <f>+E41</f>
        <v>0</v>
      </c>
      <c r="Q25">
        <f>+F41</f>
        <v>0</v>
      </c>
    </row>
    <row r="26" spans="13:17" x14ac:dyDescent="0.25">
      <c r="M26">
        <f>+I44</f>
        <v>0</v>
      </c>
      <c r="N26">
        <f>+G44</f>
        <v>0</v>
      </c>
      <c r="O26">
        <f>+J44</f>
        <v>0</v>
      </c>
      <c r="P26">
        <f>+E44</f>
        <v>0</v>
      </c>
      <c r="Q26">
        <f>+F44</f>
        <v>0</v>
      </c>
    </row>
  </sheetData>
  <hyperlinks>
    <hyperlink ref="L1" r:id="rId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0"/>
  <dimension ref="A1:Q92"/>
  <sheetViews>
    <sheetView workbookViewId="0">
      <selection activeCell="F17" sqref="F17"/>
    </sheetView>
  </sheetViews>
  <sheetFormatPr baseColWidth="10" defaultRowHeight="15" x14ac:dyDescent="0.25"/>
  <cols>
    <col min="1" max="1" width="10.42578125" customWidth="1"/>
    <col min="2" max="2" width="18.85546875" customWidth="1"/>
    <col min="3" max="3" width="12.28515625" bestFit="1" customWidth="1"/>
    <col min="4" max="4" width="10.28515625" customWidth="1"/>
    <col min="5" max="5" width="15.5703125" bestFit="1" customWidth="1"/>
    <col min="6" max="6" width="81.140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1482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1483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1484</v>
      </c>
      <c r="E17">
        <v>2456844.50324</v>
      </c>
      <c r="F17" t="s">
        <v>1485</v>
      </c>
      <c r="G17">
        <v>10.981</v>
      </c>
      <c r="H17">
        <v>2.1000000000000001E-2</v>
      </c>
      <c r="I17" t="s">
        <v>250</v>
      </c>
      <c r="J17" t="s">
        <v>470</v>
      </c>
      <c r="K17" t="s">
        <v>20</v>
      </c>
      <c r="M17" t="str">
        <f>+I17</f>
        <v>R</v>
      </c>
      <c r="N17">
        <f>+G17</f>
        <v>10.981</v>
      </c>
      <c r="O17" t="str">
        <f>+J17</f>
        <v>GCO</v>
      </c>
      <c r="P17">
        <f>+E17</f>
        <v>2456844.50324</v>
      </c>
      <c r="Q17" t="str">
        <f>+F17</f>
        <v>2014 Jul. 06.00324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12.147</v>
      </c>
      <c r="O18" t="str">
        <f>+J20</f>
        <v>GCO</v>
      </c>
      <c r="P18">
        <f>+E20</f>
        <v>2456844.49603</v>
      </c>
      <c r="Q18" t="str">
        <f>+F20</f>
        <v>2014 Jul. 05.99603</v>
      </c>
    </row>
    <row r="19" spans="1:17" x14ac:dyDescent="0.25">
      <c r="A19" t="s">
        <v>471</v>
      </c>
      <c r="B19" t="s">
        <v>1486</v>
      </c>
      <c r="C19" t="s">
        <v>29</v>
      </c>
      <c r="D19" t="s">
        <v>1487</v>
      </c>
      <c r="E19" t="s">
        <v>31</v>
      </c>
      <c r="F19" t="s">
        <v>872</v>
      </c>
      <c r="M19" t="str">
        <f>+I23</f>
        <v>B</v>
      </c>
      <c r="N19">
        <f>+G23</f>
        <v>13.66</v>
      </c>
      <c r="O19" t="str">
        <f>+J23</f>
        <v>GCO</v>
      </c>
      <c r="P19">
        <f>+E23</f>
        <v>2456844.48441</v>
      </c>
      <c r="Q19" t="str">
        <f>+F23</f>
        <v>2014 Jul. 05.98441</v>
      </c>
    </row>
    <row r="20" spans="1:17" x14ac:dyDescent="0.25">
      <c r="D20" t="s">
        <v>1484</v>
      </c>
      <c r="E20">
        <v>2456844.49603</v>
      </c>
      <c r="F20" t="s">
        <v>1488</v>
      </c>
      <c r="G20">
        <v>12.147</v>
      </c>
      <c r="H20">
        <v>4.5999999999999999E-2</v>
      </c>
      <c r="I20" t="s">
        <v>18</v>
      </c>
      <c r="J20" t="s">
        <v>470</v>
      </c>
      <c r="K20" t="s">
        <v>20</v>
      </c>
      <c r="M20" t="str">
        <f>+I26</f>
        <v>I</v>
      </c>
      <c r="N20">
        <f>+G26</f>
        <v>9.5809999999999995</v>
      </c>
      <c r="O20" t="str">
        <f>+J26</f>
        <v>GCO</v>
      </c>
      <c r="P20">
        <f>+E26</f>
        <v>2456805.5654099998</v>
      </c>
      <c r="Q20" t="str">
        <f>+F26</f>
        <v>2014 May. 28.06541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R</v>
      </c>
      <c r="N21">
        <f>+G29</f>
        <v>10.991</v>
      </c>
      <c r="O21" t="str">
        <f>+J29</f>
        <v>GCO</v>
      </c>
      <c r="P21">
        <f>+E29</f>
        <v>2456805.5586899999</v>
      </c>
      <c r="Q21" t="str">
        <f>+F29</f>
        <v>2014 May. 28.05869</v>
      </c>
    </row>
    <row r="22" spans="1:17" x14ac:dyDescent="0.25">
      <c r="A22" t="s">
        <v>471</v>
      </c>
      <c r="B22" t="s">
        <v>1489</v>
      </c>
      <c r="C22" t="s">
        <v>29</v>
      </c>
      <c r="D22" t="s">
        <v>1487</v>
      </c>
      <c r="E22" t="s">
        <v>31</v>
      </c>
      <c r="F22" t="s">
        <v>1490</v>
      </c>
      <c r="M22" t="str">
        <f>+I32</f>
        <v>V</v>
      </c>
      <c r="N22">
        <f>+G32</f>
        <v>12.128</v>
      </c>
      <c r="O22" t="str">
        <f>+J32</f>
        <v>GCO</v>
      </c>
      <c r="P22">
        <f>+E32</f>
        <v>2456805.5499800001</v>
      </c>
      <c r="Q22" t="str">
        <f>+F32</f>
        <v>2014 May. 28.04998</v>
      </c>
    </row>
    <row r="23" spans="1:17" x14ac:dyDescent="0.25">
      <c r="D23" t="s">
        <v>1484</v>
      </c>
      <c r="E23">
        <v>2456844.48441</v>
      </c>
      <c r="F23" t="s">
        <v>1491</v>
      </c>
      <c r="G23">
        <v>13.66</v>
      </c>
      <c r="H23">
        <v>0.03</v>
      </c>
      <c r="I23" t="s">
        <v>34</v>
      </c>
      <c r="J23" t="s">
        <v>470</v>
      </c>
      <c r="K23" t="s">
        <v>20</v>
      </c>
      <c r="M23" t="str">
        <f>+I35</f>
        <v>B</v>
      </c>
      <c r="N23">
        <f>+G35</f>
        <v>13.688000000000001</v>
      </c>
      <c r="O23" t="str">
        <f>+J35</f>
        <v>GCO</v>
      </c>
      <c r="P23">
        <f>+E35</f>
        <v>2456805.5372600001</v>
      </c>
      <c r="Q23" t="str">
        <f>+F35</f>
        <v>2014 May. 28.03726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I</v>
      </c>
      <c r="N24">
        <f>+G38</f>
        <v>9.5570000000000004</v>
      </c>
      <c r="O24" t="str">
        <f>+J38</f>
        <v>GCO</v>
      </c>
      <c r="P24">
        <f>+E38</f>
        <v>2456801.59412</v>
      </c>
      <c r="Q24" t="str">
        <f>+F38</f>
        <v>2014 May. 24.09412</v>
      </c>
    </row>
    <row r="25" spans="1:17" x14ac:dyDescent="0.25">
      <c r="A25" t="s">
        <v>471</v>
      </c>
      <c r="B25" t="s">
        <v>1492</v>
      </c>
      <c r="C25" t="s">
        <v>29</v>
      </c>
      <c r="D25" t="s">
        <v>1487</v>
      </c>
      <c r="E25" t="s">
        <v>31</v>
      </c>
      <c r="F25" t="s">
        <v>880</v>
      </c>
      <c r="M25" t="str">
        <f>+I41</f>
        <v>R</v>
      </c>
      <c r="N25">
        <f>+G41</f>
        <v>10.984</v>
      </c>
      <c r="O25" t="str">
        <f>+J41</f>
        <v>GCO</v>
      </c>
      <c r="P25">
        <f>+E41</f>
        <v>2456801.5872900002</v>
      </c>
      <c r="Q25" t="str">
        <f>+F41</f>
        <v>2014 May. 24.08729</v>
      </c>
    </row>
    <row r="26" spans="1:17" x14ac:dyDescent="0.25">
      <c r="D26" t="s">
        <v>1484</v>
      </c>
      <c r="E26">
        <v>2456805.5654099998</v>
      </c>
      <c r="F26" t="s">
        <v>1493</v>
      </c>
      <c r="G26">
        <v>9.5809999999999995</v>
      </c>
      <c r="H26">
        <v>0.05</v>
      </c>
      <c r="I26" t="s">
        <v>249</v>
      </c>
      <c r="J26" t="s">
        <v>470</v>
      </c>
      <c r="K26" t="s">
        <v>20</v>
      </c>
      <c r="M26" t="str">
        <f>+I44</f>
        <v>V</v>
      </c>
      <c r="N26">
        <f>+G44</f>
        <v>12.112</v>
      </c>
      <c r="O26" t="str">
        <f>+J44</f>
        <v>GCO</v>
      </c>
      <c r="P26">
        <f>+E44</f>
        <v>2456801.5790900001</v>
      </c>
      <c r="Q26" t="str">
        <f>+F44</f>
        <v>2014 May. 24.07909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471</v>
      </c>
      <c r="B28" t="s">
        <v>1494</v>
      </c>
      <c r="C28" t="s">
        <v>29</v>
      </c>
      <c r="D28" t="s">
        <v>1487</v>
      </c>
      <c r="E28" t="s">
        <v>31</v>
      </c>
      <c r="F28" t="s">
        <v>480</v>
      </c>
    </row>
    <row r="29" spans="1:17" x14ac:dyDescent="0.25">
      <c r="D29" t="s">
        <v>1484</v>
      </c>
      <c r="E29">
        <v>2456805.5586899999</v>
      </c>
      <c r="F29" t="s">
        <v>1495</v>
      </c>
      <c r="G29">
        <v>10.991</v>
      </c>
      <c r="H29">
        <v>0.02</v>
      </c>
      <c r="I29" t="s">
        <v>250</v>
      </c>
      <c r="J29" t="s">
        <v>470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471</v>
      </c>
      <c r="B31" t="s">
        <v>1496</v>
      </c>
      <c r="C31" t="s">
        <v>29</v>
      </c>
      <c r="D31" t="s">
        <v>1487</v>
      </c>
      <c r="E31" t="s">
        <v>31</v>
      </c>
      <c r="F31" t="s">
        <v>872</v>
      </c>
    </row>
    <row r="32" spans="1:17" x14ac:dyDescent="0.25">
      <c r="D32" t="s">
        <v>1484</v>
      </c>
      <c r="E32">
        <v>2456805.5499800001</v>
      </c>
      <c r="F32" t="s">
        <v>1497</v>
      </c>
      <c r="G32">
        <v>12.128</v>
      </c>
      <c r="H32">
        <v>0.03</v>
      </c>
      <c r="I32" t="s">
        <v>18</v>
      </c>
      <c r="J32" t="s">
        <v>470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471</v>
      </c>
      <c r="B34" t="s">
        <v>1498</v>
      </c>
      <c r="C34" t="s">
        <v>29</v>
      </c>
      <c r="D34" t="s">
        <v>1487</v>
      </c>
      <c r="E34" t="s">
        <v>31</v>
      </c>
      <c r="F34" t="s">
        <v>480</v>
      </c>
    </row>
    <row r="35" spans="1:11" x14ac:dyDescent="0.25">
      <c r="D35" t="s">
        <v>1484</v>
      </c>
      <c r="E35">
        <v>2456805.5372600001</v>
      </c>
      <c r="F35" t="s">
        <v>1499</v>
      </c>
      <c r="G35">
        <v>13.688000000000001</v>
      </c>
      <c r="H35">
        <v>2.7E-2</v>
      </c>
      <c r="I35" t="s">
        <v>34</v>
      </c>
      <c r="J35" t="s">
        <v>470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471</v>
      </c>
      <c r="B37" t="s">
        <v>1500</v>
      </c>
      <c r="C37" t="s">
        <v>29</v>
      </c>
      <c r="D37" t="s">
        <v>1487</v>
      </c>
      <c r="E37" t="s">
        <v>31</v>
      </c>
      <c r="F37" t="s">
        <v>880</v>
      </c>
    </row>
    <row r="38" spans="1:11" x14ac:dyDescent="0.25">
      <c r="D38" t="s">
        <v>1484</v>
      </c>
      <c r="E38">
        <v>2456801.59412</v>
      </c>
      <c r="F38" t="s">
        <v>1501</v>
      </c>
      <c r="G38">
        <v>9.5570000000000004</v>
      </c>
      <c r="H38">
        <v>1.9E-2</v>
      </c>
      <c r="I38" t="s">
        <v>249</v>
      </c>
      <c r="J38" t="s">
        <v>470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471</v>
      </c>
      <c r="B40" t="s">
        <v>1502</v>
      </c>
      <c r="C40" t="s">
        <v>29</v>
      </c>
      <c r="D40" t="s">
        <v>1487</v>
      </c>
      <c r="E40" t="s">
        <v>31</v>
      </c>
      <c r="F40" t="s">
        <v>480</v>
      </c>
    </row>
    <row r="41" spans="1:11" x14ac:dyDescent="0.25">
      <c r="D41" t="s">
        <v>1484</v>
      </c>
      <c r="E41">
        <v>2456801.5872900002</v>
      </c>
      <c r="F41" t="s">
        <v>1503</v>
      </c>
      <c r="G41">
        <v>10.984</v>
      </c>
      <c r="H41">
        <v>2.1000000000000001E-2</v>
      </c>
      <c r="I41" t="s">
        <v>250</v>
      </c>
      <c r="J41" t="s">
        <v>470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471</v>
      </c>
      <c r="B43" t="s">
        <v>1504</v>
      </c>
      <c r="C43" t="s">
        <v>29</v>
      </c>
      <c r="D43" t="s">
        <v>1487</v>
      </c>
      <c r="E43" t="s">
        <v>31</v>
      </c>
      <c r="F43" t="s">
        <v>872</v>
      </c>
    </row>
    <row r="44" spans="1:11" x14ac:dyDescent="0.25">
      <c r="D44" t="s">
        <v>1484</v>
      </c>
      <c r="E44">
        <v>2456801.5790900001</v>
      </c>
      <c r="F44" t="s">
        <v>1505</v>
      </c>
      <c r="G44">
        <v>12.112</v>
      </c>
      <c r="H44">
        <v>1.7000000000000001E-2</v>
      </c>
      <c r="I44" t="s">
        <v>18</v>
      </c>
      <c r="J44" t="s">
        <v>470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471</v>
      </c>
      <c r="B46" t="s">
        <v>1506</v>
      </c>
      <c r="C46" t="s">
        <v>29</v>
      </c>
      <c r="D46" t="s">
        <v>1487</v>
      </c>
      <c r="E46" t="s">
        <v>31</v>
      </c>
      <c r="F46" t="s">
        <v>480</v>
      </c>
    </row>
    <row r="47" spans="1:11" x14ac:dyDescent="0.25">
      <c r="D47" t="s">
        <v>1484</v>
      </c>
      <c r="E47">
        <v>2456801.56733</v>
      </c>
      <c r="F47" t="s">
        <v>1507</v>
      </c>
      <c r="G47">
        <v>13.664999999999999</v>
      </c>
      <c r="H47">
        <v>2.1999999999999999E-2</v>
      </c>
      <c r="I47" t="s">
        <v>34</v>
      </c>
      <c r="J47" t="s">
        <v>470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471</v>
      </c>
      <c r="B49" t="s">
        <v>1508</v>
      </c>
      <c r="C49" t="s">
        <v>29</v>
      </c>
      <c r="D49" t="s">
        <v>1487</v>
      </c>
      <c r="E49" t="s">
        <v>31</v>
      </c>
      <c r="F49" t="s">
        <v>880</v>
      </c>
    </row>
    <row r="50" spans="1:11" x14ac:dyDescent="0.25">
      <c r="D50" t="s">
        <v>1484</v>
      </c>
      <c r="E50">
        <v>2456783.4928600001</v>
      </c>
      <c r="F50" t="s">
        <v>1509</v>
      </c>
      <c r="G50">
        <v>9.5649999999999995</v>
      </c>
      <c r="H50">
        <v>2.7E-2</v>
      </c>
      <c r="I50" t="s">
        <v>249</v>
      </c>
      <c r="J50" t="s">
        <v>470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471</v>
      </c>
      <c r="B52" t="s">
        <v>1510</v>
      </c>
      <c r="C52" t="s">
        <v>29</v>
      </c>
      <c r="D52" t="s">
        <v>1487</v>
      </c>
      <c r="E52" t="s">
        <v>31</v>
      </c>
      <c r="F52" t="s">
        <v>897</v>
      </c>
    </row>
    <row r="53" spans="1:11" x14ac:dyDescent="0.25">
      <c r="D53" t="s">
        <v>1484</v>
      </c>
      <c r="E53">
        <v>2456783.4857399999</v>
      </c>
      <c r="F53" t="s">
        <v>1511</v>
      </c>
      <c r="G53">
        <v>10.981</v>
      </c>
      <c r="H53">
        <v>3.4000000000000002E-2</v>
      </c>
      <c r="I53" t="s">
        <v>250</v>
      </c>
      <c r="J53" t="s">
        <v>470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471</v>
      </c>
      <c r="B55" t="s">
        <v>1512</v>
      </c>
      <c r="C55" t="s">
        <v>29</v>
      </c>
      <c r="D55" t="s">
        <v>1487</v>
      </c>
      <c r="E55" t="s">
        <v>31</v>
      </c>
      <c r="F55" t="s">
        <v>892</v>
      </c>
    </row>
    <row r="56" spans="1:11" x14ac:dyDescent="0.25">
      <c r="D56" t="s">
        <v>1484</v>
      </c>
      <c r="E56">
        <v>2456783.4777700002</v>
      </c>
      <c r="F56" t="s">
        <v>1513</v>
      </c>
      <c r="G56">
        <v>12.141</v>
      </c>
      <c r="H56">
        <v>5.3999999999999999E-2</v>
      </c>
      <c r="I56" t="s">
        <v>18</v>
      </c>
      <c r="J56" t="s">
        <v>470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471</v>
      </c>
      <c r="B58" t="s">
        <v>1514</v>
      </c>
      <c r="C58" t="s">
        <v>29</v>
      </c>
      <c r="D58" t="s">
        <v>1487</v>
      </c>
      <c r="E58" t="s">
        <v>31</v>
      </c>
      <c r="F58" t="s">
        <v>897</v>
      </c>
    </row>
    <row r="59" spans="1:11" x14ac:dyDescent="0.25">
      <c r="D59" t="s">
        <v>1484</v>
      </c>
      <c r="E59">
        <v>2456783.4660899998</v>
      </c>
      <c r="F59" t="s">
        <v>1515</v>
      </c>
      <c r="G59">
        <v>13.704000000000001</v>
      </c>
      <c r="H59">
        <v>4.8000000000000001E-2</v>
      </c>
      <c r="I59" t="s">
        <v>34</v>
      </c>
      <c r="J59" t="s">
        <v>470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471</v>
      </c>
      <c r="B61" t="s">
        <v>1492</v>
      </c>
      <c r="C61" t="s">
        <v>29</v>
      </c>
      <c r="D61" t="s">
        <v>1487</v>
      </c>
      <c r="E61" t="s">
        <v>31</v>
      </c>
      <c r="F61" t="s">
        <v>1516</v>
      </c>
    </row>
    <row r="62" spans="1:11" x14ac:dyDescent="0.25">
      <c r="D62" t="s">
        <v>1484</v>
      </c>
      <c r="E62">
        <v>2456724.6505800001</v>
      </c>
      <c r="F62" t="s">
        <v>1517</v>
      </c>
      <c r="G62">
        <v>9.5310000000000006</v>
      </c>
      <c r="H62">
        <v>2.4E-2</v>
      </c>
      <c r="I62" t="s">
        <v>249</v>
      </c>
      <c r="J62" t="s">
        <v>470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471</v>
      </c>
      <c r="B64" t="s">
        <v>1518</v>
      </c>
      <c r="C64" t="s">
        <v>29</v>
      </c>
      <c r="D64" t="s">
        <v>1487</v>
      </c>
      <c r="E64" t="s">
        <v>31</v>
      </c>
      <c r="F64" t="s">
        <v>897</v>
      </c>
    </row>
    <row r="65" spans="1:11" x14ac:dyDescent="0.25">
      <c r="D65" t="s">
        <v>1484</v>
      </c>
      <c r="E65">
        <v>2456724.6421500002</v>
      </c>
      <c r="F65" t="s">
        <v>1519</v>
      </c>
      <c r="G65">
        <v>10.91</v>
      </c>
      <c r="H65">
        <v>3.4000000000000002E-2</v>
      </c>
      <c r="I65" t="s">
        <v>250</v>
      </c>
      <c r="J65" t="s">
        <v>470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471</v>
      </c>
      <c r="B67" t="s">
        <v>1520</v>
      </c>
      <c r="C67" t="s">
        <v>29</v>
      </c>
      <c r="D67" t="s">
        <v>1487</v>
      </c>
      <c r="E67" t="s">
        <v>31</v>
      </c>
      <c r="F67" t="s">
        <v>892</v>
      </c>
    </row>
    <row r="68" spans="1:11" x14ac:dyDescent="0.25">
      <c r="D68" t="s">
        <v>1484</v>
      </c>
      <c r="E68">
        <v>2456724.6336699999</v>
      </c>
      <c r="F68" t="s">
        <v>1521</v>
      </c>
      <c r="G68">
        <v>12.026999999999999</v>
      </c>
      <c r="H68">
        <v>3.3000000000000002E-2</v>
      </c>
      <c r="I68" t="s">
        <v>18</v>
      </c>
      <c r="J68" t="s">
        <v>470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471</v>
      </c>
      <c r="B70" t="s">
        <v>1522</v>
      </c>
      <c r="C70" t="s">
        <v>29</v>
      </c>
      <c r="D70" t="s">
        <v>1487</v>
      </c>
      <c r="E70" t="s">
        <v>31</v>
      </c>
      <c r="F70" t="s">
        <v>897</v>
      </c>
    </row>
    <row r="71" spans="1:11" x14ac:dyDescent="0.25">
      <c r="D71" t="s">
        <v>1484</v>
      </c>
      <c r="E71">
        <v>2456724.62274</v>
      </c>
      <c r="F71" t="s">
        <v>1523</v>
      </c>
      <c r="G71">
        <v>13.564</v>
      </c>
      <c r="H71">
        <v>5.5E-2</v>
      </c>
      <c r="I71" t="s">
        <v>34</v>
      </c>
      <c r="J71" t="s">
        <v>470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471</v>
      </c>
      <c r="B73" t="s">
        <v>1524</v>
      </c>
      <c r="C73" t="s">
        <v>29</v>
      </c>
      <c r="D73" t="s">
        <v>1487</v>
      </c>
      <c r="E73" t="s">
        <v>31</v>
      </c>
      <c r="F73" t="s">
        <v>1516</v>
      </c>
    </row>
    <row r="74" spans="1:11" x14ac:dyDescent="0.25">
      <c r="D74" t="s">
        <v>1484</v>
      </c>
      <c r="E74">
        <v>2456510.3933299999</v>
      </c>
      <c r="F74" t="s">
        <v>1525</v>
      </c>
      <c r="G74">
        <v>9.4749999999999996</v>
      </c>
      <c r="H74">
        <v>6.6000000000000003E-2</v>
      </c>
      <c r="I74" t="s">
        <v>249</v>
      </c>
      <c r="J74" t="s">
        <v>470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471</v>
      </c>
      <c r="B76" t="s">
        <v>1526</v>
      </c>
      <c r="C76" t="s">
        <v>29</v>
      </c>
      <c r="D76" t="s">
        <v>1487</v>
      </c>
      <c r="E76" t="s">
        <v>31</v>
      </c>
      <c r="F76" t="s">
        <v>505</v>
      </c>
    </row>
    <row r="77" spans="1:11" x14ac:dyDescent="0.25">
      <c r="D77" t="s">
        <v>1484</v>
      </c>
      <c r="E77">
        <v>2456510.3871300002</v>
      </c>
      <c r="F77" t="s">
        <v>1527</v>
      </c>
      <c r="G77">
        <v>10.76</v>
      </c>
      <c r="H77">
        <v>3.3000000000000002E-2</v>
      </c>
      <c r="I77" t="s">
        <v>250</v>
      </c>
      <c r="J77" t="s">
        <v>470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471</v>
      </c>
      <c r="B79" t="s">
        <v>1528</v>
      </c>
      <c r="C79" t="s">
        <v>29</v>
      </c>
      <c r="D79" t="s">
        <v>1487</v>
      </c>
      <c r="E79" t="s">
        <v>31</v>
      </c>
      <c r="F79" t="s">
        <v>951</v>
      </c>
    </row>
    <row r="80" spans="1:11" x14ac:dyDescent="0.25">
      <c r="D80" t="s">
        <v>1484</v>
      </c>
      <c r="E80">
        <v>2456510.38044</v>
      </c>
      <c r="F80" t="s">
        <v>1529</v>
      </c>
      <c r="G80">
        <v>11.929</v>
      </c>
      <c r="H80">
        <v>2.8000000000000001E-2</v>
      </c>
      <c r="I80" t="s">
        <v>18</v>
      </c>
      <c r="J80" t="s">
        <v>470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471</v>
      </c>
      <c r="B82" t="s">
        <v>1530</v>
      </c>
      <c r="C82" t="s">
        <v>29</v>
      </c>
      <c r="D82" t="s">
        <v>1487</v>
      </c>
      <c r="E82" t="s">
        <v>31</v>
      </c>
      <c r="F82" t="s">
        <v>505</v>
      </c>
    </row>
    <row r="83" spans="1:11" x14ac:dyDescent="0.25">
      <c r="D83" t="s">
        <v>1484</v>
      </c>
      <c r="E83">
        <v>2456510.3708299999</v>
      </c>
      <c r="F83" t="s">
        <v>1531</v>
      </c>
      <c r="G83">
        <v>13.563000000000001</v>
      </c>
      <c r="H83">
        <v>7.4999999999999997E-2</v>
      </c>
      <c r="I83" t="s">
        <v>34</v>
      </c>
      <c r="J83" t="s">
        <v>470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471</v>
      </c>
      <c r="B85" t="s">
        <v>1532</v>
      </c>
      <c r="C85" t="s">
        <v>29</v>
      </c>
      <c r="D85" t="s">
        <v>1487</v>
      </c>
      <c r="E85" t="s">
        <v>31</v>
      </c>
      <c r="F85" t="s">
        <v>959</v>
      </c>
    </row>
    <row r="86" spans="1:11" x14ac:dyDescent="0.25">
      <c r="D86" t="s">
        <v>1484</v>
      </c>
      <c r="E86">
        <v>2456489.4545800001</v>
      </c>
      <c r="F86" t="s">
        <v>1533</v>
      </c>
      <c r="G86">
        <v>9.4359999999999999</v>
      </c>
      <c r="H86">
        <v>1.4999999999999999E-2</v>
      </c>
      <c r="I86" t="s">
        <v>249</v>
      </c>
      <c r="J86" t="s">
        <v>470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471</v>
      </c>
      <c r="B88" t="s">
        <v>1534</v>
      </c>
      <c r="C88" t="s">
        <v>29</v>
      </c>
      <c r="D88" t="s">
        <v>1487</v>
      </c>
      <c r="E88" t="s">
        <v>31</v>
      </c>
      <c r="F88" t="s">
        <v>505</v>
      </c>
    </row>
    <row r="89" spans="1:11" x14ac:dyDescent="0.25">
      <c r="D89" t="s">
        <v>1484</v>
      </c>
      <c r="E89">
        <v>2456489.4481100002</v>
      </c>
      <c r="F89" t="s">
        <v>1535</v>
      </c>
      <c r="G89">
        <v>10.705</v>
      </c>
      <c r="H89">
        <v>4.8000000000000001E-2</v>
      </c>
      <c r="I89" t="s">
        <v>250</v>
      </c>
      <c r="J89" t="s">
        <v>470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471</v>
      </c>
      <c r="B91" t="s">
        <v>1536</v>
      </c>
      <c r="C91" t="s">
        <v>29</v>
      </c>
      <c r="D91" t="s">
        <v>1487</v>
      </c>
      <c r="E91" t="s">
        <v>31</v>
      </c>
      <c r="F91" t="s">
        <v>951</v>
      </c>
    </row>
    <row r="92" spans="1:11" x14ac:dyDescent="0.25">
      <c r="A92" t="s">
        <v>855</v>
      </c>
    </row>
  </sheetData>
  <hyperlinks>
    <hyperlink ref="L1" r:id="rId1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:Q92"/>
  <sheetViews>
    <sheetView workbookViewId="0">
      <selection sqref="A1:XFD1048576"/>
    </sheetView>
  </sheetViews>
  <sheetFormatPr baseColWidth="10" defaultRowHeight="15" x14ac:dyDescent="0.25"/>
  <cols>
    <col min="1" max="2" width="11.42578125" customWidth="1"/>
    <col min="3" max="3" width="12.28515625" bestFit="1" customWidth="1"/>
    <col min="4" max="4" width="17.5703125" customWidth="1"/>
    <col min="5" max="5" width="15.5703125" bestFit="1" customWidth="1"/>
    <col min="6" max="6" width="52.8554687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383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384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385</v>
      </c>
      <c r="E17">
        <v>2457543.9547000001</v>
      </c>
      <c r="F17" t="s">
        <v>386</v>
      </c>
      <c r="G17">
        <v>13.03</v>
      </c>
      <c r="H17">
        <v>0.01</v>
      </c>
      <c r="I17" t="s">
        <v>18</v>
      </c>
      <c r="J17" t="s">
        <v>260</v>
      </c>
      <c r="K17" t="s">
        <v>20</v>
      </c>
      <c r="M17" t="str">
        <f>+I17</f>
        <v>V</v>
      </c>
      <c r="N17">
        <f>+G17</f>
        <v>13.03</v>
      </c>
      <c r="O17" t="str">
        <f>+J17</f>
        <v>OCN</v>
      </c>
      <c r="P17">
        <f>+E17</f>
        <v>2457543.9547000001</v>
      </c>
      <c r="Q17" t="str">
        <f>+F17</f>
        <v>2016 Jun. 04.45470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B</v>
      </c>
      <c r="N18">
        <f>+G20</f>
        <v>13.84</v>
      </c>
      <c r="O18" t="str">
        <f>+J20</f>
        <v>OCN</v>
      </c>
      <c r="P18">
        <f>+E20</f>
        <v>2457543.9533000002</v>
      </c>
      <c r="Q18" t="str">
        <f>+F20</f>
        <v>2016 Jun. 04.45330</v>
      </c>
    </row>
    <row r="19" spans="1:17" x14ac:dyDescent="0.25">
      <c r="A19" t="s">
        <v>387</v>
      </c>
      <c r="B19" t="s">
        <v>388</v>
      </c>
      <c r="C19" t="s">
        <v>67</v>
      </c>
      <c r="D19" t="s">
        <v>389</v>
      </c>
      <c r="E19" t="s">
        <v>31</v>
      </c>
      <c r="F19" t="s">
        <v>390</v>
      </c>
      <c r="M19" t="str">
        <f>+I23</f>
        <v>U</v>
      </c>
      <c r="N19">
        <f>+G23</f>
        <v>13.51</v>
      </c>
      <c r="O19" t="str">
        <f>+J23</f>
        <v>OCN</v>
      </c>
      <c r="P19">
        <f>+E23</f>
        <v>2457543.952</v>
      </c>
      <c r="Q19" t="str">
        <f>+F23</f>
        <v>2016 Jun. 04.45200</v>
      </c>
    </row>
    <row r="20" spans="1:17" x14ac:dyDescent="0.25">
      <c r="D20" t="s">
        <v>385</v>
      </c>
      <c r="E20">
        <v>2457543.9533000002</v>
      </c>
      <c r="F20" t="s">
        <v>391</v>
      </c>
      <c r="G20">
        <v>13.84</v>
      </c>
      <c r="H20">
        <v>0.02</v>
      </c>
      <c r="I20" t="s">
        <v>34</v>
      </c>
      <c r="J20" t="s">
        <v>260</v>
      </c>
      <c r="K20" t="s">
        <v>20</v>
      </c>
      <c r="M20" t="str">
        <f>+I26</f>
        <v>V</v>
      </c>
      <c r="N20">
        <f>+G26</f>
        <v>13.071</v>
      </c>
      <c r="O20" t="str">
        <f>+J26</f>
        <v>PXR</v>
      </c>
      <c r="P20">
        <f>+E26</f>
        <v>2457531.5089699998</v>
      </c>
      <c r="Q20" t="str">
        <f>+F26</f>
        <v>2016 May. 23.00897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13.079000000000001</v>
      </c>
      <c r="O21" t="str">
        <f>+J29</f>
        <v>PXR</v>
      </c>
      <c r="P21">
        <f>+E29</f>
        <v>2457531.5082399999</v>
      </c>
      <c r="Q21" t="str">
        <f>+F29</f>
        <v>2016 May. 23.00824</v>
      </c>
    </row>
    <row r="22" spans="1:17" x14ac:dyDescent="0.25">
      <c r="A22" t="s">
        <v>392</v>
      </c>
      <c r="B22" t="s">
        <v>393</v>
      </c>
      <c r="C22" t="s">
        <v>67</v>
      </c>
      <c r="D22" t="s">
        <v>389</v>
      </c>
      <c r="E22" t="s">
        <v>31</v>
      </c>
      <c r="F22" t="s">
        <v>394</v>
      </c>
      <c r="M22" t="str">
        <f>+I32</f>
        <v>V</v>
      </c>
      <c r="N22">
        <f>+G32</f>
        <v>13.079000000000001</v>
      </c>
      <c r="O22" t="str">
        <f>+J32</f>
        <v>PXR</v>
      </c>
      <c r="P22">
        <f>+E32</f>
        <v>2457531.50752</v>
      </c>
      <c r="Q22" t="str">
        <f>+F32</f>
        <v>2016 May. 23.00752</v>
      </c>
    </row>
    <row r="23" spans="1:17" x14ac:dyDescent="0.25">
      <c r="D23" t="s">
        <v>385</v>
      </c>
      <c r="E23">
        <v>2457543.952</v>
      </c>
      <c r="F23" t="s">
        <v>395</v>
      </c>
      <c r="G23">
        <v>13.51</v>
      </c>
      <c r="H23">
        <v>7.0000000000000007E-2</v>
      </c>
      <c r="I23" t="s">
        <v>396</v>
      </c>
      <c r="J23" t="s">
        <v>260</v>
      </c>
      <c r="K23" t="s">
        <v>20</v>
      </c>
      <c r="M23" t="str">
        <f>+I35</f>
        <v>V</v>
      </c>
      <c r="N23">
        <f>+G35</f>
        <v>13.076000000000001</v>
      </c>
      <c r="O23" t="str">
        <f>+J35</f>
        <v>PXR</v>
      </c>
      <c r="P23">
        <f>+E35</f>
        <v>2457531.50679</v>
      </c>
      <c r="Q23" t="str">
        <f>+F35</f>
        <v>2016 May. 23.00679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13.074999999999999</v>
      </c>
      <c r="O24" t="str">
        <f>+J38</f>
        <v>PXR</v>
      </c>
      <c r="P24">
        <f>+E38</f>
        <v>2457531.5060800002</v>
      </c>
      <c r="Q24" t="str">
        <f>+F38</f>
        <v>2016 May. 23.00608</v>
      </c>
    </row>
    <row r="25" spans="1:17" x14ac:dyDescent="0.25">
      <c r="A25" t="s">
        <v>397</v>
      </c>
      <c r="B25" t="s">
        <v>398</v>
      </c>
      <c r="C25" t="s">
        <v>67</v>
      </c>
      <c r="D25" t="s">
        <v>389</v>
      </c>
      <c r="E25" t="s">
        <v>31</v>
      </c>
      <c r="F25" t="s">
        <v>399</v>
      </c>
      <c r="M25" t="str">
        <f>+I41</f>
        <v>V</v>
      </c>
      <c r="N25">
        <f>+G41</f>
        <v>13.053000000000001</v>
      </c>
      <c r="O25" t="str">
        <f>+J41</f>
        <v>PXR</v>
      </c>
      <c r="P25">
        <f>+E41</f>
        <v>2457531.5053599998</v>
      </c>
      <c r="Q25" t="str">
        <f>+F41</f>
        <v>2016 May. 23.00536</v>
      </c>
    </row>
    <row r="26" spans="1:17" x14ac:dyDescent="0.25">
      <c r="D26" t="s">
        <v>385</v>
      </c>
      <c r="E26">
        <v>2457531.5089699998</v>
      </c>
      <c r="F26" t="s">
        <v>400</v>
      </c>
      <c r="G26">
        <v>13.071</v>
      </c>
      <c r="H26">
        <v>5.0000000000000001E-3</v>
      </c>
      <c r="I26" t="s">
        <v>18</v>
      </c>
      <c r="J26" t="s">
        <v>266</v>
      </c>
      <c r="K26" t="s">
        <v>20</v>
      </c>
      <c r="M26" t="str">
        <f>+I44</f>
        <v>V</v>
      </c>
      <c r="N26">
        <f>+G44</f>
        <v>13.071</v>
      </c>
      <c r="O26" t="str">
        <f>+J44</f>
        <v>PXR</v>
      </c>
      <c r="P26">
        <f>+E44</f>
        <v>2457531.5046299999</v>
      </c>
      <c r="Q26" t="str">
        <f>+F44</f>
        <v>2016 May. 23.00463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387</v>
      </c>
      <c r="B28" t="s">
        <v>401</v>
      </c>
      <c r="C28" t="s">
        <v>67</v>
      </c>
      <c r="D28" t="s">
        <v>402</v>
      </c>
      <c r="E28" t="s">
        <v>31</v>
      </c>
      <c r="F28" t="s">
        <v>31</v>
      </c>
    </row>
    <row r="29" spans="1:17" x14ac:dyDescent="0.25">
      <c r="D29" t="s">
        <v>385</v>
      </c>
      <c r="E29">
        <v>2457531.5082399999</v>
      </c>
      <c r="F29" t="s">
        <v>403</v>
      </c>
      <c r="G29">
        <v>13.079000000000001</v>
      </c>
      <c r="H29">
        <v>5.0000000000000001E-3</v>
      </c>
      <c r="I29" t="s">
        <v>18</v>
      </c>
      <c r="J29" t="s">
        <v>266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387</v>
      </c>
      <c r="B31" t="s">
        <v>404</v>
      </c>
      <c r="C31" t="s">
        <v>67</v>
      </c>
      <c r="D31" t="s">
        <v>402</v>
      </c>
      <c r="E31" t="s">
        <v>31</v>
      </c>
      <c r="F31" t="s">
        <v>31</v>
      </c>
    </row>
    <row r="32" spans="1:17" x14ac:dyDescent="0.25">
      <c r="D32" t="s">
        <v>385</v>
      </c>
      <c r="E32">
        <v>2457531.50752</v>
      </c>
      <c r="F32" t="s">
        <v>405</v>
      </c>
      <c r="G32">
        <v>13.079000000000001</v>
      </c>
      <c r="H32">
        <v>5.0000000000000001E-3</v>
      </c>
      <c r="I32" t="s">
        <v>18</v>
      </c>
      <c r="J32" t="s">
        <v>266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387</v>
      </c>
      <c r="B34" t="s">
        <v>406</v>
      </c>
      <c r="C34" t="s">
        <v>67</v>
      </c>
      <c r="D34" t="s">
        <v>402</v>
      </c>
      <c r="E34" t="s">
        <v>31</v>
      </c>
      <c r="F34" t="s">
        <v>31</v>
      </c>
    </row>
    <row r="35" spans="1:11" x14ac:dyDescent="0.25">
      <c r="D35" t="s">
        <v>385</v>
      </c>
      <c r="E35">
        <v>2457531.50679</v>
      </c>
      <c r="F35" t="s">
        <v>407</v>
      </c>
      <c r="G35">
        <v>13.076000000000001</v>
      </c>
      <c r="H35">
        <v>5.0000000000000001E-3</v>
      </c>
      <c r="I35" t="s">
        <v>18</v>
      </c>
      <c r="J35" t="s">
        <v>266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387</v>
      </c>
      <c r="B37" t="s">
        <v>408</v>
      </c>
      <c r="C37" t="s">
        <v>67</v>
      </c>
      <c r="D37" t="s">
        <v>402</v>
      </c>
      <c r="E37" t="s">
        <v>31</v>
      </c>
      <c r="F37" t="s">
        <v>31</v>
      </c>
    </row>
    <row r="38" spans="1:11" x14ac:dyDescent="0.25">
      <c r="D38" t="s">
        <v>385</v>
      </c>
      <c r="E38">
        <v>2457531.5060800002</v>
      </c>
      <c r="F38" t="s">
        <v>409</v>
      </c>
      <c r="G38">
        <v>13.074999999999999</v>
      </c>
      <c r="H38">
        <v>5.0000000000000001E-3</v>
      </c>
      <c r="I38" t="s">
        <v>18</v>
      </c>
      <c r="J38" t="s">
        <v>266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387</v>
      </c>
      <c r="B40" t="s">
        <v>410</v>
      </c>
      <c r="C40" t="s">
        <v>67</v>
      </c>
      <c r="D40" t="s">
        <v>402</v>
      </c>
      <c r="E40" t="s">
        <v>31</v>
      </c>
      <c r="F40" t="s">
        <v>31</v>
      </c>
    </row>
    <row r="41" spans="1:11" x14ac:dyDescent="0.25">
      <c r="D41" t="s">
        <v>385</v>
      </c>
      <c r="E41">
        <v>2457531.5053599998</v>
      </c>
      <c r="F41" t="s">
        <v>411</v>
      </c>
      <c r="G41">
        <v>13.053000000000001</v>
      </c>
      <c r="H41">
        <v>5.0000000000000001E-3</v>
      </c>
      <c r="I41" t="s">
        <v>18</v>
      </c>
      <c r="J41" t="s">
        <v>266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387</v>
      </c>
      <c r="B43" t="s">
        <v>412</v>
      </c>
      <c r="C43" t="s">
        <v>67</v>
      </c>
      <c r="D43" t="s">
        <v>402</v>
      </c>
      <c r="E43" t="s">
        <v>31</v>
      </c>
      <c r="F43" t="s">
        <v>31</v>
      </c>
    </row>
    <row r="44" spans="1:11" x14ac:dyDescent="0.25">
      <c r="D44" t="s">
        <v>385</v>
      </c>
      <c r="E44">
        <v>2457531.5046299999</v>
      </c>
      <c r="F44" t="s">
        <v>413</v>
      </c>
      <c r="G44">
        <v>13.071</v>
      </c>
      <c r="H44">
        <v>5.0000000000000001E-3</v>
      </c>
      <c r="I44" t="s">
        <v>18</v>
      </c>
      <c r="J44" t="s">
        <v>266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387</v>
      </c>
      <c r="B46" t="s">
        <v>414</v>
      </c>
      <c r="C46" t="s">
        <v>67</v>
      </c>
      <c r="D46" t="s">
        <v>402</v>
      </c>
      <c r="E46" t="s">
        <v>31</v>
      </c>
      <c r="F46" t="s">
        <v>31</v>
      </c>
    </row>
    <row r="47" spans="1:11" x14ac:dyDescent="0.25">
      <c r="D47" t="s">
        <v>385</v>
      </c>
      <c r="E47">
        <v>2457531.50391</v>
      </c>
      <c r="F47" t="s">
        <v>415</v>
      </c>
      <c r="G47">
        <v>13.061999999999999</v>
      </c>
      <c r="H47">
        <v>5.0000000000000001E-3</v>
      </c>
      <c r="I47" t="s">
        <v>18</v>
      </c>
      <c r="J47" t="s">
        <v>266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387</v>
      </c>
      <c r="B49" t="s">
        <v>412</v>
      </c>
      <c r="C49" t="s">
        <v>67</v>
      </c>
      <c r="D49" t="s">
        <v>402</v>
      </c>
      <c r="E49" t="s">
        <v>31</v>
      </c>
      <c r="F49" t="s">
        <v>31</v>
      </c>
    </row>
    <row r="50" spans="1:11" x14ac:dyDescent="0.25">
      <c r="D50" t="s">
        <v>385</v>
      </c>
      <c r="E50">
        <v>2457531.50318</v>
      </c>
      <c r="F50" t="s">
        <v>416</v>
      </c>
      <c r="G50">
        <v>13.06</v>
      </c>
      <c r="H50">
        <v>5.0000000000000001E-3</v>
      </c>
      <c r="I50" t="s">
        <v>18</v>
      </c>
      <c r="J50" t="s">
        <v>266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387</v>
      </c>
      <c r="B52" t="s">
        <v>417</v>
      </c>
      <c r="C52" t="s">
        <v>67</v>
      </c>
      <c r="D52" t="s">
        <v>402</v>
      </c>
      <c r="E52" t="s">
        <v>31</v>
      </c>
      <c r="F52" t="s">
        <v>31</v>
      </c>
    </row>
    <row r="53" spans="1:11" x14ac:dyDescent="0.25">
      <c r="D53" t="s">
        <v>385</v>
      </c>
      <c r="E53">
        <v>2457531.5024700002</v>
      </c>
      <c r="F53" t="s">
        <v>418</v>
      </c>
      <c r="G53">
        <v>13.08</v>
      </c>
      <c r="H53">
        <v>5.0000000000000001E-3</v>
      </c>
      <c r="I53" t="s">
        <v>18</v>
      </c>
      <c r="J53" t="s">
        <v>266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387</v>
      </c>
      <c r="B55" t="s">
        <v>406</v>
      </c>
      <c r="C55" t="s">
        <v>67</v>
      </c>
      <c r="D55" t="s">
        <v>402</v>
      </c>
      <c r="E55" t="s">
        <v>31</v>
      </c>
      <c r="F55" t="s">
        <v>31</v>
      </c>
    </row>
    <row r="56" spans="1:11" x14ac:dyDescent="0.25">
      <c r="D56" t="s">
        <v>385</v>
      </c>
      <c r="E56">
        <v>2457531.5017400002</v>
      </c>
      <c r="F56" t="s">
        <v>419</v>
      </c>
      <c r="G56">
        <v>13.083</v>
      </c>
      <c r="H56">
        <v>5.0000000000000001E-3</v>
      </c>
      <c r="I56" t="s">
        <v>18</v>
      </c>
      <c r="J56" t="s">
        <v>266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387</v>
      </c>
      <c r="B58" t="s">
        <v>420</v>
      </c>
      <c r="C58" t="s">
        <v>67</v>
      </c>
      <c r="D58" t="s">
        <v>402</v>
      </c>
      <c r="E58" t="s">
        <v>31</v>
      </c>
      <c r="F58" t="s">
        <v>31</v>
      </c>
    </row>
    <row r="59" spans="1:11" x14ac:dyDescent="0.25">
      <c r="D59" t="s">
        <v>385</v>
      </c>
      <c r="E59">
        <v>2457531.5010199999</v>
      </c>
      <c r="F59" t="s">
        <v>421</v>
      </c>
      <c r="G59">
        <v>13.076000000000001</v>
      </c>
      <c r="H59">
        <v>5.0000000000000001E-3</v>
      </c>
      <c r="I59" t="s">
        <v>18</v>
      </c>
      <c r="J59" t="s">
        <v>266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387</v>
      </c>
      <c r="B61" t="s">
        <v>422</v>
      </c>
      <c r="C61" t="s">
        <v>67</v>
      </c>
      <c r="D61" t="s">
        <v>402</v>
      </c>
      <c r="E61" t="s">
        <v>31</v>
      </c>
      <c r="F61" t="s">
        <v>31</v>
      </c>
    </row>
    <row r="62" spans="1:11" x14ac:dyDescent="0.25">
      <c r="D62" t="s">
        <v>385</v>
      </c>
      <c r="E62">
        <v>2457531.5002899999</v>
      </c>
      <c r="F62" t="s">
        <v>423</v>
      </c>
      <c r="G62">
        <v>13.085000000000001</v>
      </c>
      <c r="H62">
        <v>5.0000000000000001E-3</v>
      </c>
      <c r="I62" t="s">
        <v>18</v>
      </c>
      <c r="J62" t="s">
        <v>266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387</v>
      </c>
      <c r="B64" t="s">
        <v>424</v>
      </c>
      <c r="C64" t="s">
        <v>67</v>
      </c>
      <c r="D64" t="s">
        <v>402</v>
      </c>
      <c r="E64" t="s">
        <v>31</v>
      </c>
      <c r="F64" t="s">
        <v>31</v>
      </c>
    </row>
    <row r="65" spans="1:11" x14ac:dyDescent="0.25">
      <c r="D65" t="s">
        <v>385</v>
      </c>
      <c r="E65">
        <v>2457531.49957</v>
      </c>
      <c r="F65" t="s">
        <v>425</v>
      </c>
      <c r="G65">
        <v>13.083</v>
      </c>
      <c r="H65">
        <v>5.0000000000000001E-3</v>
      </c>
      <c r="I65" t="s">
        <v>18</v>
      </c>
      <c r="J65" t="s">
        <v>266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387</v>
      </c>
      <c r="B67" t="s">
        <v>426</v>
      </c>
      <c r="C67" t="s">
        <v>67</v>
      </c>
      <c r="D67" t="s">
        <v>402</v>
      </c>
      <c r="E67" t="s">
        <v>31</v>
      </c>
      <c r="F67" t="s">
        <v>31</v>
      </c>
    </row>
    <row r="68" spans="1:11" x14ac:dyDescent="0.25">
      <c r="D68" t="s">
        <v>385</v>
      </c>
      <c r="E68">
        <v>2457531.4988500001</v>
      </c>
      <c r="F68" t="s">
        <v>427</v>
      </c>
      <c r="G68">
        <v>13.081</v>
      </c>
      <c r="H68">
        <v>5.0000000000000001E-3</v>
      </c>
      <c r="I68" t="s">
        <v>18</v>
      </c>
      <c r="J68" t="s">
        <v>266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387</v>
      </c>
      <c r="B70" t="s">
        <v>428</v>
      </c>
      <c r="C70" t="s">
        <v>67</v>
      </c>
      <c r="D70" t="s">
        <v>402</v>
      </c>
      <c r="E70" t="s">
        <v>31</v>
      </c>
      <c r="F70" t="s">
        <v>31</v>
      </c>
    </row>
    <row r="71" spans="1:11" x14ac:dyDescent="0.25">
      <c r="D71" t="s">
        <v>385</v>
      </c>
      <c r="E71">
        <v>2457531.4981300002</v>
      </c>
      <c r="F71" t="s">
        <v>429</v>
      </c>
      <c r="G71">
        <v>13.076000000000001</v>
      </c>
      <c r="H71">
        <v>5.0000000000000001E-3</v>
      </c>
      <c r="I71" t="s">
        <v>18</v>
      </c>
      <c r="J71" t="s">
        <v>266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387</v>
      </c>
      <c r="B73" t="s">
        <v>417</v>
      </c>
      <c r="C73" t="s">
        <v>67</v>
      </c>
      <c r="D73" t="s">
        <v>402</v>
      </c>
      <c r="E73" t="s">
        <v>31</v>
      </c>
      <c r="F73" t="s">
        <v>31</v>
      </c>
    </row>
    <row r="74" spans="1:11" x14ac:dyDescent="0.25">
      <c r="D74" t="s">
        <v>385</v>
      </c>
      <c r="E74">
        <v>2457531.4974099998</v>
      </c>
      <c r="F74" t="s">
        <v>430</v>
      </c>
      <c r="G74">
        <v>13.074</v>
      </c>
      <c r="H74">
        <v>5.0000000000000001E-3</v>
      </c>
      <c r="I74" t="s">
        <v>18</v>
      </c>
      <c r="J74" t="s">
        <v>266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387</v>
      </c>
      <c r="B76" t="s">
        <v>431</v>
      </c>
      <c r="C76" t="s">
        <v>67</v>
      </c>
      <c r="D76" t="s">
        <v>402</v>
      </c>
      <c r="E76" t="s">
        <v>31</v>
      </c>
      <c r="F76" t="s">
        <v>31</v>
      </c>
    </row>
    <row r="77" spans="1:11" x14ac:dyDescent="0.25">
      <c r="D77" t="s">
        <v>385</v>
      </c>
      <c r="E77">
        <v>2457531.4966799999</v>
      </c>
      <c r="F77" t="s">
        <v>432</v>
      </c>
      <c r="G77">
        <v>13.077</v>
      </c>
      <c r="H77">
        <v>5.0000000000000001E-3</v>
      </c>
      <c r="I77" t="s">
        <v>18</v>
      </c>
      <c r="J77" t="s">
        <v>266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387</v>
      </c>
      <c r="B79" t="s">
        <v>428</v>
      </c>
      <c r="C79" t="s">
        <v>67</v>
      </c>
      <c r="D79" t="s">
        <v>402</v>
      </c>
      <c r="E79" t="s">
        <v>31</v>
      </c>
      <c r="F79" t="s">
        <v>31</v>
      </c>
    </row>
    <row r="80" spans="1:11" x14ac:dyDescent="0.25">
      <c r="D80" t="s">
        <v>385</v>
      </c>
      <c r="E80">
        <v>2457531.49596</v>
      </c>
      <c r="F80" t="s">
        <v>433</v>
      </c>
      <c r="G80">
        <v>13.08</v>
      </c>
      <c r="H80">
        <v>5.0000000000000001E-3</v>
      </c>
      <c r="I80" t="s">
        <v>18</v>
      </c>
      <c r="J80" t="s">
        <v>266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387</v>
      </c>
      <c r="B82" t="s">
        <v>434</v>
      </c>
      <c r="C82" t="s">
        <v>67</v>
      </c>
      <c r="D82" t="s">
        <v>402</v>
      </c>
      <c r="E82" t="s">
        <v>31</v>
      </c>
      <c r="F82" t="s">
        <v>31</v>
      </c>
    </row>
    <row r="83" spans="1:11" x14ac:dyDescent="0.25">
      <c r="D83" t="s">
        <v>385</v>
      </c>
      <c r="E83">
        <v>2457531.49523</v>
      </c>
      <c r="F83" t="s">
        <v>435</v>
      </c>
      <c r="G83">
        <v>13.096</v>
      </c>
      <c r="H83">
        <v>5.0000000000000001E-3</v>
      </c>
      <c r="I83" t="s">
        <v>18</v>
      </c>
      <c r="J83" t="s">
        <v>266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387</v>
      </c>
      <c r="B85" t="s">
        <v>401</v>
      </c>
      <c r="C85" t="s">
        <v>67</v>
      </c>
      <c r="D85" t="s">
        <v>402</v>
      </c>
      <c r="E85" t="s">
        <v>31</v>
      </c>
      <c r="F85" t="s">
        <v>31</v>
      </c>
    </row>
    <row r="86" spans="1:11" x14ac:dyDescent="0.25">
      <c r="D86" t="s">
        <v>385</v>
      </c>
      <c r="E86">
        <v>2457531.4945100001</v>
      </c>
      <c r="F86" t="s">
        <v>436</v>
      </c>
      <c r="G86">
        <v>13.09</v>
      </c>
      <c r="H86">
        <v>5.0000000000000001E-3</v>
      </c>
      <c r="I86" t="s">
        <v>18</v>
      </c>
      <c r="J86" t="s">
        <v>266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387</v>
      </c>
      <c r="B88" t="s">
        <v>437</v>
      </c>
      <c r="C88" t="s">
        <v>67</v>
      </c>
      <c r="D88" t="s">
        <v>402</v>
      </c>
      <c r="E88" t="s">
        <v>31</v>
      </c>
      <c r="F88" t="s">
        <v>31</v>
      </c>
    </row>
    <row r="89" spans="1:11" x14ac:dyDescent="0.25">
      <c r="D89" t="s">
        <v>385</v>
      </c>
      <c r="E89">
        <v>2457531.4937999998</v>
      </c>
      <c r="F89" t="s">
        <v>438</v>
      </c>
      <c r="G89">
        <v>13.087</v>
      </c>
      <c r="H89">
        <v>5.0000000000000001E-3</v>
      </c>
      <c r="I89" t="s">
        <v>18</v>
      </c>
      <c r="J89" t="s">
        <v>266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387</v>
      </c>
      <c r="B91" t="s">
        <v>439</v>
      </c>
      <c r="C91" t="s">
        <v>67</v>
      </c>
      <c r="D91" t="s">
        <v>402</v>
      </c>
      <c r="E91" t="s">
        <v>31</v>
      </c>
      <c r="F91" t="s">
        <v>31</v>
      </c>
    </row>
    <row r="92" spans="1:11" x14ac:dyDescent="0.25">
      <c r="A92" t="s">
        <v>440</v>
      </c>
    </row>
  </sheetData>
  <hyperlinks>
    <hyperlink ref="L1" r:id="rId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9"/>
  <dimension ref="A1:Q28"/>
  <sheetViews>
    <sheetView workbookViewId="0"/>
  </sheetViews>
  <sheetFormatPr baseColWidth="10" defaultRowHeight="15" x14ac:dyDescent="0.25"/>
  <cols>
    <col min="1" max="2" width="19.140625" customWidth="1"/>
    <col min="3" max="3" width="12.28515625" bestFit="1" customWidth="1"/>
    <col min="4" max="4" width="10.140625" customWidth="1"/>
    <col min="5" max="5" width="15.5703125" bestFit="1" customWidth="1"/>
    <col min="6" max="6" width="44.8554687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1150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1151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1152</v>
      </c>
      <c r="E17">
        <v>2455855.55296</v>
      </c>
      <c r="F17" t="s">
        <v>1153</v>
      </c>
      <c r="G17">
        <v>10.589</v>
      </c>
      <c r="H17">
        <v>3.0000000000000001E-3</v>
      </c>
      <c r="I17" t="s">
        <v>18</v>
      </c>
      <c r="J17" t="s">
        <v>252</v>
      </c>
      <c r="K17" t="s">
        <v>20</v>
      </c>
      <c r="M17" t="str">
        <f>+I17</f>
        <v>V</v>
      </c>
      <c r="N17">
        <f>+G17</f>
        <v>10.589</v>
      </c>
      <c r="O17" t="str">
        <f>+J17</f>
        <v>DKS</v>
      </c>
      <c r="P17">
        <f>+E17</f>
        <v>2455855.55296</v>
      </c>
      <c r="Q17" t="str">
        <f>+F17</f>
        <v>2011 Oct. 21.05296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10.568</v>
      </c>
      <c r="O18" t="str">
        <f>+J20</f>
        <v>DKS</v>
      </c>
      <c r="P18">
        <f>+E20</f>
        <v>2455487.5307200002</v>
      </c>
      <c r="Q18" t="str">
        <f>+F20</f>
        <v>2010 Oct. 18.03072</v>
      </c>
    </row>
    <row r="19" spans="1:17" x14ac:dyDescent="0.25">
      <c r="A19" t="s">
        <v>1154</v>
      </c>
      <c r="B19" t="s">
        <v>1155</v>
      </c>
      <c r="C19" t="s">
        <v>67</v>
      </c>
      <c r="D19" t="s">
        <v>1156</v>
      </c>
      <c r="E19" t="s">
        <v>31</v>
      </c>
      <c r="F19" t="s">
        <v>1157</v>
      </c>
      <c r="M19" t="str">
        <f>+I23</f>
        <v>V</v>
      </c>
      <c r="N19">
        <f>+G23</f>
        <v>10.51</v>
      </c>
      <c r="O19" t="str">
        <f>+J23</f>
        <v>DKS</v>
      </c>
      <c r="P19">
        <f>+E23</f>
        <v>2453330.5114000002</v>
      </c>
      <c r="Q19" t="str">
        <f>+F23</f>
        <v>2004 Nov. 21.01140</v>
      </c>
    </row>
    <row r="20" spans="1:17" x14ac:dyDescent="0.25">
      <c r="D20" t="s">
        <v>1152</v>
      </c>
      <c r="E20">
        <v>2455487.5307200002</v>
      </c>
      <c r="F20" t="s">
        <v>1158</v>
      </c>
      <c r="G20">
        <v>10.568</v>
      </c>
      <c r="H20">
        <v>3.0000000000000001E-3</v>
      </c>
      <c r="I20" t="s">
        <v>18</v>
      </c>
      <c r="J20" t="s">
        <v>252</v>
      </c>
      <c r="K20" t="s">
        <v>20</v>
      </c>
      <c r="M20" t="str">
        <f>+I26</f>
        <v>V</v>
      </c>
      <c r="N20">
        <f>+G26</f>
        <v>10.51</v>
      </c>
      <c r="O20" t="str">
        <f>+J26</f>
        <v>DKS</v>
      </c>
      <c r="P20">
        <f>+E26</f>
        <v>2453329.6213000002</v>
      </c>
      <c r="Q20" t="str">
        <f>+F26</f>
        <v>2004 Nov. 20.12130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>
        <f>+I29</f>
        <v>0</v>
      </c>
      <c r="N21">
        <f>+G29</f>
        <v>0</v>
      </c>
      <c r="O21">
        <f>+J29</f>
        <v>0</v>
      </c>
      <c r="P21">
        <f>+E29</f>
        <v>0</v>
      </c>
      <c r="Q21">
        <f>+F29</f>
        <v>0</v>
      </c>
    </row>
    <row r="22" spans="1:17" x14ac:dyDescent="0.25">
      <c r="A22" t="s">
        <v>1154</v>
      </c>
      <c r="B22" t="s">
        <v>1159</v>
      </c>
      <c r="C22" t="s">
        <v>67</v>
      </c>
      <c r="D22" t="s">
        <v>1156</v>
      </c>
      <c r="E22" t="s">
        <v>31</v>
      </c>
      <c r="F22" t="s">
        <v>1160</v>
      </c>
      <c r="M22">
        <f>+I32</f>
        <v>0</v>
      </c>
      <c r="N22">
        <f>+G32</f>
        <v>0</v>
      </c>
      <c r="O22">
        <f>+J32</f>
        <v>0</v>
      </c>
      <c r="P22">
        <f>+E32</f>
        <v>0</v>
      </c>
      <c r="Q22">
        <f>+F32</f>
        <v>0</v>
      </c>
    </row>
    <row r="23" spans="1:17" x14ac:dyDescent="0.25">
      <c r="D23" t="s">
        <v>1152</v>
      </c>
      <c r="E23">
        <v>2453330.5114000002</v>
      </c>
      <c r="F23" t="s">
        <v>1161</v>
      </c>
      <c r="G23">
        <v>10.51</v>
      </c>
      <c r="H23" t="s">
        <v>31</v>
      </c>
      <c r="I23" t="s">
        <v>18</v>
      </c>
      <c r="J23" t="s">
        <v>252</v>
      </c>
      <c r="K23" t="s">
        <v>20</v>
      </c>
      <c r="M23">
        <f>+I35</f>
        <v>0</v>
      </c>
      <c r="N23">
        <f>+G35</f>
        <v>0</v>
      </c>
      <c r="O23">
        <f>+J35</f>
        <v>0</v>
      </c>
      <c r="P23">
        <f>+E35</f>
        <v>0</v>
      </c>
      <c r="Q23">
        <f>+F35</f>
        <v>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>
        <f>+I38</f>
        <v>0</v>
      </c>
      <c r="N24">
        <f>+G38</f>
        <v>0</v>
      </c>
      <c r="O24">
        <f>+J38</f>
        <v>0</v>
      </c>
      <c r="P24">
        <f>+E38</f>
        <v>0</v>
      </c>
      <c r="Q24">
        <f>+F38</f>
        <v>0</v>
      </c>
    </row>
    <row r="25" spans="1:17" x14ac:dyDescent="0.25">
      <c r="A25">
        <v>1000</v>
      </c>
      <c r="B25" t="s">
        <v>31</v>
      </c>
      <c r="C25" t="s">
        <v>67</v>
      </c>
      <c r="D25" t="s">
        <v>1162</v>
      </c>
      <c r="E25" t="s">
        <v>31</v>
      </c>
      <c r="F25" t="s">
        <v>31</v>
      </c>
      <c r="M25">
        <f>+I41</f>
        <v>0</v>
      </c>
      <c r="N25">
        <f>+G41</f>
        <v>0</v>
      </c>
      <c r="O25">
        <f>+J41</f>
        <v>0</v>
      </c>
      <c r="P25">
        <f>+E41</f>
        <v>0</v>
      </c>
      <c r="Q25">
        <f>+F41</f>
        <v>0</v>
      </c>
    </row>
    <row r="26" spans="1:17" x14ac:dyDescent="0.25">
      <c r="D26" t="s">
        <v>1152</v>
      </c>
      <c r="E26">
        <v>2453329.6213000002</v>
      </c>
      <c r="F26" t="s">
        <v>1163</v>
      </c>
      <c r="G26">
        <v>10.51</v>
      </c>
      <c r="H26" t="s">
        <v>31</v>
      </c>
      <c r="I26" t="s">
        <v>18</v>
      </c>
      <c r="J26" t="s">
        <v>252</v>
      </c>
      <c r="K26" t="s">
        <v>20</v>
      </c>
      <c r="M26">
        <f>+I44</f>
        <v>0</v>
      </c>
      <c r="N26">
        <f>+G44</f>
        <v>0</v>
      </c>
      <c r="O26">
        <f>+J44</f>
        <v>0</v>
      </c>
      <c r="P26">
        <f>+E44</f>
        <v>0</v>
      </c>
      <c r="Q26">
        <f>+F44</f>
        <v>0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>
        <v>1000</v>
      </c>
      <c r="B28" t="s">
        <v>31</v>
      </c>
      <c r="C28" t="s">
        <v>67</v>
      </c>
      <c r="D28" t="s">
        <v>1162</v>
      </c>
      <c r="E28" t="s">
        <v>31</v>
      </c>
      <c r="F28" t="s">
        <v>31</v>
      </c>
    </row>
  </sheetData>
  <hyperlinks>
    <hyperlink ref="L1" r:id="rId1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A1:Q40"/>
  <sheetViews>
    <sheetView workbookViewId="0"/>
  </sheetViews>
  <sheetFormatPr baseColWidth="10" defaultRowHeight="15" x14ac:dyDescent="0.25"/>
  <cols>
    <col min="1" max="1" width="10.140625" customWidth="1"/>
    <col min="2" max="2" width="20.85546875" customWidth="1"/>
    <col min="3" max="3" width="12.28515625" bestFit="1" customWidth="1"/>
    <col min="4" max="4" width="15.7109375" customWidth="1"/>
    <col min="5" max="5" width="15.5703125" bestFit="1" customWidth="1"/>
    <col min="6" max="6" width="17.8554687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515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516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517</v>
      </c>
      <c r="E17">
        <v>2457511.4726</v>
      </c>
      <c r="F17" t="s">
        <v>518</v>
      </c>
      <c r="G17">
        <v>8.6189999999999998</v>
      </c>
      <c r="H17">
        <v>2.5999999999999999E-2</v>
      </c>
      <c r="I17" t="s">
        <v>18</v>
      </c>
      <c r="J17" t="s">
        <v>19</v>
      </c>
      <c r="K17" t="s">
        <v>20</v>
      </c>
      <c r="M17" t="str">
        <f>+I17</f>
        <v>V</v>
      </c>
      <c r="N17">
        <f>+G17</f>
        <v>8.6189999999999998</v>
      </c>
      <c r="O17" t="str">
        <f>+J17</f>
        <v>BDG</v>
      </c>
      <c r="P17">
        <f>+E17</f>
        <v>2457511.4726</v>
      </c>
      <c r="Q17" t="str">
        <f>+F17</f>
        <v>2016 May. 02.97260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B</v>
      </c>
      <c r="N18">
        <f>+G20</f>
        <v>10.587999999999999</v>
      </c>
      <c r="O18" t="str">
        <f>+J20</f>
        <v>BDG</v>
      </c>
      <c r="P18">
        <f>+E20</f>
        <v>2457511.4725199998</v>
      </c>
      <c r="Q18" t="str">
        <f>+F20</f>
        <v>2016 May. 02.97252</v>
      </c>
    </row>
    <row r="19" spans="1:17" x14ac:dyDescent="0.25">
      <c r="A19" t="s">
        <v>27</v>
      </c>
      <c r="B19" t="s">
        <v>519</v>
      </c>
      <c r="C19" t="s">
        <v>29</v>
      </c>
      <c r="D19" t="s">
        <v>520</v>
      </c>
      <c r="E19" t="s">
        <v>31</v>
      </c>
      <c r="F19" t="s">
        <v>32</v>
      </c>
      <c r="M19" t="str">
        <f>+I23</f>
        <v>V</v>
      </c>
      <c r="N19">
        <f>+G23</f>
        <v>8.75</v>
      </c>
      <c r="O19" t="str">
        <f>+J23</f>
        <v>SMRC</v>
      </c>
      <c r="P19">
        <f>+E23</f>
        <v>2455998.3509999998</v>
      </c>
      <c r="Q19" t="str">
        <f>+F23</f>
        <v>2012 Mar. 11.85100</v>
      </c>
    </row>
    <row r="20" spans="1:17" x14ac:dyDescent="0.25">
      <c r="D20" t="s">
        <v>517</v>
      </c>
      <c r="E20">
        <v>2457511.4725199998</v>
      </c>
      <c r="F20" t="s">
        <v>521</v>
      </c>
      <c r="G20">
        <v>10.587999999999999</v>
      </c>
      <c r="H20">
        <v>0.03</v>
      </c>
      <c r="I20" t="s">
        <v>34</v>
      </c>
      <c r="J20" t="s">
        <v>19</v>
      </c>
      <c r="K20" t="s">
        <v>20</v>
      </c>
      <c r="M20" t="str">
        <f>+I26</f>
        <v>R</v>
      </c>
      <c r="N20">
        <f>+G26</f>
        <v>8.24</v>
      </c>
      <c r="O20" t="str">
        <f>+J26</f>
        <v>SMRC</v>
      </c>
      <c r="P20">
        <f>+E26</f>
        <v>2455998.3480000002</v>
      </c>
      <c r="Q20" t="str">
        <f>+F26</f>
        <v>2012 Mar. 11.84800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R</v>
      </c>
      <c r="N21">
        <f>+G29</f>
        <v>8.32</v>
      </c>
      <c r="O21" t="str">
        <f>+J29</f>
        <v>SMRC</v>
      </c>
      <c r="P21">
        <f>+E29</f>
        <v>2455987.39</v>
      </c>
      <c r="Q21" t="str">
        <f>+F29</f>
        <v>2012 Feb. 29.89000</v>
      </c>
    </row>
    <row r="22" spans="1:17" x14ac:dyDescent="0.25">
      <c r="A22" t="s">
        <v>27</v>
      </c>
      <c r="B22" t="s">
        <v>522</v>
      </c>
      <c r="C22" t="s">
        <v>29</v>
      </c>
      <c r="D22" t="s">
        <v>520</v>
      </c>
      <c r="E22" t="s">
        <v>31</v>
      </c>
      <c r="F22" t="s">
        <v>32</v>
      </c>
      <c r="M22" t="str">
        <f>+I32</f>
        <v>V</v>
      </c>
      <c r="N22">
        <f>+G32</f>
        <v>9.01</v>
      </c>
      <c r="O22" t="str">
        <f>+J32</f>
        <v>SMRC</v>
      </c>
      <c r="P22">
        <f>+E32</f>
        <v>2455987.3870000001</v>
      </c>
      <c r="Q22" t="str">
        <f>+F32</f>
        <v>2012 Feb. 29.88700</v>
      </c>
    </row>
    <row r="23" spans="1:17" x14ac:dyDescent="0.25">
      <c r="D23" t="s">
        <v>517</v>
      </c>
      <c r="E23">
        <v>2455998.3509999998</v>
      </c>
      <c r="F23" t="s">
        <v>523</v>
      </c>
      <c r="G23">
        <v>8.75</v>
      </c>
      <c r="H23" t="s">
        <v>31</v>
      </c>
      <c r="I23" t="s">
        <v>18</v>
      </c>
      <c r="J23" t="s">
        <v>524</v>
      </c>
      <c r="K23" t="s">
        <v>20</v>
      </c>
      <c r="M23" t="str">
        <f>+I35</f>
        <v>R</v>
      </c>
      <c r="N23">
        <f>+G35</f>
        <v>8.2100000000000009</v>
      </c>
      <c r="O23" t="str">
        <f>+J35</f>
        <v>SMRC</v>
      </c>
      <c r="P23">
        <f>+E35</f>
        <v>2455979.3939999999</v>
      </c>
      <c r="Q23" t="str">
        <f>+F35</f>
        <v>2012 Feb. 21.89400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8.76</v>
      </c>
      <c r="O24" t="str">
        <f>+J38</f>
        <v>SMRC</v>
      </c>
      <c r="P24">
        <f>+E38</f>
        <v>2455979.3909999998</v>
      </c>
      <c r="Q24" t="str">
        <f>+F38</f>
        <v>2012 Feb. 21.89100</v>
      </c>
    </row>
    <row r="25" spans="1:17" x14ac:dyDescent="0.25">
      <c r="A25" t="s">
        <v>373</v>
      </c>
      <c r="B25" t="s">
        <v>31</v>
      </c>
      <c r="C25" t="s">
        <v>67</v>
      </c>
      <c r="E25" t="s">
        <v>31</v>
      </c>
      <c r="F25" t="s">
        <v>31</v>
      </c>
      <c r="M25">
        <f>+I41</f>
        <v>0</v>
      </c>
      <c r="N25">
        <f>+G41</f>
        <v>0</v>
      </c>
      <c r="O25">
        <f>+J41</f>
        <v>0</v>
      </c>
      <c r="P25">
        <f>+E41</f>
        <v>0</v>
      </c>
      <c r="Q25">
        <f>+F41</f>
        <v>0</v>
      </c>
    </row>
    <row r="26" spans="1:17" x14ac:dyDescent="0.25">
      <c r="D26" t="s">
        <v>517</v>
      </c>
      <c r="E26">
        <v>2455998.3480000002</v>
      </c>
      <c r="F26" t="s">
        <v>525</v>
      </c>
      <c r="G26">
        <v>8.24</v>
      </c>
      <c r="H26" t="s">
        <v>31</v>
      </c>
      <c r="I26" t="s">
        <v>250</v>
      </c>
      <c r="J26" t="s">
        <v>524</v>
      </c>
      <c r="K26" t="s">
        <v>20</v>
      </c>
      <c r="M26">
        <f>+I44</f>
        <v>0</v>
      </c>
      <c r="N26">
        <f>+G44</f>
        <v>0</v>
      </c>
      <c r="O26">
        <f>+J44</f>
        <v>0</v>
      </c>
      <c r="P26">
        <f>+E44</f>
        <v>0</v>
      </c>
      <c r="Q26">
        <f>+F44</f>
        <v>0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373</v>
      </c>
      <c r="B28" t="s">
        <v>31</v>
      </c>
      <c r="C28" t="s">
        <v>67</v>
      </c>
      <c r="E28" t="s">
        <v>31</v>
      </c>
      <c r="F28" t="s">
        <v>31</v>
      </c>
    </row>
    <row r="29" spans="1:17" x14ac:dyDescent="0.25">
      <c r="D29" t="s">
        <v>517</v>
      </c>
      <c r="E29">
        <v>2455987.39</v>
      </c>
      <c r="F29" t="s">
        <v>526</v>
      </c>
      <c r="G29">
        <v>8.32</v>
      </c>
      <c r="H29" t="s">
        <v>31</v>
      </c>
      <c r="I29" t="s">
        <v>250</v>
      </c>
      <c r="J29" t="s">
        <v>524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373</v>
      </c>
      <c r="B31" t="s">
        <v>31</v>
      </c>
      <c r="C31" t="s">
        <v>67</v>
      </c>
      <c r="E31" t="s">
        <v>31</v>
      </c>
      <c r="F31" t="s">
        <v>31</v>
      </c>
    </row>
    <row r="32" spans="1:17" x14ac:dyDescent="0.25">
      <c r="D32" t="s">
        <v>517</v>
      </c>
      <c r="E32">
        <v>2455987.3870000001</v>
      </c>
      <c r="F32" t="s">
        <v>527</v>
      </c>
      <c r="G32">
        <v>9.01</v>
      </c>
      <c r="H32" t="s">
        <v>31</v>
      </c>
      <c r="I32" t="s">
        <v>18</v>
      </c>
      <c r="J32" t="s">
        <v>524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373</v>
      </c>
      <c r="B34" t="s">
        <v>31</v>
      </c>
      <c r="C34" t="s">
        <v>67</v>
      </c>
      <c r="E34" t="s">
        <v>31</v>
      </c>
      <c r="F34" t="s">
        <v>31</v>
      </c>
    </row>
    <row r="35" spans="1:11" x14ac:dyDescent="0.25">
      <c r="D35" t="s">
        <v>517</v>
      </c>
      <c r="E35">
        <v>2455979.3939999999</v>
      </c>
      <c r="F35" t="s">
        <v>528</v>
      </c>
      <c r="G35">
        <v>8.2100000000000009</v>
      </c>
      <c r="H35" t="s">
        <v>31</v>
      </c>
      <c r="I35" t="s">
        <v>250</v>
      </c>
      <c r="J35" t="s">
        <v>524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373</v>
      </c>
      <c r="B37" t="s">
        <v>31</v>
      </c>
      <c r="C37" t="s">
        <v>67</v>
      </c>
      <c r="E37" t="s">
        <v>31</v>
      </c>
      <c r="F37" t="s">
        <v>31</v>
      </c>
    </row>
    <row r="38" spans="1:11" x14ac:dyDescent="0.25">
      <c r="D38" t="s">
        <v>517</v>
      </c>
      <c r="E38">
        <v>2455979.3909999998</v>
      </c>
      <c r="F38" t="s">
        <v>529</v>
      </c>
      <c r="G38">
        <v>8.76</v>
      </c>
      <c r="H38" t="s">
        <v>31</v>
      </c>
      <c r="I38" t="s">
        <v>18</v>
      </c>
      <c r="J38" t="s">
        <v>524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373</v>
      </c>
      <c r="B40" t="s">
        <v>31</v>
      </c>
      <c r="C40" t="s">
        <v>67</v>
      </c>
      <c r="E40" t="s">
        <v>31</v>
      </c>
      <c r="F40" t="s">
        <v>31</v>
      </c>
    </row>
  </sheetData>
  <hyperlinks>
    <hyperlink ref="L1" r:id="rId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/>
  <dimension ref="A1:Q92"/>
  <sheetViews>
    <sheetView workbookViewId="0">
      <selection activeCell="E17" sqref="E17"/>
    </sheetView>
  </sheetViews>
  <sheetFormatPr baseColWidth="10" defaultRowHeight="15" x14ac:dyDescent="0.25"/>
  <cols>
    <col min="1" max="1" width="19.140625" customWidth="1"/>
    <col min="2" max="2" width="20.140625" customWidth="1"/>
    <col min="3" max="3" width="12.28515625" bestFit="1" customWidth="1"/>
    <col min="4" max="4" width="10.28515625" customWidth="1"/>
    <col min="5" max="5" width="15.5703125" bestFit="1" customWidth="1"/>
    <col min="6" max="6" width="17.710937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441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2639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442</v>
      </c>
      <c r="E17">
        <v>2457700.5236499999</v>
      </c>
      <c r="F17" t="s">
        <v>2640</v>
      </c>
      <c r="G17">
        <v>9.6639999999999997</v>
      </c>
      <c r="H17">
        <v>8.0000000000000002E-3</v>
      </c>
      <c r="I17" t="s">
        <v>18</v>
      </c>
      <c r="J17" t="s">
        <v>443</v>
      </c>
      <c r="K17" t="s">
        <v>20</v>
      </c>
      <c r="M17" t="str">
        <f>+I17</f>
        <v>V</v>
      </c>
      <c r="N17">
        <f>+G17</f>
        <v>9.6639999999999997</v>
      </c>
      <c r="O17" t="str">
        <f>+J17</f>
        <v>PVA</v>
      </c>
      <c r="P17">
        <f>+E17</f>
        <v>2457700.5236499999</v>
      </c>
      <c r="Q17" t="str">
        <f>+F17</f>
        <v>2016 Nov. 08.02365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9.6660000000000004</v>
      </c>
      <c r="O18" t="str">
        <f>+J20</f>
        <v>PVA</v>
      </c>
      <c r="P18">
        <f>+E20</f>
        <v>2457700.5228599999</v>
      </c>
      <c r="Q18" t="str">
        <f>+F20</f>
        <v>2016 Nov. 08.02286</v>
      </c>
    </row>
    <row r="19" spans="1:17" x14ac:dyDescent="0.25">
      <c r="A19" t="s">
        <v>444</v>
      </c>
      <c r="B19" t="s">
        <v>2641</v>
      </c>
      <c r="C19" t="s">
        <v>67</v>
      </c>
      <c r="D19" t="s">
        <v>445</v>
      </c>
      <c r="E19" t="s">
        <v>31</v>
      </c>
      <c r="F19" t="s">
        <v>31</v>
      </c>
      <c r="M19" t="str">
        <f>+I23</f>
        <v>V</v>
      </c>
      <c r="N19">
        <f>+G23</f>
        <v>9.6609999999999996</v>
      </c>
      <c r="O19" t="str">
        <f>+J23</f>
        <v>PVA</v>
      </c>
      <c r="P19">
        <f>+E23</f>
        <v>2457700.5220699999</v>
      </c>
      <c r="Q19" t="str">
        <f>+F23</f>
        <v>2016 Nov. 08.02207</v>
      </c>
    </row>
    <row r="20" spans="1:17" x14ac:dyDescent="0.25">
      <c r="D20" t="s">
        <v>442</v>
      </c>
      <c r="E20">
        <v>2457700.5228599999</v>
      </c>
      <c r="F20" t="s">
        <v>2642</v>
      </c>
      <c r="G20">
        <v>9.6660000000000004</v>
      </c>
      <c r="H20">
        <v>8.0000000000000002E-3</v>
      </c>
      <c r="I20" t="s">
        <v>18</v>
      </c>
      <c r="J20" t="s">
        <v>443</v>
      </c>
      <c r="K20" t="s">
        <v>20</v>
      </c>
      <c r="M20" t="str">
        <f>+I26</f>
        <v>V</v>
      </c>
      <c r="N20">
        <f>+G26</f>
        <v>9.6690000000000005</v>
      </c>
      <c r="O20" t="str">
        <f>+J26</f>
        <v>PVA</v>
      </c>
      <c r="P20">
        <f>+E26</f>
        <v>2457700.52128</v>
      </c>
      <c r="Q20" t="str">
        <f>+F26</f>
        <v>2016 Nov. 08.02128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9.6720000000000006</v>
      </c>
      <c r="O21" t="str">
        <f>+J29</f>
        <v>PVA</v>
      </c>
      <c r="P21">
        <f>+E29</f>
        <v>2457700.5205000001</v>
      </c>
      <c r="Q21" t="str">
        <f>+F29</f>
        <v>2016 Nov. 08.02050</v>
      </c>
    </row>
    <row r="22" spans="1:17" x14ac:dyDescent="0.25">
      <c r="A22" t="s">
        <v>444</v>
      </c>
      <c r="B22" t="s">
        <v>2262</v>
      </c>
      <c r="C22" t="s">
        <v>67</v>
      </c>
      <c r="D22" t="s">
        <v>445</v>
      </c>
      <c r="E22" t="s">
        <v>31</v>
      </c>
      <c r="F22" t="s">
        <v>31</v>
      </c>
      <c r="M22" t="str">
        <f>+I32</f>
        <v>V</v>
      </c>
      <c r="N22">
        <f>+G32</f>
        <v>9.6630000000000003</v>
      </c>
      <c r="O22" t="str">
        <f>+J32</f>
        <v>PVA</v>
      </c>
      <c r="P22">
        <f>+E32</f>
        <v>2457700.5191100002</v>
      </c>
      <c r="Q22" t="str">
        <f>+F32</f>
        <v>2016 Nov. 08.01911</v>
      </c>
    </row>
    <row r="23" spans="1:17" x14ac:dyDescent="0.25">
      <c r="D23" t="s">
        <v>442</v>
      </c>
      <c r="E23">
        <v>2457700.5220699999</v>
      </c>
      <c r="F23" t="s">
        <v>2643</v>
      </c>
      <c r="G23">
        <v>9.6609999999999996</v>
      </c>
      <c r="H23">
        <v>8.0000000000000002E-3</v>
      </c>
      <c r="I23" t="s">
        <v>18</v>
      </c>
      <c r="J23" t="s">
        <v>443</v>
      </c>
      <c r="K23" t="s">
        <v>20</v>
      </c>
      <c r="M23" t="str">
        <f>+I35</f>
        <v>V</v>
      </c>
      <c r="N23">
        <f>+G35</f>
        <v>9.6660000000000004</v>
      </c>
      <c r="O23" t="str">
        <f>+J35</f>
        <v>PVA</v>
      </c>
      <c r="P23">
        <f>+E35</f>
        <v>2457700.5183100002</v>
      </c>
      <c r="Q23" t="str">
        <f>+F35</f>
        <v>2016 Nov. 08.01831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9.6630000000000003</v>
      </c>
      <c r="O24" t="str">
        <f>+J38</f>
        <v>PVA</v>
      </c>
      <c r="P24">
        <f>+E38</f>
        <v>2457700.5175100002</v>
      </c>
      <c r="Q24" t="str">
        <f>+F38</f>
        <v>2016 Nov. 08.01751</v>
      </c>
    </row>
    <row r="25" spans="1:17" x14ac:dyDescent="0.25">
      <c r="A25" t="s">
        <v>444</v>
      </c>
      <c r="B25" t="s">
        <v>1900</v>
      </c>
      <c r="C25" t="s">
        <v>67</v>
      </c>
      <c r="D25" t="s">
        <v>445</v>
      </c>
      <c r="E25" t="s">
        <v>31</v>
      </c>
      <c r="F25" t="s">
        <v>31</v>
      </c>
      <c r="M25" t="str">
        <f>+I41</f>
        <v>V</v>
      </c>
      <c r="N25">
        <f>+G41</f>
        <v>9.6620000000000008</v>
      </c>
      <c r="O25" t="str">
        <f>+J41</f>
        <v>PVA</v>
      </c>
      <c r="P25">
        <f>+E41</f>
        <v>2457700.5167200002</v>
      </c>
      <c r="Q25" t="str">
        <f>+F41</f>
        <v>2016 Nov. 08.01672</v>
      </c>
    </row>
    <row r="26" spans="1:17" x14ac:dyDescent="0.25">
      <c r="D26" t="s">
        <v>442</v>
      </c>
      <c r="E26">
        <v>2457700.52128</v>
      </c>
      <c r="F26" t="s">
        <v>2644</v>
      </c>
      <c r="G26">
        <v>9.6690000000000005</v>
      </c>
      <c r="H26">
        <v>8.0000000000000002E-3</v>
      </c>
      <c r="I26" t="s">
        <v>18</v>
      </c>
      <c r="J26" t="s">
        <v>443</v>
      </c>
      <c r="K26" t="s">
        <v>20</v>
      </c>
      <c r="M26" t="str">
        <f>+I44</f>
        <v>V</v>
      </c>
      <c r="N26">
        <f>+G44</f>
        <v>9.6649999999999991</v>
      </c>
      <c r="O26" t="str">
        <f>+J44</f>
        <v>PVA</v>
      </c>
      <c r="P26">
        <f>+E44</f>
        <v>2457700.5159399998</v>
      </c>
      <c r="Q26" t="str">
        <f>+F44</f>
        <v>2016 Nov. 08.01594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444</v>
      </c>
      <c r="B28" t="s">
        <v>2265</v>
      </c>
      <c r="C28" t="s">
        <v>67</v>
      </c>
      <c r="D28" t="s">
        <v>445</v>
      </c>
      <c r="E28" t="s">
        <v>31</v>
      </c>
      <c r="F28" t="s">
        <v>31</v>
      </c>
    </row>
    <row r="29" spans="1:17" x14ac:dyDescent="0.25">
      <c r="D29" t="s">
        <v>442</v>
      </c>
      <c r="E29">
        <v>2457700.5205000001</v>
      </c>
      <c r="F29" t="s">
        <v>2645</v>
      </c>
      <c r="G29">
        <v>9.6720000000000006</v>
      </c>
      <c r="H29">
        <v>8.0000000000000002E-3</v>
      </c>
      <c r="I29" t="s">
        <v>18</v>
      </c>
      <c r="J29" t="s">
        <v>443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444</v>
      </c>
      <c r="B31" t="s">
        <v>2646</v>
      </c>
      <c r="C31" t="s">
        <v>67</v>
      </c>
      <c r="D31" t="s">
        <v>445</v>
      </c>
      <c r="E31" t="s">
        <v>31</v>
      </c>
      <c r="F31" t="s">
        <v>31</v>
      </c>
    </row>
    <row r="32" spans="1:17" x14ac:dyDescent="0.25">
      <c r="D32" t="s">
        <v>442</v>
      </c>
      <c r="E32">
        <v>2457700.5191100002</v>
      </c>
      <c r="F32" t="s">
        <v>2647</v>
      </c>
      <c r="G32">
        <v>9.6630000000000003</v>
      </c>
      <c r="H32">
        <v>8.0000000000000002E-3</v>
      </c>
      <c r="I32" t="s">
        <v>18</v>
      </c>
      <c r="J32" t="s">
        <v>443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444</v>
      </c>
      <c r="B34" t="s">
        <v>2264</v>
      </c>
      <c r="C34" t="s">
        <v>67</v>
      </c>
      <c r="D34" t="s">
        <v>445</v>
      </c>
      <c r="E34" t="s">
        <v>31</v>
      </c>
      <c r="F34" t="s">
        <v>31</v>
      </c>
    </row>
    <row r="35" spans="1:11" x14ac:dyDescent="0.25">
      <c r="D35" t="s">
        <v>442</v>
      </c>
      <c r="E35">
        <v>2457700.5183100002</v>
      </c>
      <c r="F35" t="s">
        <v>2648</v>
      </c>
      <c r="G35">
        <v>9.6660000000000004</v>
      </c>
      <c r="H35">
        <v>8.0000000000000002E-3</v>
      </c>
      <c r="I35" t="s">
        <v>18</v>
      </c>
      <c r="J35" t="s">
        <v>443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444</v>
      </c>
      <c r="B37" t="s">
        <v>2649</v>
      </c>
      <c r="C37" t="s">
        <v>67</v>
      </c>
      <c r="D37" t="s">
        <v>445</v>
      </c>
      <c r="E37" t="s">
        <v>31</v>
      </c>
      <c r="F37" t="s">
        <v>31</v>
      </c>
    </row>
    <row r="38" spans="1:11" x14ac:dyDescent="0.25">
      <c r="D38" t="s">
        <v>442</v>
      </c>
      <c r="E38">
        <v>2457700.5175100002</v>
      </c>
      <c r="F38" t="s">
        <v>2650</v>
      </c>
      <c r="G38">
        <v>9.6630000000000003</v>
      </c>
      <c r="H38">
        <v>8.0000000000000002E-3</v>
      </c>
      <c r="I38" t="s">
        <v>18</v>
      </c>
      <c r="J38" t="s">
        <v>443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444</v>
      </c>
      <c r="B40" t="s">
        <v>2263</v>
      </c>
      <c r="C40" t="s">
        <v>67</v>
      </c>
      <c r="D40" t="s">
        <v>445</v>
      </c>
      <c r="E40" t="s">
        <v>31</v>
      </c>
      <c r="F40" t="s">
        <v>31</v>
      </c>
    </row>
    <row r="41" spans="1:11" x14ac:dyDescent="0.25">
      <c r="D41" t="s">
        <v>442</v>
      </c>
      <c r="E41">
        <v>2457700.5167200002</v>
      </c>
      <c r="F41" t="s">
        <v>2651</v>
      </c>
      <c r="G41">
        <v>9.6620000000000008</v>
      </c>
      <c r="H41">
        <v>8.0000000000000002E-3</v>
      </c>
      <c r="I41" t="s">
        <v>18</v>
      </c>
      <c r="J41" t="s">
        <v>443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444</v>
      </c>
      <c r="B43" t="s">
        <v>2652</v>
      </c>
      <c r="C43" t="s">
        <v>67</v>
      </c>
      <c r="D43" t="s">
        <v>445</v>
      </c>
      <c r="E43" t="s">
        <v>31</v>
      </c>
      <c r="F43" t="s">
        <v>31</v>
      </c>
    </row>
    <row r="44" spans="1:11" x14ac:dyDescent="0.25">
      <c r="D44" t="s">
        <v>442</v>
      </c>
      <c r="E44">
        <v>2457700.5159399998</v>
      </c>
      <c r="F44" t="s">
        <v>2653</v>
      </c>
      <c r="G44">
        <v>9.6649999999999991</v>
      </c>
      <c r="H44">
        <v>8.0000000000000002E-3</v>
      </c>
      <c r="I44" t="s">
        <v>18</v>
      </c>
      <c r="J44" t="s">
        <v>443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444</v>
      </c>
      <c r="B46" t="s">
        <v>2654</v>
      </c>
      <c r="C46" t="s">
        <v>67</v>
      </c>
      <c r="D46" t="s">
        <v>445</v>
      </c>
      <c r="E46" t="s">
        <v>31</v>
      </c>
      <c r="F46" t="s">
        <v>31</v>
      </c>
    </row>
    <row r="47" spans="1:11" x14ac:dyDescent="0.25">
      <c r="D47" t="s">
        <v>442</v>
      </c>
      <c r="E47">
        <v>2457698.53969</v>
      </c>
      <c r="F47" t="s">
        <v>2655</v>
      </c>
      <c r="G47">
        <v>9.6780000000000008</v>
      </c>
      <c r="H47">
        <v>8.9999999999999993E-3</v>
      </c>
      <c r="I47" t="s">
        <v>18</v>
      </c>
      <c r="J47" t="s">
        <v>443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444</v>
      </c>
      <c r="B49" t="s">
        <v>2646</v>
      </c>
      <c r="C49" t="s">
        <v>67</v>
      </c>
      <c r="D49" t="s">
        <v>445</v>
      </c>
      <c r="E49" t="s">
        <v>31</v>
      </c>
      <c r="F49" t="s">
        <v>31</v>
      </c>
    </row>
    <row r="50" spans="1:11" x14ac:dyDescent="0.25">
      <c r="D50" t="s">
        <v>442</v>
      </c>
      <c r="E50">
        <v>2457698.5385400001</v>
      </c>
      <c r="F50" t="s">
        <v>2656</v>
      </c>
      <c r="G50">
        <v>9.6739999999999995</v>
      </c>
      <c r="H50">
        <v>8.9999999999999993E-3</v>
      </c>
      <c r="I50" t="s">
        <v>18</v>
      </c>
      <c r="J50" t="s">
        <v>443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444</v>
      </c>
      <c r="B52" t="s">
        <v>2262</v>
      </c>
      <c r="C52" t="s">
        <v>67</v>
      </c>
      <c r="D52" t="s">
        <v>445</v>
      </c>
      <c r="E52" t="s">
        <v>31</v>
      </c>
      <c r="F52" t="s">
        <v>31</v>
      </c>
    </row>
    <row r="53" spans="1:11" x14ac:dyDescent="0.25">
      <c r="D53" t="s">
        <v>442</v>
      </c>
      <c r="E53">
        <v>2457698.5373999998</v>
      </c>
      <c r="F53" t="s">
        <v>2657</v>
      </c>
      <c r="G53">
        <v>9.673</v>
      </c>
      <c r="H53">
        <v>8.9999999999999993E-3</v>
      </c>
      <c r="I53" t="s">
        <v>18</v>
      </c>
      <c r="J53" t="s">
        <v>443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444</v>
      </c>
      <c r="B55" t="s">
        <v>2157</v>
      </c>
      <c r="C55" t="s">
        <v>67</v>
      </c>
      <c r="D55" t="s">
        <v>445</v>
      </c>
      <c r="E55" t="s">
        <v>31</v>
      </c>
      <c r="F55" t="s">
        <v>31</v>
      </c>
    </row>
    <row r="56" spans="1:11" x14ac:dyDescent="0.25">
      <c r="D56" t="s">
        <v>442</v>
      </c>
      <c r="E56">
        <v>2457698.5362300002</v>
      </c>
      <c r="F56" t="s">
        <v>2658</v>
      </c>
      <c r="G56">
        <v>9.6829999999999998</v>
      </c>
      <c r="H56">
        <v>8.9999999999999993E-3</v>
      </c>
      <c r="I56" t="s">
        <v>18</v>
      </c>
      <c r="J56" t="s">
        <v>443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444</v>
      </c>
      <c r="B58" t="s">
        <v>2659</v>
      </c>
      <c r="C58" t="s">
        <v>67</v>
      </c>
      <c r="D58" t="s">
        <v>445</v>
      </c>
      <c r="E58" t="s">
        <v>31</v>
      </c>
      <c r="F58" t="s">
        <v>31</v>
      </c>
    </row>
    <row r="59" spans="1:11" x14ac:dyDescent="0.25">
      <c r="D59" t="s">
        <v>442</v>
      </c>
      <c r="E59">
        <v>2457698.5350799998</v>
      </c>
      <c r="F59" t="s">
        <v>2660</v>
      </c>
      <c r="G59">
        <v>9.6769999999999996</v>
      </c>
      <c r="H59">
        <v>8.9999999999999993E-3</v>
      </c>
      <c r="I59" t="s">
        <v>18</v>
      </c>
      <c r="J59" t="s">
        <v>443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444</v>
      </c>
      <c r="B61" t="s">
        <v>2646</v>
      </c>
      <c r="C61" t="s">
        <v>67</v>
      </c>
      <c r="D61" t="s">
        <v>445</v>
      </c>
      <c r="E61" t="s">
        <v>31</v>
      </c>
      <c r="F61" t="s">
        <v>31</v>
      </c>
    </row>
    <row r="62" spans="1:11" x14ac:dyDescent="0.25">
      <c r="D62" t="s">
        <v>442</v>
      </c>
      <c r="E62">
        <v>2457695.3354600002</v>
      </c>
      <c r="F62" t="s">
        <v>2661</v>
      </c>
      <c r="G62">
        <v>9.6720000000000006</v>
      </c>
      <c r="H62">
        <v>4.0000000000000001E-3</v>
      </c>
      <c r="I62" t="s">
        <v>18</v>
      </c>
      <c r="J62" t="s">
        <v>690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27</v>
      </c>
      <c r="B64" t="s">
        <v>2654</v>
      </c>
      <c r="C64" t="s">
        <v>29</v>
      </c>
      <c r="D64" t="s">
        <v>1899</v>
      </c>
      <c r="E64" t="s">
        <v>31</v>
      </c>
      <c r="F64" t="s">
        <v>442</v>
      </c>
    </row>
    <row r="65" spans="1:11" x14ac:dyDescent="0.25">
      <c r="D65" t="s">
        <v>442</v>
      </c>
      <c r="E65">
        <v>2457695.3349040002</v>
      </c>
      <c r="F65" t="s">
        <v>2662</v>
      </c>
      <c r="G65">
        <v>10.635</v>
      </c>
      <c r="H65">
        <v>7.0000000000000001E-3</v>
      </c>
      <c r="I65" t="s">
        <v>34</v>
      </c>
      <c r="J65" t="s">
        <v>690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27</v>
      </c>
      <c r="B67" t="s">
        <v>2663</v>
      </c>
      <c r="C67" t="s">
        <v>29</v>
      </c>
      <c r="D67" t="s">
        <v>1899</v>
      </c>
      <c r="E67" t="s">
        <v>31</v>
      </c>
      <c r="F67" t="s">
        <v>442</v>
      </c>
    </row>
    <row r="68" spans="1:11" x14ac:dyDescent="0.25">
      <c r="D68" t="s">
        <v>442</v>
      </c>
      <c r="E68">
        <v>2457692.54036</v>
      </c>
      <c r="F68" t="s">
        <v>2664</v>
      </c>
      <c r="G68">
        <v>9.8650000000000002</v>
      </c>
      <c r="H68">
        <v>1.0999999999999999E-2</v>
      </c>
      <c r="I68" t="s">
        <v>18</v>
      </c>
      <c r="J68" t="s">
        <v>443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444</v>
      </c>
      <c r="B70" t="s">
        <v>2665</v>
      </c>
      <c r="C70" t="s">
        <v>67</v>
      </c>
      <c r="D70" t="s">
        <v>445</v>
      </c>
      <c r="E70" t="s">
        <v>31</v>
      </c>
      <c r="F70" t="s">
        <v>31</v>
      </c>
    </row>
    <row r="71" spans="1:11" x14ac:dyDescent="0.25">
      <c r="D71" t="s">
        <v>442</v>
      </c>
      <c r="E71">
        <v>2457692.53957</v>
      </c>
      <c r="F71" t="s">
        <v>2666</v>
      </c>
      <c r="G71">
        <v>9.8640000000000008</v>
      </c>
      <c r="H71">
        <v>1.0999999999999999E-2</v>
      </c>
      <c r="I71" t="s">
        <v>18</v>
      </c>
      <c r="J71" t="s">
        <v>443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444</v>
      </c>
      <c r="B73" t="s">
        <v>2646</v>
      </c>
      <c r="C73" t="s">
        <v>67</v>
      </c>
      <c r="D73" t="s">
        <v>445</v>
      </c>
      <c r="E73" t="s">
        <v>31</v>
      </c>
      <c r="F73" t="s">
        <v>31</v>
      </c>
    </row>
    <row r="74" spans="1:11" x14ac:dyDescent="0.25">
      <c r="D74" t="s">
        <v>442</v>
      </c>
      <c r="E74">
        <v>2457692.5387800001</v>
      </c>
      <c r="F74" t="s">
        <v>2667</v>
      </c>
      <c r="G74">
        <v>9.8469999999999995</v>
      </c>
      <c r="H74">
        <v>1.0999999999999999E-2</v>
      </c>
      <c r="I74" t="s">
        <v>18</v>
      </c>
      <c r="J74" t="s">
        <v>443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444</v>
      </c>
      <c r="B76" t="s">
        <v>2668</v>
      </c>
      <c r="C76" t="s">
        <v>67</v>
      </c>
      <c r="D76" t="s">
        <v>445</v>
      </c>
      <c r="E76" t="s">
        <v>31</v>
      </c>
      <c r="F76" t="s">
        <v>31</v>
      </c>
    </row>
    <row r="77" spans="1:11" x14ac:dyDescent="0.25">
      <c r="D77" t="s">
        <v>442</v>
      </c>
      <c r="E77">
        <v>2457692.5380000002</v>
      </c>
      <c r="F77" t="s">
        <v>2669</v>
      </c>
      <c r="G77">
        <v>9.8539999999999992</v>
      </c>
      <c r="H77">
        <v>1.0999999999999999E-2</v>
      </c>
      <c r="I77" t="s">
        <v>18</v>
      </c>
      <c r="J77" t="s">
        <v>443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444</v>
      </c>
      <c r="B79" t="s">
        <v>2649</v>
      </c>
      <c r="C79" t="s">
        <v>67</v>
      </c>
      <c r="D79" t="s">
        <v>445</v>
      </c>
      <c r="E79" t="s">
        <v>31</v>
      </c>
      <c r="F79" t="s">
        <v>31</v>
      </c>
    </row>
    <row r="80" spans="1:11" x14ac:dyDescent="0.25">
      <c r="D80" t="s">
        <v>442</v>
      </c>
      <c r="E80">
        <v>2457692.5372000001</v>
      </c>
      <c r="F80" t="s">
        <v>2670</v>
      </c>
      <c r="G80">
        <v>9.8550000000000004</v>
      </c>
      <c r="H80">
        <v>1.0999999999999999E-2</v>
      </c>
      <c r="I80" t="s">
        <v>18</v>
      </c>
      <c r="J80" t="s">
        <v>443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444</v>
      </c>
      <c r="B82" t="s">
        <v>2671</v>
      </c>
      <c r="C82" t="s">
        <v>67</v>
      </c>
      <c r="D82" t="s">
        <v>445</v>
      </c>
      <c r="E82" t="s">
        <v>31</v>
      </c>
      <c r="F82" t="s">
        <v>31</v>
      </c>
    </row>
    <row r="83" spans="1:11" x14ac:dyDescent="0.25">
      <c r="D83" t="s">
        <v>442</v>
      </c>
      <c r="E83">
        <v>2457688.5419100001</v>
      </c>
      <c r="F83" t="s">
        <v>2672</v>
      </c>
      <c r="G83">
        <v>9.86</v>
      </c>
      <c r="H83">
        <v>1.0999999999999999E-2</v>
      </c>
      <c r="I83" t="s">
        <v>18</v>
      </c>
      <c r="J83" t="s">
        <v>443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444</v>
      </c>
      <c r="B85" t="s">
        <v>2673</v>
      </c>
      <c r="C85" t="s">
        <v>67</v>
      </c>
      <c r="D85" t="s">
        <v>445</v>
      </c>
      <c r="E85" t="s">
        <v>31</v>
      </c>
      <c r="F85" t="s">
        <v>31</v>
      </c>
    </row>
    <row r="86" spans="1:11" x14ac:dyDescent="0.25">
      <c r="D86" t="s">
        <v>442</v>
      </c>
      <c r="E86">
        <v>2457688.5411200002</v>
      </c>
      <c r="F86" t="s">
        <v>2674</v>
      </c>
      <c r="G86">
        <v>9.8689999999999998</v>
      </c>
      <c r="H86">
        <v>1.0999999999999999E-2</v>
      </c>
      <c r="I86" t="s">
        <v>18</v>
      </c>
      <c r="J86" t="s">
        <v>443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444</v>
      </c>
      <c r="B88" t="s">
        <v>2675</v>
      </c>
      <c r="C88" t="s">
        <v>67</v>
      </c>
      <c r="D88" t="s">
        <v>445</v>
      </c>
      <c r="E88" t="s">
        <v>31</v>
      </c>
      <c r="F88" t="s">
        <v>31</v>
      </c>
    </row>
    <row r="89" spans="1:11" x14ac:dyDescent="0.25">
      <c r="D89" t="s">
        <v>442</v>
      </c>
      <c r="E89">
        <v>2457688.5403399998</v>
      </c>
      <c r="F89" t="s">
        <v>2676</v>
      </c>
      <c r="G89">
        <v>9.8610000000000007</v>
      </c>
      <c r="H89">
        <v>1.0999999999999999E-2</v>
      </c>
      <c r="I89" t="s">
        <v>18</v>
      </c>
      <c r="J89" t="s">
        <v>443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444</v>
      </c>
      <c r="B91" t="s">
        <v>2677</v>
      </c>
      <c r="C91" t="s">
        <v>67</v>
      </c>
      <c r="D91" t="s">
        <v>445</v>
      </c>
      <c r="E91" t="s">
        <v>31</v>
      </c>
      <c r="F91" t="s">
        <v>31</v>
      </c>
    </row>
    <row r="92" spans="1:11" x14ac:dyDescent="0.25">
      <c r="A92" t="s">
        <v>2678</v>
      </c>
    </row>
  </sheetData>
  <hyperlinks>
    <hyperlink ref="L1" r:id="rId1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/>
  <dimension ref="A1:Q92"/>
  <sheetViews>
    <sheetView workbookViewId="0">
      <selection sqref="A1:XFD1048576"/>
    </sheetView>
  </sheetViews>
  <sheetFormatPr baseColWidth="10" defaultRowHeight="15" x14ac:dyDescent="0.25"/>
  <cols>
    <col min="1" max="2" width="19.28515625" customWidth="1"/>
    <col min="3" max="3" width="12.28515625" bestFit="1" customWidth="1"/>
    <col min="4" max="4" width="9.28515625" customWidth="1"/>
    <col min="5" max="5" width="15.5703125" bestFit="1" customWidth="1"/>
    <col min="6" max="6" width="38.28515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1279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2679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1280</v>
      </c>
      <c r="E17">
        <v>2457718.0138599998</v>
      </c>
      <c r="F17" t="s">
        <v>2680</v>
      </c>
      <c r="G17">
        <v>8.6440000000000001</v>
      </c>
      <c r="H17">
        <v>0.02</v>
      </c>
      <c r="I17" t="s">
        <v>249</v>
      </c>
      <c r="J17" t="s">
        <v>248</v>
      </c>
      <c r="K17" t="s">
        <v>20</v>
      </c>
      <c r="M17" t="str">
        <f>+I17</f>
        <v>I</v>
      </c>
      <c r="N17">
        <f>+G17</f>
        <v>8.6440000000000001</v>
      </c>
      <c r="O17" t="str">
        <f>+J17</f>
        <v>JM</v>
      </c>
      <c r="P17">
        <f>+E17</f>
        <v>2457718.0138599998</v>
      </c>
      <c r="Q17" t="str">
        <f>+F17</f>
        <v>2016 Nov. 25.51386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R</v>
      </c>
      <c r="N18">
        <f>+G20</f>
        <v>9.3670000000000009</v>
      </c>
      <c r="O18" t="str">
        <f>+J20</f>
        <v>JM</v>
      </c>
      <c r="P18">
        <f>+E20</f>
        <v>2457718.01247</v>
      </c>
      <c r="Q18" t="str">
        <f>+F20</f>
        <v>2016 Nov. 25.51247</v>
      </c>
    </row>
    <row r="19" spans="1:17" x14ac:dyDescent="0.25">
      <c r="A19" t="s">
        <v>2681</v>
      </c>
      <c r="B19" t="s">
        <v>2682</v>
      </c>
      <c r="C19" t="s">
        <v>67</v>
      </c>
      <c r="D19" t="s">
        <v>1283</v>
      </c>
      <c r="E19" t="s">
        <v>31</v>
      </c>
      <c r="F19" t="s">
        <v>31</v>
      </c>
      <c r="M19" t="str">
        <f>+I23</f>
        <v>V</v>
      </c>
      <c r="N19">
        <f>+G23</f>
        <v>10.019</v>
      </c>
      <c r="O19" t="str">
        <f>+J23</f>
        <v>JM</v>
      </c>
      <c r="P19">
        <f>+E23</f>
        <v>2457718.0111099998</v>
      </c>
      <c r="Q19" t="str">
        <f>+F23</f>
        <v>2016 Nov. 25.51111</v>
      </c>
    </row>
    <row r="20" spans="1:17" x14ac:dyDescent="0.25">
      <c r="D20" t="s">
        <v>1280</v>
      </c>
      <c r="E20">
        <v>2457718.01247</v>
      </c>
      <c r="F20" t="s">
        <v>2683</v>
      </c>
      <c r="G20">
        <v>9.3670000000000009</v>
      </c>
      <c r="H20">
        <v>0.02</v>
      </c>
      <c r="I20" t="s">
        <v>250</v>
      </c>
      <c r="J20" t="s">
        <v>248</v>
      </c>
      <c r="K20" t="s">
        <v>20</v>
      </c>
      <c r="M20" t="str">
        <f>+I26</f>
        <v>B</v>
      </c>
      <c r="N20">
        <f>+G26</f>
        <v>10.851000000000001</v>
      </c>
      <c r="O20" t="str">
        <f>+J26</f>
        <v>JM</v>
      </c>
      <c r="P20">
        <f>+E26</f>
        <v>2457718.0092799999</v>
      </c>
      <c r="Q20" t="str">
        <f>+F26</f>
        <v>2016 Nov. 25.50928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I</v>
      </c>
      <c r="N21">
        <f>+G29</f>
        <v>8.6349999999999998</v>
      </c>
      <c r="O21" t="str">
        <f>+J29</f>
        <v>JM</v>
      </c>
      <c r="P21">
        <f>+E29</f>
        <v>2457717.9833300002</v>
      </c>
      <c r="Q21" t="str">
        <f>+F29</f>
        <v>2016 Nov. 25.48333</v>
      </c>
    </row>
    <row r="22" spans="1:17" x14ac:dyDescent="0.25">
      <c r="A22" t="s">
        <v>2684</v>
      </c>
      <c r="B22" t="s">
        <v>2685</v>
      </c>
      <c r="C22" t="s">
        <v>67</v>
      </c>
      <c r="D22" t="s">
        <v>1283</v>
      </c>
      <c r="E22" t="s">
        <v>31</v>
      </c>
      <c r="F22" t="s">
        <v>31</v>
      </c>
      <c r="M22" t="str">
        <f>+I32</f>
        <v>R</v>
      </c>
      <c r="N22">
        <f>+G32</f>
        <v>9.3699999999999992</v>
      </c>
      <c r="O22" t="str">
        <f>+J32</f>
        <v>JM</v>
      </c>
      <c r="P22">
        <f>+E32</f>
        <v>2457717.9819399999</v>
      </c>
      <c r="Q22" t="str">
        <f>+F32</f>
        <v>2016 Nov. 25.48194</v>
      </c>
    </row>
    <row r="23" spans="1:17" x14ac:dyDescent="0.25">
      <c r="D23" t="s">
        <v>1280</v>
      </c>
      <c r="E23">
        <v>2457718.0111099998</v>
      </c>
      <c r="F23" t="s">
        <v>2686</v>
      </c>
      <c r="G23">
        <v>10.019</v>
      </c>
      <c r="H23">
        <v>0.02</v>
      </c>
      <c r="I23" t="s">
        <v>18</v>
      </c>
      <c r="J23" t="s">
        <v>248</v>
      </c>
      <c r="K23" t="s">
        <v>20</v>
      </c>
      <c r="M23" t="str">
        <f>+I35</f>
        <v>V</v>
      </c>
      <c r="N23">
        <f>+G35</f>
        <v>10.009</v>
      </c>
      <c r="O23" t="str">
        <f>+J35</f>
        <v>JM</v>
      </c>
      <c r="P23">
        <f>+E35</f>
        <v>2457717.9805999999</v>
      </c>
      <c r="Q23" t="str">
        <f>+F35</f>
        <v>2016 Nov. 25.48060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B</v>
      </c>
      <c r="N24">
        <f>+G38</f>
        <v>10.829000000000001</v>
      </c>
      <c r="O24" t="str">
        <f>+J38</f>
        <v>JM</v>
      </c>
      <c r="P24">
        <f>+E38</f>
        <v>2457717.9787699999</v>
      </c>
      <c r="Q24" t="str">
        <f>+F38</f>
        <v>2016 Nov. 25.47877</v>
      </c>
    </row>
    <row r="25" spans="1:17" x14ac:dyDescent="0.25">
      <c r="A25" t="s">
        <v>2687</v>
      </c>
      <c r="B25" t="s">
        <v>2688</v>
      </c>
      <c r="C25" t="s">
        <v>67</v>
      </c>
      <c r="D25" t="s">
        <v>1283</v>
      </c>
      <c r="E25" t="s">
        <v>31</v>
      </c>
      <c r="F25" t="s">
        <v>31</v>
      </c>
      <c r="M25" t="str">
        <f>+I41</f>
        <v>I</v>
      </c>
      <c r="N25">
        <f>+G41</f>
        <v>8.6110000000000007</v>
      </c>
      <c r="O25" t="str">
        <f>+J41</f>
        <v>JM</v>
      </c>
      <c r="P25">
        <f>+E41</f>
        <v>2457717.0079000001</v>
      </c>
      <c r="Q25" t="str">
        <f>+F41</f>
        <v>2016 Nov. 24.50790</v>
      </c>
    </row>
    <row r="26" spans="1:17" x14ac:dyDescent="0.25">
      <c r="D26" t="s">
        <v>1280</v>
      </c>
      <c r="E26">
        <v>2457718.0092799999</v>
      </c>
      <c r="F26" t="s">
        <v>2689</v>
      </c>
      <c r="G26">
        <v>10.851000000000001</v>
      </c>
      <c r="H26">
        <v>0.02</v>
      </c>
      <c r="I26" t="s">
        <v>34</v>
      </c>
      <c r="J26" t="s">
        <v>248</v>
      </c>
      <c r="K26" t="s">
        <v>20</v>
      </c>
      <c r="M26" t="str">
        <f>+I44</f>
        <v>R</v>
      </c>
      <c r="N26">
        <f>+G44</f>
        <v>9.3379999999999992</v>
      </c>
      <c r="O26" t="str">
        <f>+J44</f>
        <v>JM</v>
      </c>
      <c r="P26">
        <f>+E44</f>
        <v>2457717.0065199998</v>
      </c>
      <c r="Q26" t="str">
        <f>+F44</f>
        <v>2016 Nov. 24.50652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2690</v>
      </c>
      <c r="B28" t="s">
        <v>2691</v>
      </c>
      <c r="C28" t="s">
        <v>67</v>
      </c>
      <c r="D28" t="s">
        <v>1283</v>
      </c>
      <c r="E28" t="s">
        <v>31</v>
      </c>
      <c r="F28" t="s">
        <v>31</v>
      </c>
    </row>
    <row r="29" spans="1:17" x14ac:dyDescent="0.25">
      <c r="D29" t="s">
        <v>1280</v>
      </c>
      <c r="E29">
        <v>2457717.9833300002</v>
      </c>
      <c r="F29" t="s">
        <v>2692</v>
      </c>
      <c r="G29">
        <v>8.6349999999999998</v>
      </c>
      <c r="H29">
        <v>0.02</v>
      </c>
      <c r="I29" t="s">
        <v>249</v>
      </c>
      <c r="J29" t="s">
        <v>248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2681</v>
      </c>
      <c r="B31" t="s">
        <v>2693</v>
      </c>
      <c r="C31" t="s">
        <v>67</v>
      </c>
      <c r="D31" t="s">
        <v>1283</v>
      </c>
      <c r="E31" t="s">
        <v>31</v>
      </c>
      <c r="F31" t="s">
        <v>31</v>
      </c>
    </row>
    <row r="32" spans="1:17" x14ac:dyDescent="0.25">
      <c r="D32" t="s">
        <v>1280</v>
      </c>
      <c r="E32">
        <v>2457717.9819399999</v>
      </c>
      <c r="F32" t="s">
        <v>2694</v>
      </c>
      <c r="G32">
        <v>9.3699999999999992</v>
      </c>
      <c r="H32">
        <v>0.02</v>
      </c>
      <c r="I32" t="s">
        <v>250</v>
      </c>
      <c r="J32" t="s">
        <v>248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2684</v>
      </c>
      <c r="B34" t="s">
        <v>2695</v>
      </c>
      <c r="C34" t="s">
        <v>67</v>
      </c>
      <c r="D34" t="s">
        <v>1283</v>
      </c>
      <c r="E34" t="s">
        <v>31</v>
      </c>
      <c r="F34" t="s">
        <v>31</v>
      </c>
    </row>
    <row r="35" spans="1:11" x14ac:dyDescent="0.25">
      <c r="D35" t="s">
        <v>1280</v>
      </c>
      <c r="E35">
        <v>2457717.9805999999</v>
      </c>
      <c r="F35" t="s">
        <v>2696</v>
      </c>
      <c r="G35">
        <v>10.009</v>
      </c>
      <c r="H35">
        <v>0.02</v>
      </c>
      <c r="I35" t="s">
        <v>18</v>
      </c>
      <c r="J35" t="s">
        <v>248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2687</v>
      </c>
      <c r="B37" t="s">
        <v>2697</v>
      </c>
      <c r="C37" t="s">
        <v>67</v>
      </c>
      <c r="D37" t="s">
        <v>1283</v>
      </c>
      <c r="E37" t="s">
        <v>31</v>
      </c>
      <c r="F37" t="s">
        <v>31</v>
      </c>
    </row>
    <row r="38" spans="1:11" x14ac:dyDescent="0.25">
      <c r="D38" t="s">
        <v>1280</v>
      </c>
      <c r="E38">
        <v>2457717.9787699999</v>
      </c>
      <c r="F38" t="s">
        <v>2698</v>
      </c>
      <c r="G38">
        <v>10.829000000000001</v>
      </c>
      <c r="H38">
        <v>0.02</v>
      </c>
      <c r="I38" t="s">
        <v>34</v>
      </c>
      <c r="J38" t="s">
        <v>248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2690</v>
      </c>
      <c r="B40" t="s">
        <v>2699</v>
      </c>
      <c r="C40" t="s">
        <v>67</v>
      </c>
      <c r="D40" t="s">
        <v>1283</v>
      </c>
      <c r="E40" t="s">
        <v>31</v>
      </c>
      <c r="F40" t="s">
        <v>31</v>
      </c>
    </row>
    <row r="41" spans="1:11" x14ac:dyDescent="0.25">
      <c r="D41" t="s">
        <v>1280</v>
      </c>
      <c r="E41">
        <v>2457717.0079000001</v>
      </c>
      <c r="F41" t="s">
        <v>2700</v>
      </c>
      <c r="G41">
        <v>8.6110000000000007</v>
      </c>
      <c r="H41">
        <v>0.02</v>
      </c>
      <c r="I41" t="s">
        <v>249</v>
      </c>
      <c r="J41" t="s">
        <v>248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1282</v>
      </c>
      <c r="B43" t="s">
        <v>2701</v>
      </c>
      <c r="C43" t="s">
        <v>67</v>
      </c>
      <c r="D43" t="s">
        <v>1283</v>
      </c>
      <c r="E43" t="s">
        <v>31</v>
      </c>
      <c r="F43" t="s">
        <v>31</v>
      </c>
    </row>
    <row r="44" spans="1:11" x14ac:dyDescent="0.25">
      <c r="D44" t="s">
        <v>1280</v>
      </c>
      <c r="E44">
        <v>2457717.0065199998</v>
      </c>
      <c r="F44" t="s">
        <v>2702</v>
      </c>
      <c r="G44">
        <v>9.3379999999999992</v>
      </c>
      <c r="H44">
        <v>0.02</v>
      </c>
      <c r="I44" t="s">
        <v>250</v>
      </c>
      <c r="J44" t="s">
        <v>248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1284</v>
      </c>
      <c r="B46" t="s">
        <v>2703</v>
      </c>
      <c r="C46" t="s">
        <v>67</v>
      </c>
      <c r="D46" t="s">
        <v>1283</v>
      </c>
      <c r="E46" t="s">
        <v>31</v>
      </c>
      <c r="F46" t="s">
        <v>31</v>
      </c>
    </row>
    <row r="47" spans="1:11" x14ac:dyDescent="0.25">
      <c r="D47" t="s">
        <v>1280</v>
      </c>
      <c r="E47">
        <v>2457717.0051600002</v>
      </c>
      <c r="F47" t="s">
        <v>2704</v>
      </c>
      <c r="G47">
        <v>9.9719999999999995</v>
      </c>
      <c r="H47">
        <v>0.02</v>
      </c>
      <c r="I47" t="s">
        <v>18</v>
      </c>
      <c r="J47" t="s">
        <v>248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1281</v>
      </c>
      <c r="B49" t="s">
        <v>2705</v>
      </c>
      <c r="C49" t="s">
        <v>67</v>
      </c>
      <c r="D49" t="s">
        <v>1283</v>
      </c>
      <c r="E49" t="s">
        <v>31</v>
      </c>
      <c r="F49" t="s">
        <v>31</v>
      </c>
    </row>
    <row r="50" spans="1:11" x14ac:dyDescent="0.25">
      <c r="D50" t="s">
        <v>1280</v>
      </c>
      <c r="E50">
        <v>2457717.0033200001</v>
      </c>
      <c r="F50" t="s">
        <v>2706</v>
      </c>
      <c r="G50">
        <v>10.752000000000001</v>
      </c>
      <c r="H50">
        <v>0.02</v>
      </c>
      <c r="I50" t="s">
        <v>34</v>
      </c>
      <c r="J50" t="s">
        <v>248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1285</v>
      </c>
      <c r="B52" t="s">
        <v>2707</v>
      </c>
      <c r="C52" t="s">
        <v>67</v>
      </c>
      <c r="D52" t="s">
        <v>1283</v>
      </c>
      <c r="E52" t="s">
        <v>31</v>
      </c>
      <c r="F52" t="s">
        <v>31</v>
      </c>
    </row>
    <row r="53" spans="1:11" x14ac:dyDescent="0.25">
      <c r="D53" t="s">
        <v>1280</v>
      </c>
      <c r="E53">
        <v>2457716.0195300002</v>
      </c>
      <c r="F53" t="s">
        <v>2708</v>
      </c>
      <c r="G53">
        <v>8.6379999999999999</v>
      </c>
      <c r="H53">
        <v>0.02</v>
      </c>
      <c r="I53" t="s">
        <v>249</v>
      </c>
      <c r="J53" t="s">
        <v>248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1282</v>
      </c>
      <c r="B55" t="s">
        <v>2709</v>
      </c>
      <c r="C55" t="s">
        <v>67</v>
      </c>
      <c r="D55" t="s">
        <v>1283</v>
      </c>
      <c r="E55" t="s">
        <v>31</v>
      </c>
      <c r="F55" t="s">
        <v>31</v>
      </c>
    </row>
    <row r="56" spans="1:11" x14ac:dyDescent="0.25">
      <c r="D56" t="s">
        <v>1280</v>
      </c>
      <c r="E56">
        <v>2457716.0181700001</v>
      </c>
      <c r="F56" t="s">
        <v>2710</v>
      </c>
      <c r="G56">
        <v>9.3680000000000003</v>
      </c>
      <c r="H56">
        <v>0.02</v>
      </c>
      <c r="I56" t="s">
        <v>250</v>
      </c>
      <c r="J56" t="s">
        <v>248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1284</v>
      </c>
      <c r="B58" t="s">
        <v>1972</v>
      </c>
      <c r="C58" t="s">
        <v>67</v>
      </c>
      <c r="D58" t="s">
        <v>1283</v>
      </c>
      <c r="E58" t="s">
        <v>31</v>
      </c>
      <c r="F58" t="s">
        <v>31</v>
      </c>
    </row>
    <row r="59" spans="1:11" x14ac:dyDescent="0.25">
      <c r="D59" t="s">
        <v>1280</v>
      </c>
      <c r="E59">
        <v>2457716.0168099999</v>
      </c>
      <c r="F59" t="s">
        <v>2711</v>
      </c>
      <c r="G59">
        <v>10.006</v>
      </c>
      <c r="H59">
        <v>0.02</v>
      </c>
      <c r="I59" t="s">
        <v>18</v>
      </c>
      <c r="J59" t="s">
        <v>248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1281</v>
      </c>
      <c r="B61" t="s">
        <v>2712</v>
      </c>
      <c r="C61" t="s">
        <v>67</v>
      </c>
      <c r="D61" t="s">
        <v>1283</v>
      </c>
      <c r="E61" t="s">
        <v>31</v>
      </c>
      <c r="F61" t="s">
        <v>31</v>
      </c>
    </row>
    <row r="62" spans="1:11" x14ac:dyDescent="0.25">
      <c r="D62" t="s">
        <v>1280</v>
      </c>
      <c r="E62">
        <v>2457716.01498</v>
      </c>
      <c r="F62" t="s">
        <v>2713</v>
      </c>
      <c r="G62">
        <v>10.840999999999999</v>
      </c>
      <c r="H62">
        <v>0.02</v>
      </c>
      <c r="I62" t="s">
        <v>34</v>
      </c>
      <c r="J62" t="s">
        <v>248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1285</v>
      </c>
      <c r="B64" t="s">
        <v>2714</v>
      </c>
      <c r="C64" t="s">
        <v>67</v>
      </c>
      <c r="D64" t="s">
        <v>1283</v>
      </c>
      <c r="E64" t="s">
        <v>31</v>
      </c>
      <c r="F64" t="s">
        <v>31</v>
      </c>
    </row>
    <row r="65" spans="1:11" x14ac:dyDescent="0.25">
      <c r="D65" t="s">
        <v>1280</v>
      </c>
      <c r="E65">
        <v>2457715.9971400001</v>
      </c>
      <c r="F65" t="s">
        <v>2715</v>
      </c>
      <c r="G65">
        <v>8.6449999999999996</v>
      </c>
      <c r="H65">
        <v>0.02</v>
      </c>
      <c r="I65" t="s">
        <v>249</v>
      </c>
      <c r="J65" t="s">
        <v>248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1282</v>
      </c>
      <c r="B67" t="s">
        <v>2716</v>
      </c>
      <c r="C67" t="s">
        <v>67</v>
      </c>
      <c r="D67" t="s">
        <v>1283</v>
      </c>
      <c r="E67" t="s">
        <v>31</v>
      </c>
      <c r="F67" t="s">
        <v>31</v>
      </c>
    </row>
    <row r="68" spans="1:11" x14ac:dyDescent="0.25">
      <c r="D68" t="s">
        <v>1280</v>
      </c>
      <c r="E68">
        <v>2457715.9957699999</v>
      </c>
      <c r="F68" t="s">
        <v>2717</v>
      </c>
      <c r="G68">
        <v>9.3670000000000009</v>
      </c>
      <c r="H68">
        <v>0.02</v>
      </c>
      <c r="I68" t="s">
        <v>250</v>
      </c>
      <c r="J68" t="s">
        <v>248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1284</v>
      </c>
      <c r="B70" t="s">
        <v>2718</v>
      </c>
      <c r="C70" t="s">
        <v>67</v>
      </c>
      <c r="D70" t="s">
        <v>1283</v>
      </c>
      <c r="E70" t="s">
        <v>31</v>
      </c>
      <c r="F70" t="s">
        <v>31</v>
      </c>
    </row>
    <row r="71" spans="1:11" x14ac:dyDescent="0.25">
      <c r="D71" t="s">
        <v>1280</v>
      </c>
      <c r="E71">
        <v>2457715.9944000002</v>
      </c>
      <c r="F71" t="s">
        <v>2719</v>
      </c>
      <c r="G71">
        <v>10.003</v>
      </c>
      <c r="H71">
        <v>0.02</v>
      </c>
      <c r="I71" t="s">
        <v>18</v>
      </c>
      <c r="J71" t="s">
        <v>248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1281</v>
      </c>
      <c r="B73" t="s">
        <v>2720</v>
      </c>
      <c r="C73" t="s">
        <v>67</v>
      </c>
      <c r="D73" t="s">
        <v>1283</v>
      </c>
      <c r="E73" t="s">
        <v>31</v>
      </c>
      <c r="F73" t="s">
        <v>31</v>
      </c>
    </row>
    <row r="74" spans="1:11" x14ac:dyDescent="0.25">
      <c r="D74" t="s">
        <v>1280</v>
      </c>
      <c r="E74">
        <v>2457715.9925899999</v>
      </c>
      <c r="F74" t="s">
        <v>2721</v>
      </c>
      <c r="G74">
        <v>10.819000000000001</v>
      </c>
      <c r="H74">
        <v>0.02</v>
      </c>
      <c r="I74" t="s">
        <v>34</v>
      </c>
      <c r="J74" t="s">
        <v>248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1285</v>
      </c>
      <c r="B76" t="s">
        <v>2722</v>
      </c>
      <c r="C76" t="s">
        <v>67</v>
      </c>
      <c r="D76" t="s">
        <v>1283</v>
      </c>
      <c r="E76" t="s">
        <v>31</v>
      </c>
      <c r="F76" t="s">
        <v>31</v>
      </c>
    </row>
    <row r="77" spans="1:11" x14ac:dyDescent="0.25">
      <c r="D77" t="s">
        <v>1280</v>
      </c>
      <c r="E77">
        <v>2457714.96282</v>
      </c>
      <c r="F77" t="s">
        <v>2723</v>
      </c>
      <c r="G77">
        <v>10.032999999999999</v>
      </c>
      <c r="H77">
        <v>5.0000000000000001E-3</v>
      </c>
      <c r="I77" t="s">
        <v>18</v>
      </c>
      <c r="J77" t="s">
        <v>252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1281</v>
      </c>
      <c r="B79" t="s">
        <v>2724</v>
      </c>
      <c r="C79" t="s">
        <v>67</v>
      </c>
      <c r="D79" t="s">
        <v>2725</v>
      </c>
      <c r="E79" t="s">
        <v>31</v>
      </c>
      <c r="F79" t="s">
        <v>253</v>
      </c>
    </row>
    <row r="80" spans="1:11" x14ac:dyDescent="0.25">
      <c r="D80" t="s">
        <v>1280</v>
      </c>
      <c r="E80">
        <v>2457713.9670199999</v>
      </c>
      <c r="F80" t="s">
        <v>2726</v>
      </c>
      <c r="G80">
        <v>10.031000000000001</v>
      </c>
      <c r="H80">
        <v>6.0000000000000001E-3</v>
      </c>
      <c r="I80" t="s">
        <v>18</v>
      </c>
      <c r="J80" t="s">
        <v>252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1281</v>
      </c>
      <c r="B82" t="s">
        <v>2727</v>
      </c>
      <c r="C82" t="s">
        <v>67</v>
      </c>
      <c r="D82" t="s">
        <v>2725</v>
      </c>
      <c r="E82" t="s">
        <v>31</v>
      </c>
      <c r="F82" t="s">
        <v>253</v>
      </c>
    </row>
    <row r="83" spans="1:11" x14ac:dyDescent="0.25">
      <c r="D83" t="s">
        <v>1280</v>
      </c>
      <c r="E83">
        <v>2457713.0204500002</v>
      </c>
      <c r="F83" t="s">
        <v>2728</v>
      </c>
      <c r="G83">
        <v>8.6219999999999999</v>
      </c>
      <c r="H83">
        <v>0.02</v>
      </c>
      <c r="I83" t="s">
        <v>249</v>
      </c>
      <c r="J83" t="s">
        <v>248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1282</v>
      </c>
      <c r="B85" t="s">
        <v>2729</v>
      </c>
      <c r="C85" t="s">
        <v>67</v>
      </c>
      <c r="D85" t="s">
        <v>1283</v>
      </c>
      <c r="E85" t="s">
        <v>31</v>
      </c>
      <c r="F85" t="s">
        <v>31</v>
      </c>
    </row>
    <row r="86" spans="1:11" x14ac:dyDescent="0.25">
      <c r="D86" t="s">
        <v>1280</v>
      </c>
      <c r="E86">
        <v>2457713.0190900001</v>
      </c>
      <c r="F86" t="s">
        <v>2730</v>
      </c>
      <c r="G86">
        <v>9.3520000000000003</v>
      </c>
      <c r="H86">
        <v>0.02</v>
      </c>
      <c r="I86" t="s">
        <v>250</v>
      </c>
      <c r="J86" t="s">
        <v>248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1284</v>
      </c>
      <c r="B88" t="s">
        <v>2731</v>
      </c>
      <c r="C88" t="s">
        <v>67</v>
      </c>
      <c r="D88" t="s">
        <v>1283</v>
      </c>
      <c r="E88" t="s">
        <v>31</v>
      </c>
      <c r="F88" t="s">
        <v>31</v>
      </c>
    </row>
    <row r="89" spans="1:11" x14ac:dyDescent="0.25">
      <c r="D89" t="s">
        <v>1280</v>
      </c>
      <c r="E89">
        <v>2457713.0177099998</v>
      </c>
      <c r="F89" t="s">
        <v>2732</v>
      </c>
      <c r="G89">
        <v>10.019</v>
      </c>
      <c r="H89">
        <v>0.02</v>
      </c>
      <c r="I89" t="s">
        <v>18</v>
      </c>
      <c r="J89" t="s">
        <v>248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2733</v>
      </c>
      <c r="B91" t="s">
        <v>2734</v>
      </c>
      <c r="C91" t="s">
        <v>67</v>
      </c>
      <c r="D91" t="s">
        <v>1283</v>
      </c>
      <c r="E91" t="s">
        <v>31</v>
      </c>
      <c r="F91" t="s">
        <v>31</v>
      </c>
    </row>
    <row r="92" spans="1:11" x14ac:dyDescent="0.25">
      <c r="A92" t="s">
        <v>2735</v>
      </c>
    </row>
  </sheetData>
  <hyperlinks>
    <hyperlink ref="L1" r:id="rId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3"/>
  <dimension ref="A1:Q92"/>
  <sheetViews>
    <sheetView workbookViewId="0"/>
  </sheetViews>
  <sheetFormatPr baseColWidth="10" defaultRowHeight="15" x14ac:dyDescent="0.25"/>
  <cols>
    <col min="1" max="2" width="10.140625" customWidth="1"/>
    <col min="3" max="3" width="12.28515625" bestFit="1" customWidth="1"/>
    <col min="4" max="4" width="8.28515625" customWidth="1"/>
    <col min="5" max="5" width="15.5703125" bestFit="1" customWidth="1"/>
    <col min="6" max="6" width="23.42578125" customWidth="1"/>
    <col min="7" max="7" width="10.5703125" customWidth="1"/>
    <col min="8" max="8" width="5.28515625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1287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2736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1288</v>
      </c>
      <c r="E17">
        <v>2457693.7059999998</v>
      </c>
      <c r="F17" t="s">
        <v>2737</v>
      </c>
      <c r="G17">
        <v>8.98</v>
      </c>
      <c r="H17">
        <v>0.05</v>
      </c>
      <c r="I17" t="s">
        <v>65</v>
      </c>
      <c r="J17" t="s">
        <v>66</v>
      </c>
      <c r="K17" t="s">
        <v>20</v>
      </c>
      <c r="M17" t="str">
        <f>+I17</f>
        <v>TG</v>
      </c>
      <c r="N17">
        <f>+G17</f>
        <v>8.98</v>
      </c>
      <c r="O17" t="str">
        <f>+J17</f>
        <v>MEV</v>
      </c>
      <c r="P17">
        <f>+E17</f>
        <v>2457693.7059999998</v>
      </c>
      <c r="Q17" t="str">
        <f>+F17</f>
        <v>2016 Nov. 01.20600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TG</v>
      </c>
      <c r="N18">
        <f>+G20</f>
        <v>8.86</v>
      </c>
      <c r="O18" t="str">
        <f>+J20</f>
        <v>MEV</v>
      </c>
      <c r="P18">
        <f>+E20</f>
        <v>2457691.5619999999</v>
      </c>
      <c r="Q18" t="str">
        <f>+F20</f>
        <v>2016 Oct. 30.06200</v>
      </c>
    </row>
    <row r="19" spans="1:17" x14ac:dyDescent="0.25">
      <c r="A19" t="s">
        <v>27</v>
      </c>
      <c r="B19" t="s">
        <v>31</v>
      </c>
      <c r="C19" t="s">
        <v>67</v>
      </c>
      <c r="D19" t="s">
        <v>68</v>
      </c>
      <c r="E19" t="s">
        <v>31</v>
      </c>
      <c r="F19" t="s">
        <v>69</v>
      </c>
      <c r="M19" t="str">
        <f>+I23</f>
        <v>TG</v>
      </c>
      <c r="N19">
        <f>+G23</f>
        <v>8.83</v>
      </c>
      <c r="O19" t="str">
        <f>+J23</f>
        <v>MEV</v>
      </c>
      <c r="P19">
        <f>+E23</f>
        <v>2457690.548</v>
      </c>
      <c r="Q19" t="str">
        <f>+F23</f>
        <v>2016 Oct. 29.04800</v>
      </c>
    </row>
    <row r="20" spans="1:17" x14ac:dyDescent="0.25">
      <c r="D20" t="s">
        <v>1288</v>
      </c>
      <c r="E20">
        <v>2457691.5619999999</v>
      </c>
      <c r="F20" t="s">
        <v>2738</v>
      </c>
      <c r="G20">
        <v>8.86</v>
      </c>
      <c r="H20">
        <v>0.05</v>
      </c>
      <c r="I20" t="s">
        <v>65</v>
      </c>
      <c r="J20" t="s">
        <v>66</v>
      </c>
      <c r="K20" t="s">
        <v>20</v>
      </c>
      <c r="M20" t="str">
        <f>+I26</f>
        <v>TG</v>
      </c>
      <c r="N20">
        <f>+G26</f>
        <v>7.99</v>
      </c>
      <c r="O20" t="str">
        <f>+J26</f>
        <v>MEV</v>
      </c>
      <c r="P20">
        <f>+E26</f>
        <v>2457640.5869999998</v>
      </c>
      <c r="Q20" t="str">
        <f>+F26</f>
        <v>2016 Sep. 09.08700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TG</v>
      </c>
      <c r="N21">
        <f>+G29</f>
        <v>7.98</v>
      </c>
      <c r="O21" t="str">
        <f>+J29</f>
        <v>MEV</v>
      </c>
      <c r="P21">
        <f>+E29</f>
        <v>2457639.625</v>
      </c>
      <c r="Q21" t="str">
        <f>+F29</f>
        <v>2016 Sep. 08.12500</v>
      </c>
    </row>
    <row r="22" spans="1:17" x14ac:dyDescent="0.25">
      <c r="A22" t="s">
        <v>27</v>
      </c>
      <c r="B22" t="s">
        <v>31</v>
      </c>
      <c r="C22" t="s">
        <v>67</v>
      </c>
      <c r="D22" t="s">
        <v>68</v>
      </c>
      <c r="E22" t="s">
        <v>31</v>
      </c>
      <c r="F22" t="s">
        <v>69</v>
      </c>
      <c r="M22" t="str">
        <f>+I32</f>
        <v>TG</v>
      </c>
      <c r="N22">
        <f>+G32</f>
        <v>7.95</v>
      </c>
      <c r="O22" t="str">
        <f>+J32</f>
        <v>MEV</v>
      </c>
      <c r="P22">
        <f>+E32</f>
        <v>2457634.5989999999</v>
      </c>
      <c r="Q22" t="str">
        <f>+F32</f>
        <v>2016 Sep. 03.09900</v>
      </c>
    </row>
    <row r="23" spans="1:17" x14ac:dyDescent="0.25">
      <c r="D23" t="s">
        <v>1288</v>
      </c>
      <c r="E23">
        <v>2457690.548</v>
      </c>
      <c r="F23" t="s">
        <v>2739</v>
      </c>
      <c r="G23">
        <v>8.83</v>
      </c>
      <c r="H23">
        <v>0.05</v>
      </c>
      <c r="I23" t="s">
        <v>65</v>
      </c>
      <c r="J23" t="s">
        <v>66</v>
      </c>
      <c r="K23" t="s">
        <v>20</v>
      </c>
      <c r="M23" t="str">
        <f>+I35</f>
        <v>TG</v>
      </c>
      <c r="N23">
        <f>+G35</f>
        <v>7.86</v>
      </c>
      <c r="O23" t="str">
        <f>+J35</f>
        <v>MEV</v>
      </c>
      <c r="P23">
        <f>+E35</f>
        <v>2457623.5929999999</v>
      </c>
      <c r="Q23" t="str">
        <f>+F35</f>
        <v>2016 Aug. 23.09300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TG</v>
      </c>
      <c r="N24">
        <f>+G38</f>
        <v>7.83</v>
      </c>
      <c r="O24" t="str">
        <f>+J38</f>
        <v>MEV</v>
      </c>
      <c r="P24">
        <f>+E38</f>
        <v>2457612.5959999999</v>
      </c>
      <c r="Q24" t="str">
        <f>+F38</f>
        <v>2016 Aug. 12.09600</v>
      </c>
    </row>
    <row r="25" spans="1:17" x14ac:dyDescent="0.25">
      <c r="A25" t="s">
        <v>27</v>
      </c>
      <c r="B25" t="s">
        <v>31</v>
      </c>
      <c r="C25" t="s">
        <v>67</v>
      </c>
      <c r="D25" t="s">
        <v>68</v>
      </c>
      <c r="E25" t="s">
        <v>31</v>
      </c>
      <c r="F25" t="s">
        <v>69</v>
      </c>
      <c r="M25" t="str">
        <f>+I41</f>
        <v>TG</v>
      </c>
      <c r="N25">
        <f>+G41</f>
        <v>9.92</v>
      </c>
      <c r="O25" t="str">
        <f>+J41</f>
        <v>MEV</v>
      </c>
      <c r="P25">
        <f>+E41</f>
        <v>2457489.352</v>
      </c>
      <c r="Q25" t="str">
        <f>+F41</f>
        <v>2016 Apr. 10.85200</v>
      </c>
    </row>
    <row r="26" spans="1:17" x14ac:dyDescent="0.25">
      <c r="D26" t="s">
        <v>1288</v>
      </c>
      <c r="E26">
        <v>2457640.5869999998</v>
      </c>
      <c r="F26" t="s">
        <v>2158</v>
      </c>
      <c r="G26">
        <v>7.99</v>
      </c>
      <c r="H26">
        <v>0.05</v>
      </c>
      <c r="I26" t="s">
        <v>65</v>
      </c>
      <c r="J26" t="s">
        <v>66</v>
      </c>
      <c r="K26" t="s">
        <v>20</v>
      </c>
      <c r="M26" t="str">
        <f>+I44</f>
        <v>TG</v>
      </c>
      <c r="N26">
        <f>+G44</f>
        <v>10.199999999999999</v>
      </c>
      <c r="O26" t="str">
        <f>+J44</f>
        <v>MEV</v>
      </c>
      <c r="P26">
        <f>+E44</f>
        <v>2457466.423</v>
      </c>
      <c r="Q26" t="str">
        <f>+F44</f>
        <v>2016 Mar. 18.92300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27</v>
      </c>
      <c r="B28" t="s">
        <v>31</v>
      </c>
      <c r="C28" t="s">
        <v>67</v>
      </c>
      <c r="D28" t="s">
        <v>68</v>
      </c>
      <c r="E28" t="s">
        <v>31</v>
      </c>
      <c r="F28" t="s">
        <v>69</v>
      </c>
    </row>
    <row r="29" spans="1:17" x14ac:dyDescent="0.25">
      <c r="D29" t="s">
        <v>1288</v>
      </c>
      <c r="E29">
        <v>2457639.625</v>
      </c>
      <c r="F29" t="s">
        <v>2159</v>
      </c>
      <c r="G29">
        <v>7.98</v>
      </c>
      <c r="H29">
        <v>0.05</v>
      </c>
      <c r="I29" t="s">
        <v>65</v>
      </c>
      <c r="J29" t="s">
        <v>66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27</v>
      </c>
      <c r="B31" t="s">
        <v>31</v>
      </c>
      <c r="C31" t="s">
        <v>67</v>
      </c>
      <c r="D31" t="s">
        <v>68</v>
      </c>
      <c r="E31" t="s">
        <v>31</v>
      </c>
      <c r="F31" t="s">
        <v>69</v>
      </c>
    </row>
    <row r="32" spans="1:17" x14ac:dyDescent="0.25">
      <c r="D32" t="s">
        <v>1288</v>
      </c>
      <c r="E32">
        <v>2457634.5989999999</v>
      </c>
      <c r="F32" t="s">
        <v>2160</v>
      </c>
      <c r="G32">
        <v>7.95</v>
      </c>
      <c r="H32">
        <v>0.05</v>
      </c>
      <c r="I32" t="s">
        <v>65</v>
      </c>
      <c r="J32" t="s">
        <v>66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27</v>
      </c>
      <c r="B34" t="s">
        <v>31</v>
      </c>
      <c r="C34" t="s">
        <v>67</v>
      </c>
      <c r="D34" t="s">
        <v>68</v>
      </c>
      <c r="E34" t="s">
        <v>31</v>
      </c>
      <c r="F34" t="s">
        <v>69</v>
      </c>
    </row>
    <row r="35" spans="1:11" x14ac:dyDescent="0.25">
      <c r="D35" t="s">
        <v>1288</v>
      </c>
      <c r="E35">
        <v>2457623.5929999999</v>
      </c>
      <c r="F35" t="s">
        <v>1973</v>
      </c>
      <c r="G35">
        <v>7.86</v>
      </c>
      <c r="H35">
        <v>0.05</v>
      </c>
      <c r="I35" t="s">
        <v>65</v>
      </c>
      <c r="J35" t="s">
        <v>66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27</v>
      </c>
      <c r="B37" t="s">
        <v>31</v>
      </c>
      <c r="C37" t="s">
        <v>67</v>
      </c>
      <c r="D37" t="s">
        <v>68</v>
      </c>
      <c r="E37" t="s">
        <v>31</v>
      </c>
      <c r="F37" t="s">
        <v>69</v>
      </c>
    </row>
    <row r="38" spans="1:11" x14ac:dyDescent="0.25">
      <c r="D38" t="s">
        <v>1288</v>
      </c>
      <c r="E38">
        <v>2457612.5959999999</v>
      </c>
      <c r="F38" t="s">
        <v>1974</v>
      </c>
      <c r="G38">
        <v>7.83</v>
      </c>
      <c r="H38">
        <v>0.05</v>
      </c>
      <c r="I38" t="s">
        <v>65</v>
      </c>
      <c r="J38" t="s">
        <v>66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27</v>
      </c>
      <c r="B40" t="s">
        <v>31</v>
      </c>
      <c r="C40" t="s">
        <v>67</v>
      </c>
      <c r="D40" t="s">
        <v>68</v>
      </c>
      <c r="E40" t="s">
        <v>31</v>
      </c>
      <c r="F40" t="s">
        <v>69</v>
      </c>
    </row>
    <row r="41" spans="1:11" x14ac:dyDescent="0.25">
      <c r="D41" t="s">
        <v>1288</v>
      </c>
      <c r="E41">
        <v>2457489.352</v>
      </c>
      <c r="F41" t="s">
        <v>1289</v>
      </c>
      <c r="G41">
        <v>9.92</v>
      </c>
      <c r="H41">
        <v>0.05</v>
      </c>
      <c r="I41" t="s">
        <v>65</v>
      </c>
      <c r="J41" t="s">
        <v>66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27</v>
      </c>
      <c r="B43" t="s">
        <v>31</v>
      </c>
      <c r="C43" t="s">
        <v>67</v>
      </c>
      <c r="D43" t="s">
        <v>68</v>
      </c>
      <c r="E43" t="s">
        <v>31</v>
      </c>
      <c r="F43" t="s">
        <v>69</v>
      </c>
    </row>
    <row r="44" spans="1:11" x14ac:dyDescent="0.25">
      <c r="D44" t="s">
        <v>1288</v>
      </c>
      <c r="E44">
        <v>2457466.423</v>
      </c>
      <c r="F44" t="s">
        <v>1290</v>
      </c>
      <c r="G44">
        <v>10.199999999999999</v>
      </c>
      <c r="H44">
        <v>0.05</v>
      </c>
      <c r="I44" t="s">
        <v>65</v>
      </c>
      <c r="J44" t="s">
        <v>66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27</v>
      </c>
      <c r="B46" t="s">
        <v>31</v>
      </c>
      <c r="C46" t="s">
        <v>67</v>
      </c>
      <c r="D46" t="s">
        <v>68</v>
      </c>
      <c r="E46" t="s">
        <v>31</v>
      </c>
      <c r="F46" t="s">
        <v>69</v>
      </c>
    </row>
    <row r="47" spans="1:11" x14ac:dyDescent="0.25">
      <c r="D47" t="s">
        <v>1288</v>
      </c>
      <c r="E47">
        <v>2457460.3760000002</v>
      </c>
      <c r="F47" t="s">
        <v>1291</v>
      </c>
      <c r="G47">
        <v>10.23</v>
      </c>
      <c r="H47">
        <v>0.05</v>
      </c>
      <c r="I47" t="s">
        <v>65</v>
      </c>
      <c r="J47" t="s">
        <v>66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27</v>
      </c>
      <c r="B49" t="s">
        <v>31</v>
      </c>
      <c r="C49" t="s">
        <v>67</v>
      </c>
      <c r="D49" t="s">
        <v>68</v>
      </c>
      <c r="E49" t="s">
        <v>31</v>
      </c>
      <c r="F49" t="s">
        <v>69</v>
      </c>
    </row>
    <row r="50" spans="1:11" x14ac:dyDescent="0.25">
      <c r="D50" t="s">
        <v>1288</v>
      </c>
      <c r="E50">
        <v>2457458.4169999999</v>
      </c>
      <c r="F50" t="s">
        <v>1292</v>
      </c>
      <c r="G50">
        <v>10.29</v>
      </c>
      <c r="H50">
        <v>0.05</v>
      </c>
      <c r="I50" t="s">
        <v>65</v>
      </c>
      <c r="J50" t="s">
        <v>66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27</v>
      </c>
      <c r="B52" t="s">
        <v>31</v>
      </c>
      <c r="C52" t="s">
        <v>67</v>
      </c>
      <c r="D52" t="s">
        <v>68</v>
      </c>
      <c r="E52" t="s">
        <v>31</v>
      </c>
      <c r="F52" t="s">
        <v>69</v>
      </c>
    </row>
    <row r="53" spans="1:11" x14ac:dyDescent="0.25">
      <c r="D53" t="s">
        <v>1288</v>
      </c>
      <c r="E53">
        <v>2457433.4470000002</v>
      </c>
      <c r="F53" t="s">
        <v>1293</v>
      </c>
      <c r="G53">
        <v>10.29</v>
      </c>
      <c r="H53">
        <v>0.05</v>
      </c>
      <c r="I53" t="s">
        <v>65</v>
      </c>
      <c r="J53" t="s">
        <v>66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27</v>
      </c>
      <c r="B55" t="s">
        <v>31</v>
      </c>
      <c r="C55" t="s">
        <v>67</v>
      </c>
      <c r="D55" t="s">
        <v>68</v>
      </c>
      <c r="E55" t="s">
        <v>31</v>
      </c>
      <c r="F55" t="s">
        <v>69</v>
      </c>
    </row>
    <row r="56" spans="1:11" x14ac:dyDescent="0.25">
      <c r="D56" t="s">
        <v>1288</v>
      </c>
      <c r="E56">
        <v>2457337.6069999998</v>
      </c>
      <c r="F56" t="s">
        <v>1294</v>
      </c>
      <c r="G56">
        <v>9.43</v>
      </c>
      <c r="H56">
        <v>0.05</v>
      </c>
      <c r="I56" t="s">
        <v>65</v>
      </c>
      <c r="J56" t="s">
        <v>66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27</v>
      </c>
      <c r="B58" t="s">
        <v>31</v>
      </c>
      <c r="C58" t="s">
        <v>67</v>
      </c>
      <c r="D58" t="s">
        <v>68</v>
      </c>
      <c r="E58" t="s">
        <v>31</v>
      </c>
      <c r="F58" t="s">
        <v>69</v>
      </c>
    </row>
    <row r="59" spans="1:11" x14ac:dyDescent="0.25">
      <c r="D59" t="s">
        <v>1288</v>
      </c>
      <c r="E59">
        <v>2457336.5469999998</v>
      </c>
      <c r="F59" t="s">
        <v>1295</v>
      </c>
      <c r="G59">
        <v>9.36</v>
      </c>
      <c r="H59">
        <v>0.05</v>
      </c>
      <c r="I59" t="s">
        <v>65</v>
      </c>
      <c r="J59" t="s">
        <v>66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27</v>
      </c>
      <c r="B61" t="s">
        <v>31</v>
      </c>
      <c r="C61" t="s">
        <v>67</v>
      </c>
      <c r="D61" t="s">
        <v>68</v>
      </c>
      <c r="E61" t="s">
        <v>31</v>
      </c>
      <c r="F61" t="s">
        <v>69</v>
      </c>
    </row>
    <row r="62" spans="1:11" x14ac:dyDescent="0.25">
      <c r="D62" t="s">
        <v>1288</v>
      </c>
      <c r="E62">
        <v>2457335.6</v>
      </c>
      <c r="F62" t="s">
        <v>1296</v>
      </c>
      <c r="G62">
        <v>9.36</v>
      </c>
      <c r="H62">
        <v>0.05</v>
      </c>
      <c r="I62" t="s">
        <v>65</v>
      </c>
      <c r="J62" t="s">
        <v>66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27</v>
      </c>
      <c r="B64" t="s">
        <v>31</v>
      </c>
      <c r="C64" t="s">
        <v>67</v>
      </c>
      <c r="D64" t="s">
        <v>68</v>
      </c>
      <c r="E64" t="s">
        <v>31</v>
      </c>
      <c r="F64" t="s">
        <v>69</v>
      </c>
    </row>
    <row r="65" spans="1:11" x14ac:dyDescent="0.25">
      <c r="D65" t="s">
        <v>1288</v>
      </c>
      <c r="E65">
        <v>2457334.5550000002</v>
      </c>
      <c r="F65" t="s">
        <v>1297</v>
      </c>
      <c r="G65">
        <v>9.2899999999999991</v>
      </c>
      <c r="H65">
        <v>0.05</v>
      </c>
      <c r="I65" t="s">
        <v>65</v>
      </c>
      <c r="J65" t="s">
        <v>66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27</v>
      </c>
      <c r="B67" t="s">
        <v>31</v>
      </c>
      <c r="C67" t="s">
        <v>67</v>
      </c>
      <c r="D67" t="s">
        <v>68</v>
      </c>
      <c r="E67" t="s">
        <v>31</v>
      </c>
      <c r="F67" t="s">
        <v>69</v>
      </c>
    </row>
    <row r="68" spans="1:11" x14ac:dyDescent="0.25">
      <c r="D68" t="s">
        <v>1288</v>
      </c>
      <c r="E68">
        <v>2457127.35</v>
      </c>
      <c r="F68" t="s">
        <v>1298</v>
      </c>
      <c r="G68">
        <v>9.68</v>
      </c>
      <c r="H68">
        <v>0.05</v>
      </c>
      <c r="I68" t="s">
        <v>65</v>
      </c>
      <c r="J68" t="s">
        <v>66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31</v>
      </c>
      <c r="C70" t="s">
        <v>67</v>
      </c>
      <c r="D70" t="s">
        <v>68</v>
      </c>
      <c r="E70" t="s">
        <v>31</v>
      </c>
      <c r="F70" t="s">
        <v>69</v>
      </c>
    </row>
    <row r="71" spans="1:11" x14ac:dyDescent="0.25">
      <c r="D71" t="s">
        <v>1288</v>
      </c>
      <c r="E71">
        <v>2457126.3390000002</v>
      </c>
      <c r="F71" t="s">
        <v>1299</v>
      </c>
      <c r="G71">
        <v>9.6999999999999993</v>
      </c>
      <c r="H71">
        <v>0.05</v>
      </c>
      <c r="I71" t="s">
        <v>65</v>
      </c>
      <c r="J71" t="s">
        <v>66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27</v>
      </c>
      <c r="B73" t="s">
        <v>31</v>
      </c>
      <c r="C73" t="s">
        <v>67</v>
      </c>
      <c r="D73" t="s">
        <v>68</v>
      </c>
      <c r="E73" t="s">
        <v>31</v>
      </c>
      <c r="F73" t="s">
        <v>69</v>
      </c>
    </row>
    <row r="74" spans="1:11" x14ac:dyDescent="0.25">
      <c r="D74" t="s">
        <v>1288</v>
      </c>
      <c r="E74">
        <v>2457125.338</v>
      </c>
      <c r="F74" t="s">
        <v>1300</v>
      </c>
      <c r="G74">
        <v>9.74</v>
      </c>
      <c r="H74">
        <v>0.05</v>
      </c>
      <c r="I74" t="s">
        <v>65</v>
      </c>
      <c r="J74" t="s">
        <v>66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27</v>
      </c>
      <c r="B76" t="s">
        <v>31</v>
      </c>
      <c r="C76" t="s">
        <v>67</v>
      </c>
      <c r="D76" t="s">
        <v>68</v>
      </c>
      <c r="E76" t="s">
        <v>31</v>
      </c>
      <c r="F76" t="s">
        <v>69</v>
      </c>
    </row>
    <row r="77" spans="1:11" x14ac:dyDescent="0.25">
      <c r="D77" t="s">
        <v>1288</v>
      </c>
      <c r="E77">
        <v>2457124.3470000001</v>
      </c>
      <c r="F77" t="s">
        <v>1301</v>
      </c>
      <c r="G77">
        <v>9.76</v>
      </c>
      <c r="H77">
        <v>0.05</v>
      </c>
      <c r="I77" t="s">
        <v>65</v>
      </c>
      <c r="J77" t="s">
        <v>66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27</v>
      </c>
      <c r="B79" t="s">
        <v>31</v>
      </c>
      <c r="C79" t="s">
        <v>67</v>
      </c>
      <c r="D79" t="s">
        <v>68</v>
      </c>
      <c r="E79" t="s">
        <v>31</v>
      </c>
      <c r="F79" t="s">
        <v>69</v>
      </c>
    </row>
    <row r="80" spans="1:11" x14ac:dyDescent="0.25">
      <c r="D80" t="s">
        <v>1288</v>
      </c>
      <c r="E80">
        <v>2457024.5449999999</v>
      </c>
      <c r="F80" t="s">
        <v>1302</v>
      </c>
      <c r="G80">
        <v>10.35</v>
      </c>
      <c r="H80">
        <v>0.05</v>
      </c>
      <c r="I80" t="s">
        <v>65</v>
      </c>
      <c r="J80" t="s">
        <v>66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27</v>
      </c>
      <c r="B82" t="s">
        <v>31</v>
      </c>
      <c r="C82" t="s">
        <v>67</v>
      </c>
      <c r="D82" t="s">
        <v>68</v>
      </c>
      <c r="E82" t="s">
        <v>31</v>
      </c>
      <c r="F82" t="s">
        <v>69</v>
      </c>
    </row>
    <row r="83" spans="1:11" x14ac:dyDescent="0.25">
      <c r="D83" t="s">
        <v>1288</v>
      </c>
      <c r="E83">
        <v>2457021.4939999999</v>
      </c>
      <c r="F83" t="s">
        <v>1303</v>
      </c>
      <c r="G83">
        <v>10.4</v>
      </c>
      <c r="H83">
        <v>0.05</v>
      </c>
      <c r="I83" t="s">
        <v>65</v>
      </c>
      <c r="J83" t="s">
        <v>66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27</v>
      </c>
      <c r="B85" t="s">
        <v>31</v>
      </c>
      <c r="C85" t="s">
        <v>67</v>
      </c>
      <c r="D85" t="s">
        <v>68</v>
      </c>
      <c r="E85" t="s">
        <v>31</v>
      </c>
      <c r="F85" t="s">
        <v>69</v>
      </c>
    </row>
    <row r="86" spans="1:11" x14ac:dyDescent="0.25">
      <c r="D86" t="s">
        <v>1288</v>
      </c>
      <c r="E86">
        <v>2457017.4920000001</v>
      </c>
      <c r="F86" t="s">
        <v>1304</v>
      </c>
      <c r="G86">
        <v>10.33</v>
      </c>
      <c r="H86">
        <v>0.05</v>
      </c>
      <c r="I86" t="s">
        <v>65</v>
      </c>
      <c r="J86" t="s">
        <v>66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27</v>
      </c>
      <c r="B88" t="s">
        <v>31</v>
      </c>
      <c r="C88" t="s">
        <v>67</v>
      </c>
      <c r="D88" t="s">
        <v>68</v>
      </c>
      <c r="E88" t="s">
        <v>31</v>
      </c>
      <c r="F88" t="s">
        <v>69</v>
      </c>
    </row>
    <row r="89" spans="1:11" x14ac:dyDescent="0.25">
      <c r="D89" t="s">
        <v>1288</v>
      </c>
      <c r="E89">
        <v>2457016.5099999998</v>
      </c>
      <c r="F89" t="s">
        <v>1305</v>
      </c>
      <c r="G89">
        <v>10.35</v>
      </c>
      <c r="H89">
        <v>0.05</v>
      </c>
      <c r="I89" t="s">
        <v>65</v>
      </c>
      <c r="J89" t="s">
        <v>66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27</v>
      </c>
      <c r="B91" t="s">
        <v>31</v>
      </c>
      <c r="C91" t="s">
        <v>67</v>
      </c>
      <c r="D91" t="s">
        <v>68</v>
      </c>
      <c r="E91" t="s">
        <v>31</v>
      </c>
      <c r="F91" t="s">
        <v>69</v>
      </c>
    </row>
    <row r="92" spans="1:11" x14ac:dyDescent="0.25">
      <c r="A92" t="s">
        <v>1306</v>
      </c>
    </row>
  </sheetData>
  <hyperlinks>
    <hyperlink ref="L1" r:id="rId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4"/>
  <dimension ref="A1:Q92"/>
  <sheetViews>
    <sheetView workbookViewId="0">
      <selection activeCell="H6" sqref="H6"/>
    </sheetView>
  </sheetViews>
  <sheetFormatPr baseColWidth="10" defaultRowHeight="15" x14ac:dyDescent="0.25"/>
  <cols>
    <col min="3" max="3" width="12.28515625" customWidth="1"/>
    <col min="4" max="4" width="19.42578125" customWidth="1"/>
    <col min="5" max="5" width="15.5703125" customWidth="1"/>
    <col min="6" max="6" width="17.425781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0" x14ac:dyDescent="0.25">
      <c r="A1" t="s">
        <v>0</v>
      </c>
    </row>
    <row r="3" spans="1:10" x14ac:dyDescent="0.25">
      <c r="A3" t="s">
        <v>1</v>
      </c>
    </row>
    <row r="4" spans="1:10" x14ac:dyDescent="0.25">
      <c r="A4" t="s">
        <v>2</v>
      </c>
    </row>
    <row r="5" spans="1:10" x14ac:dyDescent="0.25">
      <c r="A5" t="s">
        <v>3</v>
      </c>
    </row>
    <row r="6" spans="1:10" x14ac:dyDescent="0.25">
      <c r="A6" t="s">
        <v>4</v>
      </c>
    </row>
    <row r="8" spans="1:10" x14ac:dyDescent="0.25">
      <c r="A8" t="s">
        <v>5</v>
      </c>
    </row>
    <row r="10" spans="1:10" x14ac:dyDescent="0.25">
      <c r="A10" t="s">
        <v>257</v>
      </c>
    </row>
    <row r="12" spans="1:10" x14ac:dyDescent="0.25">
      <c r="A12" t="s">
        <v>6</v>
      </c>
    </row>
    <row r="13" spans="1:10" x14ac:dyDescent="0.25">
      <c r="A13" t="s">
        <v>7</v>
      </c>
    </row>
    <row r="14" spans="1:10" x14ac:dyDescent="0.25">
      <c r="A14" t="s">
        <v>8</v>
      </c>
    </row>
    <row r="16" spans="1:10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258</v>
      </c>
      <c r="E17">
        <v>2456861.6060000001</v>
      </c>
      <c r="F17" t="s">
        <v>259</v>
      </c>
      <c r="G17">
        <v>13.03</v>
      </c>
      <c r="H17">
        <v>0.03</v>
      </c>
      <c r="I17" t="s">
        <v>18</v>
      </c>
      <c r="J17" t="s">
        <v>260</v>
      </c>
      <c r="K17" t="s">
        <v>20</v>
      </c>
      <c r="M17" t="str">
        <f>+I17</f>
        <v>V</v>
      </c>
      <c r="N17">
        <f>+G17</f>
        <v>13.03</v>
      </c>
      <c r="O17" t="str">
        <f>+J17</f>
        <v>OCN</v>
      </c>
      <c r="P17">
        <f>+E17</f>
        <v>2456861.6060000001</v>
      </c>
      <c r="Q17" t="str">
        <f>+F17</f>
        <v>2014 Jul. 23.10600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11.795999999999999</v>
      </c>
      <c r="O18" t="str">
        <f>+J20</f>
        <v>PXR</v>
      </c>
      <c r="P18">
        <f>+E20</f>
        <v>2456581.3169</v>
      </c>
      <c r="Q18" t="str">
        <f>+F20</f>
        <v>2013 Oct. 15.81690</v>
      </c>
    </row>
    <row r="19" spans="1:17" x14ac:dyDescent="0.25">
      <c r="A19" t="s">
        <v>261</v>
      </c>
      <c r="B19" t="s">
        <v>262</v>
      </c>
      <c r="C19" t="s">
        <v>67</v>
      </c>
      <c r="D19" t="s">
        <v>263</v>
      </c>
      <c r="E19" t="s">
        <v>31</v>
      </c>
      <c r="F19" t="s">
        <v>264</v>
      </c>
      <c r="M19" t="str">
        <f>+I23</f>
        <v>V</v>
      </c>
      <c r="N19">
        <f>+G23</f>
        <v>11.795</v>
      </c>
      <c r="O19" t="str">
        <f>+J23</f>
        <v>PXR</v>
      </c>
      <c r="P19">
        <f>+E23</f>
        <v>2456581.3163200002</v>
      </c>
      <c r="Q19" t="str">
        <f>+F23</f>
        <v>2013 Oct. 15.81632</v>
      </c>
    </row>
    <row r="20" spans="1:17" x14ac:dyDescent="0.25">
      <c r="D20" t="s">
        <v>258</v>
      </c>
      <c r="E20">
        <v>2456581.3169</v>
      </c>
      <c r="F20" t="s">
        <v>265</v>
      </c>
      <c r="G20">
        <v>11.795999999999999</v>
      </c>
      <c r="H20">
        <v>3.0000000000000001E-3</v>
      </c>
      <c r="I20" t="s">
        <v>18</v>
      </c>
      <c r="J20" t="s">
        <v>266</v>
      </c>
      <c r="K20" t="s">
        <v>20</v>
      </c>
      <c r="M20" t="str">
        <f>+I26</f>
        <v>V</v>
      </c>
      <c r="N20">
        <f>+G26</f>
        <v>11.83</v>
      </c>
      <c r="O20" t="str">
        <f>+J26</f>
        <v>PXR</v>
      </c>
      <c r="P20">
        <f>+E26</f>
        <v>2456581.3157899999</v>
      </c>
      <c r="Q20" t="str">
        <f>+F26</f>
        <v>2013 Oct. 15.81579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11.827999999999999</v>
      </c>
      <c r="O21" t="str">
        <f>+J29</f>
        <v>PXR</v>
      </c>
      <c r="P21">
        <f>+E29</f>
        <v>2456581.3152399999</v>
      </c>
      <c r="Q21" t="str">
        <f>+F29</f>
        <v>2013 Oct. 15.81524</v>
      </c>
    </row>
    <row r="22" spans="1:17" x14ac:dyDescent="0.25">
      <c r="A22" t="s">
        <v>267</v>
      </c>
      <c r="B22" t="s">
        <v>268</v>
      </c>
      <c r="C22" t="s">
        <v>67</v>
      </c>
      <c r="D22" t="s">
        <v>269</v>
      </c>
      <c r="E22" t="s">
        <v>31</v>
      </c>
      <c r="F22" t="s">
        <v>31</v>
      </c>
      <c r="M22" t="str">
        <f>+I32</f>
        <v>V</v>
      </c>
      <c r="N22">
        <f>+G32</f>
        <v>11.821</v>
      </c>
      <c r="O22" t="str">
        <f>+J32</f>
        <v>PXR</v>
      </c>
      <c r="P22">
        <f>+E32</f>
        <v>2456581.31464</v>
      </c>
      <c r="Q22" t="str">
        <f>+F32</f>
        <v>2013 Oct. 15.81464</v>
      </c>
    </row>
    <row r="23" spans="1:17" x14ac:dyDescent="0.25">
      <c r="D23" t="s">
        <v>258</v>
      </c>
      <c r="E23">
        <v>2456581.3163200002</v>
      </c>
      <c r="F23" t="s">
        <v>270</v>
      </c>
      <c r="G23">
        <v>11.795</v>
      </c>
      <c r="H23">
        <v>3.0000000000000001E-3</v>
      </c>
      <c r="I23" t="s">
        <v>18</v>
      </c>
      <c r="J23" t="s">
        <v>266</v>
      </c>
      <c r="K23" t="s">
        <v>20</v>
      </c>
      <c r="M23" t="str">
        <f>+I35</f>
        <v>V</v>
      </c>
      <c r="N23">
        <f>+G35</f>
        <v>11.818</v>
      </c>
      <c r="O23" t="str">
        <f>+J35</f>
        <v>PXR</v>
      </c>
      <c r="P23">
        <f>+E35</f>
        <v>2456581.3141000001</v>
      </c>
      <c r="Q23" t="str">
        <f>+F35</f>
        <v>2013 Oct. 15.81410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11.833</v>
      </c>
      <c r="O24" t="str">
        <f>+J38</f>
        <v>PXR</v>
      </c>
      <c r="P24">
        <f>+E38</f>
        <v>2456581.3134499998</v>
      </c>
      <c r="Q24" t="str">
        <f>+F38</f>
        <v>2013 Oct. 15.81345</v>
      </c>
    </row>
    <row r="25" spans="1:17" x14ac:dyDescent="0.25">
      <c r="A25" t="s">
        <v>267</v>
      </c>
      <c r="B25" t="s">
        <v>271</v>
      </c>
      <c r="C25" t="s">
        <v>67</v>
      </c>
      <c r="D25" t="s">
        <v>269</v>
      </c>
      <c r="E25" t="s">
        <v>31</v>
      </c>
      <c r="F25" t="s">
        <v>31</v>
      </c>
      <c r="M25" t="str">
        <f>+I41</f>
        <v>V</v>
      </c>
      <c r="N25">
        <f>+G41</f>
        <v>11.831</v>
      </c>
      <c r="O25" t="str">
        <f>+J41</f>
        <v>PXR</v>
      </c>
      <c r="P25">
        <f>+E41</f>
        <v>2456581.3128800001</v>
      </c>
      <c r="Q25" t="str">
        <f>+F41</f>
        <v>2013 Oct. 15.81288</v>
      </c>
    </row>
    <row r="26" spans="1:17" x14ac:dyDescent="0.25">
      <c r="D26" t="s">
        <v>258</v>
      </c>
      <c r="E26">
        <v>2456581.3157899999</v>
      </c>
      <c r="F26" t="s">
        <v>272</v>
      </c>
      <c r="G26">
        <v>11.83</v>
      </c>
      <c r="H26">
        <v>3.0000000000000001E-3</v>
      </c>
      <c r="I26" t="s">
        <v>18</v>
      </c>
      <c r="J26" t="s">
        <v>266</v>
      </c>
      <c r="K26" t="s">
        <v>20</v>
      </c>
      <c r="M26" t="str">
        <f>+I44</f>
        <v>V</v>
      </c>
      <c r="N26">
        <f>+G44</f>
        <v>11.811</v>
      </c>
      <c r="O26" t="str">
        <f>+J44</f>
        <v>PXR</v>
      </c>
      <c r="P26">
        <f>+E44</f>
        <v>2456581.31231</v>
      </c>
      <c r="Q26" t="str">
        <f>+F44</f>
        <v>2013 Oct. 15.81231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267</v>
      </c>
      <c r="B28" t="s">
        <v>273</v>
      </c>
      <c r="C28" t="s">
        <v>67</v>
      </c>
      <c r="D28" t="s">
        <v>269</v>
      </c>
      <c r="E28" t="s">
        <v>31</v>
      </c>
      <c r="F28" t="s">
        <v>31</v>
      </c>
    </row>
    <row r="29" spans="1:17" x14ac:dyDescent="0.25">
      <c r="D29" t="s">
        <v>258</v>
      </c>
      <c r="E29">
        <v>2456581.3152399999</v>
      </c>
      <c r="F29" t="s">
        <v>274</v>
      </c>
      <c r="G29">
        <v>11.827999999999999</v>
      </c>
      <c r="H29">
        <v>3.0000000000000001E-3</v>
      </c>
      <c r="I29" t="s">
        <v>18</v>
      </c>
      <c r="J29" t="s">
        <v>266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267</v>
      </c>
      <c r="B31" t="s">
        <v>275</v>
      </c>
      <c r="C31" t="s">
        <v>67</v>
      </c>
      <c r="D31" t="s">
        <v>269</v>
      </c>
      <c r="E31" t="s">
        <v>31</v>
      </c>
      <c r="F31" t="s">
        <v>31</v>
      </c>
    </row>
    <row r="32" spans="1:17" x14ac:dyDescent="0.25">
      <c r="D32" t="s">
        <v>258</v>
      </c>
      <c r="E32">
        <v>2456581.31464</v>
      </c>
      <c r="F32" t="s">
        <v>276</v>
      </c>
      <c r="G32">
        <v>11.821</v>
      </c>
      <c r="H32">
        <v>3.0000000000000001E-3</v>
      </c>
      <c r="I32" t="s">
        <v>18</v>
      </c>
      <c r="J32" t="s">
        <v>266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267</v>
      </c>
      <c r="B34" t="s">
        <v>277</v>
      </c>
      <c r="C34" t="s">
        <v>67</v>
      </c>
      <c r="D34" t="s">
        <v>269</v>
      </c>
      <c r="E34" t="s">
        <v>31</v>
      </c>
      <c r="F34" t="s">
        <v>31</v>
      </c>
    </row>
    <row r="35" spans="1:11" x14ac:dyDescent="0.25">
      <c r="D35" t="s">
        <v>258</v>
      </c>
      <c r="E35">
        <v>2456581.3141000001</v>
      </c>
      <c r="F35" t="s">
        <v>278</v>
      </c>
      <c r="G35">
        <v>11.818</v>
      </c>
      <c r="H35">
        <v>3.0000000000000001E-3</v>
      </c>
      <c r="I35" t="s">
        <v>18</v>
      </c>
      <c r="J35" t="s">
        <v>266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267</v>
      </c>
      <c r="B37" t="s">
        <v>279</v>
      </c>
      <c r="C37" t="s">
        <v>67</v>
      </c>
      <c r="D37" t="s">
        <v>269</v>
      </c>
      <c r="E37" t="s">
        <v>31</v>
      </c>
      <c r="F37" t="s">
        <v>31</v>
      </c>
    </row>
    <row r="38" spans="1:11" x14ac:dyDescent="0.25">
      <c r="D38" t="s">
        <v>258</v>
      </c>
      <c r="E38">
        <v>2456581.3134499998</v>
      </c>
      <c r="F38" t="s">
        <v>280</v>
      </c>
      <c r="G38">
        <v>11.833</v>
      </c>
      <c r="H38">
        <v>3.0000000000000001E-3</v>
      </c>
      <c r="I38" t="s">
        <v>18</v>
      </c>
      <c r="J38" t="s">
        <v>266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267</v>
      </c>
      <c r="B40" t="s">
        <v>281</v>
      </c>
      <c r="C40" t="s">
        <v>67</v>
      </c>
      <c r="D40" t="s">
        <v>269</v>
      </c>
      <c r="E40" t="s">
        <v>31</v>
      </c>
      <c r="F40" t="s">
        <v>31</v>
      </c>
    </row>
    <row r="41" spans="1:11" x14ac:dyDescent="0.25">
      <c r="D41" t="s">
        <v>258</v>
      </c>
      <c r="E41">
        <v>2456581.3128800001</v>
      </c>
      <c r="F41" t="s">
        <v>282</v>
      </c>
      <c r="G41">
        <v>11.831</v>
      </c>
      <c r="H41">
        <v>3.0000000000000001E-3</v>
      </c>
      <c r="I41" t="s">
        <v>18</v>
      </c>
      <c r="J41" t="s">
        <v>266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267</v>
      </c>
      <c r="B43" t="s">
        <v>283</v>
      </c>
      <c r="C43" t="s">
        <v>67</v>
      </c>
      <c r="D43" t="s">
        <v>269</v>
      </c>
      <c r="E43" t="s">
        <v>31</v>
      </c>
      <c r="F43" t="s">
        <v>31</v>
      </c>
    </row>
    <row r="44" spans="1:11" x14ac:dyDescent="0.25">
      <c r="D44" t="s">
        <v>258</v>
      </c>
      <c r="E44">
        <v>2456581.31231</v>
      </c>
      <c r="F44" t="s">
        <v>284</v>
      </c>
      <c r="G44">
        <v>11.811</v>
      </c>
      <c r="H44">
        <v>3.0000000000000001E-3</v>
      </c>
      <c r="I44" t="s">
        <v>18</v>
      </c>
      <c r="J44" t="s">
        <v>266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267</v>
      </c>
      <c r="B46" t="s">
        <v>285</v>
      </c>
      <c r="C46" t="s">
        <v>67</v>
      </c>
      <c r="D46" t="s">
        <v>269</v>
      </c>
      <c r="E46" t="s">
        <v>31</v>
      </c>
      <c r="F46" t="s">
        <v>31</v>
      </c>
    </row>
    <row r="47" spans="1:11" x14ac:dyDescent="0.25">
      <c r="D47" t="s">
        <v>258</v>
      </c>
      <c r="E47">
        <v>2456581.3117800001</v>
      </c>
      <c r="F47" t="s">
        <v>286</v>
      </c>
      <c r="G47">
        <v>11.819000000000001</v>
      </c>
      <c r="H47">
        <v>3.0000000000000001E-3</v>
      </c>
      <c r="I47" t="s">
        <v>18</v>
      </c>
      <c r="J47" t="s">
        <v>266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267</v>
      </c>
      <c r="B49" t="s">
        <v>287</v>
      </c>
      <c r="C49" t="s">
        <v>67</v>
      </c>
      <c r="D49" t="s">
        <v>269</v>
      </c>
      <c r="E49" t="s">
        <v>31</v>
      </c>
      <c r="F49" t="s">
        <v>31</v>
      </c>
    </row>
    <row r="50" spans="1:11" x14ac:dyDescent="0.25">
      <c r="D50" t="s">
        <v>258</v>
      </c>
      <c r="E50">
        <v>2456581.3111999999</v>
      </c>
      <c r="F50" t="s">
        <v>288</v>
      </c>
      <c r="G50">
        <v>11.815</v>
      </c>
      <c r="H50">
        <v>3.0000000000000001E-3</v>
      </c>
      <c r="I50" t="s">
        <v>18</v>
      </c>
      <c r="J50" t="s">
        <v>266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267</v>
      </c>
      <c r="B52" t="s">
        <v>289</v>
      </c>
      <c r="C52" t="s">
        <v>67</v>
      </c>
      <c r="D52" t="s">
        <v>269</v>
      </c>
      <c r="E52" t="s">
        <v>31</v>
      </c>
      <c r="F52" t="s">
        <v>31</v>
      </c>
    </row>
    <row r="53" spans="1:11" x14ac:dyDescent="0.25">
      <c r="D53" t="s">
        <v>258</v>
      </c>
      <c r="E53">
        <v>2456538.3778499998</v>
      </c>
      <c r="F53" t="s">
        <v>290</v>
      </c>
      <c r="G53">
        <v>12.590999999999999</v>
      </c>
      <c r="H53">
        <v>3.0000000000000001E-3</v>
      </c>
      <c r="I53" t="s">
        <v>18</v>
      </c>
      <c r="J53" t="s">
        <v>266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267</v>
      </c>
      <c r="B55" t="s">
        <v>291</v>
      </c>
      <c r="C55" t="s">
        <v>67</v>
      </c>
      <c r="D55" t="s">
        <v>292</v>
      </c>
      <c r="E55" t="s">
        <v>31</v>
      </c>
      <c r="F55" t="s">
        <v>31</v>
      </c>
    </row>
    <row r="56" spans="1:11" x14ac:dyDescent="0.25">
      <c r="D56" t="s">
        <v>258</v>
      </c>
      <c r="E56">
        <v>2456538.3771199998</v>
      </c>
      <c r="F56" t="s">
        <v>293</v>
      </c>
      <c r="G56">
        <v>12.590999999999999</v>
      </c>
      <c r="H56">
        <v>3.0000000000000001E-3</v>
      </c>
      <c r="I56" t="s">
        <v>18</v>
      </c>
      <c r="J56" t="s">
        <v>266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267</v>
      </c>
      <c r="B58" t="s">
        <v>294</v>
      </c>
      <c r="C58" t="s">
        <v>67</v>
      </c>
      <c r="D58" t="s">
        <v>292</v>
      </c>
      <c r="E58" t="s">
        <v>31</v>
      </c>
      <c r="F58" t="s">
        <v>31</v>
      </c>
    </row>
    <row r="59" spans="1:11" x14ac:dyDescent="0.25">
      <c r="D59" t="s">
        <v>258</v>
      </c>
      <c r="E59">
        <v>2456538.3763899999</v>
      </c>
      <c r="F59" t="s">
        <v>295</v>
      </c>
      <c r="G59">
        <v>12.57</v>
      </c>
      <c r="H59">
        <v>3.0000000000000001E-3</v>
      </c>
      <c r="I59" t="s">
        <v>18</v>
      </c>
      <c r="J59" t="s">
        <v>266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267</v>
      </c>
      <c r="B61" t="s">
        <v>296</v>
      </c>
      <c r="C61" t="s">
        <v>67</v>
      </c>
      <c r="D61" t="s">
        <v>292</v>
      </c>
      <c r="E61" t="s">
        <v>31</v>
      </c>
      <c r="F61" t="s">
        <v>31</v>
      </c>
    </row>
    <row r="62" spans="1:11" x14ac:dyDescent="0.25">
      <c r="D62" t="s">
        <v>258</v>
      </c>
      <c r="E62">
        <v>2456538.3756599999</v>
      </c>
      <c r="F62" t="s">
        <v>297</v>
      </c>
      <c r="G62">
        <v>12.582000000000001</v>
      </c>
      <c r="H62">
        <v>3.0000000000000001E-3</v>
      </c>
      <c r="I62" t="s">
        <v>18</v>
      </c>
      <c r="J62" t="s">
        <v>266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267</v>
      </c>
      <c r="B64" t="s">
        <v>298</v>
      </c>
      <c r="C64" t="s">
        <v>67</v>
      </c>
      <c r="D64" t="s">
        <v>292</v>
      </c>
      <c r="E64" t="s">
        <v>31</v>
      </c>
      <c r="F64" t="s">
        <v>31</v>
      </c>
    </row>
    <row r="65" spans="1:11" x14ac:dyDescent="0.25">
      <c r="D65" t="s">
        <v>258</v>
      </c>
      <c r="E65">
        <v>2456538.3749199999</v>
      </c>
      <c r="F65" t="s">
        <v>299</v>
      </c>
      <c r="G65">
        <v>12.58</v>
      </c>
      <c r="H65">
        <v>3.0000000000000001E-3</v>
      </c>
      <c r="I65" t="s">
        <v>18</v>
      </c>
      <c r="J65" t="s">
        <v>266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267</v>
      </c>
      <c r="B67" t="s">
        <v>300</v>
      </c>
      <c r="C67" t="s">
        <v>67</v>
      </c>
      <c r="D67" t="s">
        <v>292</v>
      </c>
      <c r="E67" t="s">
        <v>31</v>
      </c>
      <c r="F67" t="s">
        <v>31</v>
      </c>
    </row>
    <row r="68" spans="1:11" x14ac:dyDescent="0.25">
      <c r="D68" t="s">
        <v>258</v>
      </c>
      <c r="E68">
        <v>2456538.3741799998</v>
      </c>
      <c r="F68" t="s">
        <v>301</v>
      </c>
      <c r="G68">
        <v>12.576000000000001</v>
      </c>
      <c r="H68">
        <v>3.0000000000000001E-3</v>
      </c>
      <c r="I68" t="s">
        <v>18</v>
      </c>
      <c r="J68" t="s">
        <v>266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267</v>
      </c>
      <c r="B70" t="s">
        <v>302</v>
      </c>
      <c r="C70" t="s">
        <v>67</v>
      </c>
      <c r="D70" t="s">
        <v>292</v>
      </c>
      <c r="E70" t="s">
        <v>31</v>
      </c>
      <c r="F70" t="s">
        <v>31</v>
      </c>
    </row>
    <row r="71" spans="1:11" x14ac:dyDescent="0.25">
      <c r="D71" t="s">
        <v>303</v>
      </c>
      <c r="E71">
        <v>2456125.579502</v>
      </c>
      <c r="F71" t="s">
        <v>304</v>
      </c>
      <c r="G71">
        <v>9.5489999999999995</v>
      </c>
      <c r="H71">
        <v>4.2000000000000003E-2</v>
      </c>
      <c r="I71" t="s">
        <v>250</v>
      </c>
      <c r="J71" t="s">
        <v>305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306</v>
      </c>
      <c r="B73" t="s">
        <v>31</v>
      </c>
      <c r="C73" t="s">
        <v>67</v>
      </c>
      <c r="D73" t="s">
        <v>307</v>
      </c>
      <c r="E73" t="s">
        <v>31</v>
      </c>
      <c r="F73" t="s">
        <v>31</v>
      </c>
    </row>
    <row r="74" spans="1:11" x14ac:dyDescent="0.25">
      <c r="D74" t="s">
        <v>303</v>
      </c>
      <c r="E74">
        <v>2456125.5781020001</v>
      </c>
      <c r="F74" t="s">
        <v>308</v>
      </c>
      <c r="G74">
        <v>9.5649999999999995</v>
      </c>
      <c r="H74">
        <v>4.2000000000000003E-2</v>
      </c>
      <c r="I74" t="s">
        <v>250</v>
      </c>
      <c r="J74" t="s">
        <v>305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309</v>
      </c>
      <c r="B76" t="s">
        <v>31</v>
      </c>
      <c r="C76" t="s">
        <v>67</v>
      </c>
      <c r="D76" t="s">
        <v>307</v>
      </c>
      <c r="E76" t="s">
        <v>31</v>
      </c>
      <c r="F76" t="s">
        <v>31</v>
      </c>
    </row>
    <row r="77" spans="1:11" x14ac:dyDescent="0.25">
      <c r="D77" t="s">
        <v>303</v>
      </c>
      <c r="E77">
        <v>2456125.576806</v>
      </c>
      <c r="F77" t="s">
        <v>310</v>
      </c>
      <c r="G77">
        <v>9.5570000000000004</v>
      </c>
      <c r="H77">
        <v>4.2999999999999997E-2</v>
      </c>
      <c r="I77" t="s">
        <v>250</v>
      </c>
      <c r="J77" t="s">
        <v>305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311</v>
      </c>
      <c r="B79" t="s">
        <v>31</v>
      </c>
      <c r="C79" t="s">
        <v>67</v>
      </c>
      <c r="D79" t="s">
        <v>307</v>
      </c>
      <c r="E79" t="s">
        <v>31</v>
      </c>
      <c r="F79" t="s">
        <v>31</v>
      </c>
    </row>
    <row r="80" spans="1:11" x14ac:dyDescent="0.25">
      <c r="D80" t="s">
        <v>303</v>
      </c>
      <c r="E80">
        <v>2456125.5755210002</v>
      </c>
      <c r="F80" t="s">
        <v>312</v>
      </c>
      <c r="G80">
        <v>9.516</v>
      </c>
      <c r="H80">
        <v>4.3999999999999997E-2</v>
      </c>
      <c r="I80" t="s">
        <v>250</v>
      </c>
      <c r="J80" t="s">
        <v>305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313</v>
      </c>
      <c r="B82" t="s">
        <v>31</v>
      </c>
      <c r="C82" t="s">
        <v>67</v>
      </c>
      <c r="D82" t="s">
        <v>307</v>
      </c>
      <c r="E82" t="s">
        <v>31</v>
      </c>
      <c r="F82" t="s">
        <v>31</v>
      </c>
    </row>
    <row r="83" spans="1:11" x14ac:dyDescent="0.25">
      <c r="D83" t="s">
        <v>303</v>
      </c>
      <c r="E83">
        <v>2456125.574178</v>
      </c>
      <c r="F83" t="s">
        <v>314</v>
      </c>
      <c r="G83">
        <v>9.5310000000000006</v>
      </c>
      <c r="H83">
        <v>4.3999999999999997E-2</v>
      </c>
      <c r="I83" t="s">
        <v>250</v>
      </c>
      <c r="J83" t="s">
        <v>305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315</v>
      </c>
      <c r="B85" t="s">
        <v>31</v>
      </c>
      <c r="C85" t="s">
        <v>67</v>
      </c>
      <c r="D85" t="s">
        <v>307</v>
      </c>
      <c r="E85" t="s">
        <v>31</v>
      </c>
      <c r="F85" t="s">
        <v>31</v>
      </c>
    </row>
    <row r="86" spans="1:11" x14ac:dyDescent="0.25">
      <c r="D86" t="s">
        <v>303</v>
      </c>
      <c r="E86">
        <v>2456125.5728239999</v>
      </c>
      <c r="F86" t="s">
        <v>316</v>
      </c>
      <c r="G86">
        <v>9.5310000000000006</v>
      </c>
      <c r="H86">
        <v>4.2000000000000003E-2</v>
      </c>
      <c r="I86" t="s">
        <v>250</v>
      </c>
      <c r="J86" t="s">
        <v>305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317</v>
      </c>
      <c r="B88" t="s">
        <v>31</v>
      </c>
      <c r="C88" t="s">
        <v>67</v>
      </c>
      <c r="D88" t="s">
        <v>307</v>
      </c>
      <c r="E88" t="s">
        <v>31</v>
      </c>
      <c r="F88" t="s">
        <v>31</v>
      </c>
    </row>
    <row r="89" spans="1:11" x14ac:dyDescent="0.25">
      <c r="D89" t="s">
        <v>303</v>
      </c>
      <c r="E89">
        <v>2456125.571343</v>
      </c>
      <c r="F89" t="s">
        <v>318</v>
      </c>
      <c r="G89">
        <v>9.5410000000000004</v>
      </c>
      <c r="H89">
        <v>4.2999999999999997E-2</v>
      </c>
      <c r="I89" t="s">
        <v>250</v>
      </c>
      <c r="J89" t="s">
        <v>305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319</v>
      </c>
      <c r="B91" t="s">
        <v>31</v>
      </c>
      <c r="C91" t="s">
        <v>67</v>
      </c>
      <c r="D91" t="s">
        <v>307</v>
      </c>
      <c r="E91" t="s">
        <v>31</v>
      </c>
      <c r="F91" t="s">
        <v>31</v>
      </c>
    </row>
    <row r="92" spans="1:11" x14ac:dyDescent="0.25">
      <c r="A92" t="s">
        <v>320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5"/>
  <dimension ref="A1:Q92"/>
  <sheetViews>
    <sheetView workbookViewId="0"/>
  </sheetViews>
  <sheetFormatPr baseColWidth="10" defaultRowHeight="15" x14ac:dyDescent="0.25"/>
  <cols>
    <col min="1" max="1" width="22.85546875" customWidth="1"/>
    <col min="2" max="2" width="22.42578125" customWidth="1"/>
    <col min="3" max="3" width="12.28515625" bestFit="1" customWidth="1"/>
    <col min="4" max="4" width="11.140625" customWidth="1"/>
    <col min="5" max="5" width="15.5703125" bestFit="1" customWidth="1"/>
    <col min="6" max="6" width="75.710937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1094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2740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1114</v>
      </c>
      <c r="E17">
        <v>2457680.6869999999</v>
      </c>
      <c r="F17" t="s">
        <v>2741</v>
      </c>
      <c r="G17">
        <v>13.63</v>
      </c>
      <c r="H17">
        <v>5.0000000000000001E-3</v>
      </c>
      <c r="I17" t="s">
        <v>18</v>
      </c>
      <c r="J17" t="s">
        <v>252</v>
      </c>
      <c r="K17" t="s">
        <v>20</v>
      </c>
      <c r="M17" t="str">
        <f>+I17</f>
        <v>V</v>
      </c>
      <c r="N17">
        <f>+G17</f>
        <v>13.63</v>
      </c>
      <c r="O17" t="str">
        <f>+J17</f>
        <v>DKS</v>
      </c>
      <c r="P17">
        <f>+E17</f>
        <v>2457680.6869999999</v>
      </c>
      <c r="Q17" t="str">
        <f>+F17</f>
        <v>2016 Oct. 19.18700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13.615</v>
      </c>
      <c r="O18" t="str">
        <f>+J20</f>
        <v>DKS</v>
      </c>
      <c r="P18">
        <f>+E20</f>
        <v>2457672.7038699999</v>
      </c>
      <c r="Q18" t="str">
        <f>+F20</f>
        <v>2016 Oct. 11.20387</v>
      </c>
    </row>
    <row r="19" spans="1:17" x14ac:dyDescent="0.25">
      <c r="A19" t="s">
        <v>1116</v>
      </c>
      <c r="B19" t="s">
        <v>2742</v>
      </c>
      <c r="C19" t="s">
        <v>67</v>
      </c>
      <c r="D19" t="s">
        <v>1118</v>
      </c>
      <c r="E19" t="s">
        <v>31</v>
      </c>
      <c r="F19" t="s">
        <v>253</v>
      </c>
      <c r="M19" t="str">
        <f>+I23</f>
        <v>TG</v>
      </c>
      <c r="N19">
        <f>+G23</f>
        <v>14.96</v>
      </c>
      <c r="O19" t="str">
        <f>+J23</f>
        <v>OCN</v>
      </c>
      <c r="P19">
        <f>+E23</f>
        <v>2457633.0066</v>
      </c>
      <c r="Q19" t="str">
        <f>+F23</f>
        <v>2016 Sep. 01.50660</v>
      </c>
    </row>
    <row r="20" spans="1:17" x14ac:dyDescent="0.25">
      <c r="D20" t="s">
        <v>1114</v>
      </c>
      <c r="E20">
        <v>2457672.7038699999</v>
      </c>
      <c r="F20" t="s">
        <v>2743</v>
      </c>
      <c r="G20">
        <v>13.615</v>
      </c>
      <c r="H20">
        <v>7.0000000000000001E-3</v>
      </c>
      <c r="I20" t="s">
        <v>18</v>
      </c>
      <c r="J20" t="s">
        <v>252</v>
      </c>
      <c r="K20" t="s">
        <v>20</v>
      </c>
      <c r="M20" t="str">
        <f>+I26</f>
        <v>V</v>
      </c>
      <c r="N20">
        <f>+G26</f>
        <v>15.05</v>
      </c>
      <c r="O20" t="str">
        <f>+J26</f>
        <v>OCN</v>
      </c>
      <c r="P20">
        <f>+E26</f>
        <v>2457633.0051000002</v>
      </c>
      <c r="Q20" t="str">
        <f>+F26</f>
        <v>2016 Sep. 01.50510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CV</v>
      </c>
      <c r="N21">
        <f>+G29</f>
        <v>13.5</v>
      </c>
      <c r="O21" t="str">
        <f>+J29</f>
        <v>OCN</v>
      </c>
      <c r="P21">
        <f>+E29</f>
        <v>2457608.9441999998</v>
      </c>
      <c r="Q21" t="str">
        <f>+F29</f>
        <v>2016 Aug. 08.44420</v>
      </c>
    </row>
    <row r="22" spans="1:17" x14ac:dyDescent="0.25">
      <c r="A22" t="s">
        <v>1116</v>
      </c>
      <c r="B22" t="s">
        <v>2744</v>
      </c>
      <c r="C22" t="s">
        <v>67</v>
      </c>
      <c r="D22" t="s">
        <v>1118</v>
      </c>
      <c r="E22" t="s">
        <v>31</v>
      </c>
      <c r="F22" t="s">
        <v>253</v>
      </c>
      <c r="M22" t="str">
        <f>+I32</f>
        <v>V</v>
      </c>
      <c r="N22">
        <f>+G32</f>
        <v>14.7</v>
      </c>
      <c r="O22" t="str">
        <f>+J32</f>
        <v>OCN</v>
      </c>
      <c r="P22">
        <f>+E32</f>
        <v>2457608.9377000001</v>
      </c>
      <c r="Q22" t="str">
        <f>+F32</f>
        <v>2016 Aug. 08.43770</v>
      </c>
    </row>
    <row r="23" spans="1:17" x14ac:dyDescent="0.25">
      <c r="D23" t="s">
        <v>1095</v>
      </c>
      <c r="E23">
        <v>2457633.0066</v>
      </c>
      <c r="F23" t="s">
        <v>2161</v>
      </c>
      <c r="G23">
        <v>14.96</v>
      </c>
      <c r="H23">
        <v>0.11</v>
      </c>
      <c r="I23" t="s">
        <v>65</v>
      </c>
      <c r="J23" t="s">
        <v>260</v>
      </c>
      <c r="K23" t="s">
        <v>20</v>
      </c>
      <c r="M23" t="str">
        <f>+I35</f>
        <v>V</v>
      </c>
      <c r="N23">
        <f>+G35</f>
        <v>13.601000000000001</v>
      </c>
      <c r="O23" t="str">
        <f>+J35</f>
        <v>DKS</v>
      </c>
      <c r="P23">
        <f>+E35</f>
        <v>2457562.7447700002</v>
      </c>
      <c r="Q23" t="str">
        <f>+F35</f>
        <v>2016 Jun. 23.24477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13.571</v>
      </c>
      <c r="O24" t="str">
        <f>+J38</f>
        <v>DKS</v>
      </c>
      <c r="P24">
        <f>+E38</f>
        <v>2457561.7593100001</v>
      </c>
      <c r="Q24" t="str">
        <f>+F38</f>
        <v>2016 Jun. 22.25931</v>
      </c>
    </row>
    <row r="25" spans="1:17" x14ac:dyDescent="0.25">
      <c r="A25" t="s">
        <v>1097</v>
      </c>
      <c r="B25" t="s">
        <v>1149</v>
      </c>
      <c r="C25" t="s">
        <v>67</v>
      </c>
      <c r="D25" t="s">
        <v>1978</v>
      </c>
      <c r="E25" t="s">
        <v>31</v>
      </c>
      <c r="F25" t="s">
        <v>2162</v>
      </c>
      <c r="M25" t="str">
        <f>+I41</f>
        <v>V</v>
      </c>
      <c r="N25">
        <f>+G41</f>
        <v>13.602</v>
      </c>
      <c r="O25" t="str">
        <f>+J41</f>
        <v>DKS</v>
      </c>
      <c r="P25">
        <f>+E41</f>
        <v>2457560.7661299999</v>
      </c>
      <c r="Q25" t="str">
        <f>+F41</f>
        <v>2016 Jun. 21.26613</v>
      </c>
    </row>
    <row r="26" spans="1:17" x14ac:dyDescent="0.25">
      <c r="D26" t="s">
        <v>1095</v>
      </c>
      <c r="E26">
        <v>2457633.0051000002</v>
      </c>
      <c r="F26" t="s">
        <v>2163</v>
      </c>
      <c r="G26">
        <v>15.05</v>
      </c>
      <c r="H26">
        <v>0.04</v>
      </c>
      <c r="I26" t="s">
        <v>18</v>
      </c>
      <c r="J26" t="s">
        <v>260</v>
      </c>
      <c r="K26" t="s">
        <v>20</v>
      </c>
      <c r="M26" t="str">
        <f>+I44</f>
        <v>V</v>
      </c>
      <c r="N26">
        <f>+G44</f>
        <v>15.87</v>
      </c>
      <c r="O26" t="str">
        <f>+J44</f>
        <v>OCN</v>
      </c>
      <c r="P26">
        <f>+E44</f>
        <v>2457327.5529</v>
      </c>
      <c r="Q26" t="str">
        <f>+F44</f>
        <v>2015 Nov. 01.05290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1977</v>
      </c>
      <c r="B28" t="s">
        <v>1097</v>
      </c>
      <c r="C28" t="s">
        <v>67</v>
      </c>
      <c r="D28" t="s">
        <v>1978</v>
      </c>
      <c r="E28" t="s">
        <v>31</v>
      </c>
      <c r="F28" t="s">
        <v>2164</v>
      </c>
    </row>
    <row r="29" spans="1:17" x14ac:dyDescent="0.25">
      <c r="D29" t="s">
        <v>1095</v>
      </c>
      <c r="E29">
        <v>2457608.9441999998</v>
      </c>
      <c r="F29" t="s">
        <v>1975</v>
      </c>
      <c r="G29">
        <v>13.5</v>
      </c>
      <c r="H29">
        <v>0.1</v>
      </c>
      <c r="I29" t="s">
        <v>1976</v>
      </c>
      <c r="J29" t="s">
        <v>260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1148</v>
      </c>
      <c r="B31" t="s">
        <v>1977</v>
      </c>
      <c r="C31" t="s">
        <v>67</v>
      </c>
      <c r="D31" t="s">
        <v>1978</v>
      </c>
      <c r="E31" t="s">
        <v>31</v>
      </c>
      <c r="F31" t="s">
        <v>1979</v>
      </c>
    </row>
    <row r="32" spans="1:17" x14ac:dyDescent="0.25">
      <c r="D32" t="s">
        <v>1095</v>
      </c>
      <c r="E32">
        <v>2457608.9377000001</v>
      </c>
      <c r="F32" t="s">
        <v>1980</v>
      </c>
      <c r="G32">
        <v>14.7</v>
      </c>
      <c r="H32">
        <v>0.1</v>
      </c>
      <c r="I32" t="s">
        <v>18</v>
      </c>
      <c r="J32" t="s">
        <v>260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1977</v>
      </c>
      <c r="B34" t="s">
        <v>1149</v>
      </c>
      <c r="C34" t="s">
        <v>67</v>
      </c>
      <c r="D34" t="s">
        <v>1978</v>
      </c>
      <c r="E34" t="s">
        <v>31</v>
      </c>
      <c r="F34" t="s">
        <v>1981</v>
      </c>
    </row>
    <row r="35" spans="1:11" x14ac:dyDescent="0.25">
      <c r="D35" t="s">
        <v>1114</v>
      </c>
      <c r="E35">
        <v>2457562.7447700002</v>
      </c>
      <c r="F35" t="s">
        <v>1982</v>
      </c>
      <c r="G35">
        <v>13.601000000000001</v>
      </c>
      <c r="H35">
        <v>8.9999999999999993E-3</v>
      </c>
      <c r="I35" t="s">
        <v>18</v>
      </c>
      <c r="J35" t="s">
        <v>252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1116</v>
      </c>
      <c r="B37" t="s">
        <v>1983</v>
      </c>
      <c r="C37" t="s">
        <v>67</v>
      </c>
      <c r="D37" t="s">
        <v>1118</v>
      </c>
      <c r="E37" t="s">
        <v>31</v>
      </c>
      <c r="F37" t="s">
        <v>253</v>
      </c>
    </row>
    <row r="38" spans="1:11" x14ac:dyDescent="0.25">
      <c r="D38" t="s">
        <v>1114</v>
      </c>
      <c r="E38">
        <v>2457561.7593100001</v>
      </c>
      <c r="F38" t="s">
        <v>1984</v>
      </c>
      <c r="G38">
        <v>13.571</v>
      </c>
      <c r="H38">
        <v>1.4999999999999999E-2</v>
      </c>
      <c r="I38" t="s">
        <v>18</v>
      </c>
      <c r="J38" t="s">
        <v>252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1116</v>
      </c>
      <c r="B40" t="s">
        <v>1985</v>
      </c>
      <c r="C40" t="s">
        <v>67</v>
      </c>
      <c r="D40" t="s">
        <v>1118</v>
      </c>
      <c r="E40" t="s">
        <v>31</v>
      </c>
      <c r="F40" t="s">
        <v>253</v>
      </c>
    </row>
    <row r="41" spans="1:11" x14ac:dyDescent="0.25">
      <c r="D41" t="s">
        <v>1114</v>
      </c>
      <c r="E41">
        <v>2457560.7661299999</v>
      </c>
      <c r="F41" t="s">
        <v>1986</v>
      </c>
      <c r="G41">
        <v>13.602</v>
      </c>
      <c r="H41">
        <v>7.0000000000000001E-3</v>
      </c>
      <c r="I41" t="s">
        <v>18</v>
      </c>
      <c r="J41" t="s">
        <v>252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1116</v>
      </c>
      <c r="B43" t="s">
        <v>1987</v>
      </c>
      <c r="C43" t="s">
        <v>67</v>
      </c>
      <c r="D43" t="s">
        <v>1118</v>
      </c>
      <c r="E43" t="s">
        <v>31</v>
      </c>
      <c r="F43" t="s">
        <v>253</v>
      </c>
    </row>
    <row r="44" spans="1:11" x14ac:dyDescent="0.25">
      <c r="D44" t="s">
        <v>1095</v>
      </c>
      <c r="E44">
        <v>2457327.5529</v>
      </c>
      <c r="F44" t="s">
        <v>1096</v>
      </c>
      <c r="G44">
        <v>15.87</v>
      </c>
      <c r="H44">
        <v>0.11</v>
      </c>
      <c r="I44" t="s">
        <v>18</v>
      </c>
      <c r="J44" t="s">
        <v>260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1097</v>
      </c>
      <c r="B46" t="s">
        <v>1098</v>
      </c>
      <c r="C46" t="s">
        <v>67</v>
      </c>
      <c r="D46" t="s">
        <v>1099</v>
      </c>
      <c r="E46" t="s">
        <v>31</v>
      </c>
      <c r="F46" t="s">
        <v>1100</v>
      </c>
    </row>
    <row r="47" spans="1:11" x14ac:dyDescent="0.25">
      <c r="D47" t="s">
        <v>1095</v>
      </c>
      <c r="E47">
        <v>2457327.5518999998</v>
      </c>
      <c r="F47" t="s">
        <v>1101</v>
      </c>
      <c r="G47">
        <v>12.83</v>
      </c>
      <c r="H47">
        <v>0.05</v>
      </c>
      <c r="I47" t="s">
        <v>250</v>
      </c>
      <c r="J47" t="s">
        <v>260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1102</v>
      </c>
      <c r="B49" t="s">
        <v>1103</v>
      </c>
      <c r="C49" t="s">
        <v>67</v>
      </c>
      <c r="D49" t="s">
        <v>1099</v>
      </c>
      <c r="E49" t="s">
        <v>31</v>
      </c>
      <c r="F49" t="s">
        <v>31</v>
      </c>
    </row>
    <row r="50" spans="1:11" x14ac:dyDescent="0.25">
      <c r="D50" t="s">
        <v>1095</v>
      </c>
      <c r="E50">
        <v>2457327.5509000001</v>
      </c>
      <c r="F50" t="s">
        <v>1104</v>
      </c>
      <c r="G50">
        <v>9.81</v>
      </c>
      <c r="H50">
        <v>0.05</v>
      </c>
      <c r="I50" t="s">
        <v>249</v>
      </c>
      <c r="J50" t="s">
        <v>260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1105</v>
      </c>
      <c r="B52" t="s">
        <v>1106</v>
      </c>
      <c r="C52" t="s">
        <v>67</v>
      </c>
      <c r="D52" t="s">
        <v>1099</v>
      </c>
      <c r="E52" t="s">
        <v>31</v>
      </c>
      <c r="F52" t="s">
        <v>399</v>
      </c>
    </row>
    <row r="53" spans="1:11" x14ac:dyDescent="0.25">
      <c r="D53" t="s">
        <v>1095</v>
      </c>
      <c r="E53">
        <v>2457255.6294</v>
      </c>
      <c r="F53" t="s">
        <v>1107</v>
      </c>
      <c r="G53">
        <v>10.68</v>
      </c>
      <c r="H53">
        <v>0.03</v>
      </c>
      <c r="I53" t="s">
        <v>249</v>
      </c>
      <c r="J53" t="s">
        <v>260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1105</v>
      </c>
      <c r="B55" t="s">
        <v>1106</v>
      </c>
      <c r="C55" t="s">
        <v>67</v>
      </c>
      <c r="D55" t="s">
        <v>1108</v>
      </c>
      <c r="E55" t="s">
        <v>31</v>
      </c>
      <c r="F55" t="s">
        <v>1109</v>
      </c>
    </row>
    <row r="56" spans="1:11" x14ac:dyDescent="0.25">
      <c r="D56" t="s">
        <v>1095</v>
      </c>
      <c r="E56">
        <v>2457255.6283</v>
      </c>
      <c r="F56" t="s">
        <v>1110</v>
      </c>
      <c r="G56">
        <v>14.2</v>
      </c>
      <c r="H56">
        <v>0.1</v>
      </c>
      <c r="I56" t="s">
        <v>250</v>
      </c>
      <c r="J56" t="s">
        <v>260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1111</v>
      </c>
      <c r="B58" t="s">
        <v>1112</v>
      </c>
      <c r="C58" t="s">
        <v>67</v>
      </c>
      <c r="D58" t="s">
        <v>1108</v>
      </c>
      <c r="E58" t="s">
        <v>31</v>
      </c>
      <c r="F58" t="s">
        <v>1113</v>
      </c>
    </row>
    <row r="59" spans="1:11" x14ac:dyDescent="0.25">
      <c r="D59" t="s">
        <v>1114</v>
      </c>
      <c r="E59">
        <v>2457114.9218100002</v>
      </c>
      <c r="F59" t="s">
        <v>1115</v>
      </c>
      <c r="G59">
        <v>13.64</v>
      </c>
      <c r="H59">
        <v>0.04</v>
      </c>
      <c r="I59" t="s">
        <v>18</v>
      </c>
      <c r="J59" t="s">
        <v>252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1116</v>
      </c>
      <c r="B61" t="s">
        <v>1117</v>
      </c>
      <c r="C61" t="s">
        <v>67</v>
      </c>
      <c r="D61" t="s">
        <v>1118</v>
      </c>
      <c r="E61" t="s">
        <v>31</v>
      </c>
      <c r="F61" t="s">
        <v>255</v>
      </c>
    </row>
    <row r="62" spans="1:11" x14ac:dyDescent="0.25">
      <c r="D62" t="s">
        <v>1114</v>
      </c>
      <c r="E62">
        <v>2457113.8892399999</v>
      </c>
      <c r="F62" t="s">
        <v>1119</v>
      </c>
      <c r="G62">
        <v>13.63</v>
      </c>
      <c r="H62">
        <v>0.01</v>
      </c>
      <c r="I62" t="s">
        <v>18</v>
      </c>
      <c r="J62" t="s">
        <v>252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1116</v>
      </c>
      <c r="B64" t="s">
        <v>1120</v>
      </c>
      <c r="C64" t="s">
        <v>67</v>
      </c>
      <c r="D64" t="s">
        <v>1118</v>
      </c>
      <c r="E64" t="s">
        <v>31</v>
      </c>
      <c r="F64" t="s">
        <v>253</v>
      </c>
    </row>
    <row r="65" spans="1:11" x14ac:dyDescent="0.25">
      <c r="D65" t="s">
        <v>1095</v>
      </c>
      <c r="E65">
        <v>2456955.72113</v>
      </c>
      <c r="F65" t="s">
        <v>1121</v>
      </c>
      <c r="G65">
        <v>15.632999999999999</v>
      </c>
      <c r="H65">
        <v>6.0000000000000001E-3</v>
      </c>
      <c r="I65" t="s">
        <v>18</v>
      </c>
      <c r="J65" t="s">
        <v>377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1122</v>
      </c>
      <c r="B67" t="s">
        <v>1123</v>
      </c>
      <c r="C67" t="s">
        <v>67</v>
      </c>
      <c r="D67" t="s">
        <v>1124</v>
      </c>
      <c r="E67" t="s">
        <v>31</v>
      </c>
      <c r="F67" t="s">
        <v>31</v>
      </c>
    </row>
    <row r="68" spans="1:11" x14ac:dyDescent="0.25">
      <c r="D68" t="s">
        <v>1095</v>
      </c>
      <c r="E68">
        <v>2456933.5030439999</v>
      </c>
      <c r="F68" t="s">
        <v>1125</v>
      </c>
      <c r="G68">
        <v>8.91</v>
      </c>
      <c r="H68">
        <v>0.02</v>
      </c>
      <c r="I68" t="s">
        <v>249</v>
      </c>
      <c r="J68" t="s">
        <v>1126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31</v>
      </c>
      <c r="C70" t="s">
        <v>67</v>
      </c>
      <c r="D70" t="s">
        <v>1127</v>
      </c>
      <c r="E70" t="s">
        <v>31</v>
      </c>
      <c r="F70" t="s">
        <v>31</v>
      </c>
    </row>
    <row r="71" spans="1:11" x14ac:dyDescent="0.25">
      <c r="D71" t="s">
        <v>1095</v>
      </c>
      <c r="E71">
        <v>2456933.5005089999</v>
      </c>
      <c r="F71" t="s">
        <v>1128</v>
      </c>
      <c r="G71">
        <v>15.79</v>
      </c>
      <c r="H71">
        <v>0.32</v>
      </c>
      <c r="I71" t="s">
        <v>18</v>
      </c>
      <c r="J71" t="s">
        <v>1126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27</v>
      </c>
      <c r="B73" t="s">
        <v>31</v>
      </c>
      <c r="C73" t="s">
        <v>67</v>
      </c>
      <c r="D73" t="s">
        <v>1129</v>
      </c>
      <c r="E73" t="s">
        <v>31</v>
      </c>
      <c r="F73" t="s">
        <v>31</v>
      </c>
    </row>
    <row r="74" spans="1:11" x14ac:dyDescent="0.25">
      <c r="D74" t="s">
        <v>1114</v>
      </c>
      <c r="E74">
        <v>2456932.4850599999</v>
      </c>
      <c r="F74" t="s">
        <v>1130</v>
      </c>
      <c r="G74">
        <v>15.677</v>
      </c>
      <c r="H74">
        <v>9.9000000000000005E-2</v>
      </c>
      <c r="I74" t="s">
        <v>18</v>
      </c>
      <c r="J74" t="s">
        <v>1131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27</v>
      </c>
      <c r="B76" t="s">
        <v>1132</v>
      </c>
      <c r="C76" t="s">
        <v>67</v>
      </c>
      <c r="D76" t="s">
        <v>1133</v>
      </c>
      <c r="E76" t="s">
        <v>31</v>
      </c>
      <c r="F76" t="s">
        <v>1134</v>
      </c>
    </row>
    <row r="77" spans="1:11" x14ac:dyDescent="0.25">
      <c r="D77" t="s">
        <v>1095</v>
      </c>
      <c r="E77">
        <v>2456918.5475929999</v>
      </c>
      <c r="F77" t="s">
        <v>1135</v>
      </c>
      <c r="G77">
        <v>8.83</v>
      </c>
      <c r="H77">
        <v>0.02</v>
      </c>
      <c r="I77" t="s">
        <v>249</v>
      </c>
      <c r="J77" t="s">
        <v>1126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27</v>
      </c>
      <c r="B79" t="s">
        <v>31</v>
      </c>
      <c r="C79" t="s">
        <v>67</v>
      </c>
      <c r="D79" t="s">
        <v>1136</v>
      </c>
      <c r="E79" t="s">
        <v>31</v>
      </c>
      <c r="F79" t="s">
        <v>31</v>
      </c>
    </row>
    <row r="80" spans="1:11" x14ac:dyDescent="0.25">
      <c r="D80" t="s">
        <v>1095</v>
      </c>
      <c r="E80">
        <v>2456918.5444789999</v>
      </c>
      <c r="F80" t="s">
        <v>1137</v>
      </c>
      <c r="G80">
        <v>15.51</v>
      </c>
      <c r="H80">
        <v>0.28000000000000003</v>
      </c>
      <c r="I80" t="s">
        <v>18</v>
      </c>
      <c r="J80" t="s">
        <v>1126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27</v>
      </c>
      <c r="B82" t="s">
        <v>31</v>
      </c>
      <c r="C82" t="s">
        <v>67</v>
      </c>
      <c r="D82" t="s">
        <v>1138</v>
      </c>
      <c r="E82" t="s">
        <v>31</v>
      </c>
      <c r="F82" t="s">
        <v>31</v>
      </c>
    </row>
    <row r="83" spans="1:11" x14ac:dyDescent="0.25">
      <c r="D83" t="s">
        <v>1114</v>
      </c>
      <c r="E83">
        <v>2456834.6819699998</v>
      </c>
      <c r="F83" t="s">
        <v>1139</v>
      </c>
      <c r="G83">
        <v>13.555</v>
      </c>
      <c r="H83">
        <v>3.3000000000000002E-2</v>
      </c>
      <c r="I83" t="s">
        <v>18</v>
      </c>
      <c r="J83" t="s">
        <v>1081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27</v>
      </c>
      <c r="B85" t="s">
        <v>1140</v>
      </c>
      <c r="C85" t="s">
        <v>67</v>
      </c>
      <c r="D85" t="s">
        <v>1141</v>
      </c>
      <c r="E85" t="s">
        <v>31</v>
      </c>
      <c r="F85" t="s">
        <v>31</v>
      </c>
    </row>
    <row r="86" spans="1:11" x14ac:dyDescent="0.25">
      <c r="D86" t="s">
        <v>1114</v>
      </c>
      <c r="E86">
        <v>2456799.89537</v>
      </c>
      <c r="F86" t="s">
        <v>1142</v>
      </c>
      <c r="G86">
        <v>13.048999999999999</v>
      </c>
      <c r="H86">
        <v>8.0000000000000002E-3</v>
      </c>
      <c r="I86" t="s">
        <v>18</v>
      </c>
      <c r="J86" t="s">
        <v>252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1143</v>
      </c>
      <c r="B88" t="s">
        <v>1144</v>
      </c>
      <c r="C88" t="s">
        <v>67</v>
      </c>
      <c r="D88" t="s">
        <v>1145</v>
      </c>
      <c r="E88" t="s">
        <v>31</v>
      </c>
      <c r="F88" t="s">
        <v>253</v>
      </c>
    </row>
    <row r="89" spans="1:11" x14ac:dyDescent="0.25">
      <c r="D89" t="s">
        <v>1114</v>
      </c>
      <c r="E89">
        <v>2456783.89561</v>
      </c>
      <c r="F89" t="s">
        <v>1146</v>
      </c>
      <c r="G89">
        <v>12.61</v>
      </c>
      <c r="H89">
        <v>0.01</v>
      </c>
      <c r="I89" t="s">
        <v>18</v>
      </c>
      <c r="J89" t="s">
        <v>252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1143</v>
      </c>
      <c r="B91" t="s">
        <v>1147</v>
      </c>
      <c r="C91" t="s">
        <v>67</v>
      </c>
      <c r="D91" t="s">
        <v>1145</v>
      </c>
      <c r="E91" t="s">
        <v>31</v>
      </c>
      <c r="F91" t="s">
        <v>854</v>
      </c>
    </row>
    <row r="92" spans="1:11" x14ac:dyDescent="0.25">
      <c r="A92" t="s">
        <v>1988</v>
      </c>
    </row>
  </sheetData>
  <hyperlinks>
    <hyperlink ref="L1" r:id="rId1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6"/>
  <dimension ref="A1:Q92"/>
  <sheetViews>
    <sheetView workbookViewId="0">
      <selection sqref="A1:XFD1048576"/>
    </sheetView>
  </sheetViews>
  <sheetFormatPr baseColWidth="10" defaultRowHeight="15" x14ac:dyDescent="0.25"/>
  <cols>
    <col min="1" max="1" width="10.42578125" customWidth="1"/>
    <col min="2" max="2" width="19.42578125" customWidth="1"/>
    <col min="3" max="3" width="12.28515625" bestFit="1" customWidth="1"/>
    <col min="4" max="4" width="10.5703125" customWidth="1"/>
    <col min="5" max="5" width="15.5703125" bestFit="1" customWidth="1"/>
    <col min="6" max="6" width="81.140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446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447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448</v>
      </c>
      <c r="E17">
        <v>2457329.3111</v>
      </c>
      <c r="F17" t="s">
        <v>449</v>
      </c>
      <c r="G17">
        <v>11.669</v>
      </c>
      <c r="H17">
        <v>5.0000000000000001E-3</v>
      </c>
      <c r="I17" t="s">
        <v>18</v>
      </c>
      <c r="J17" t="s">
        <v>450</v>
      </c>
      <c r="K17" t="s">
        <v>20</v>
      </c>
      <c r="M17" t="str">
        <f>+I17</f>
        <v>V</v>
      </c>
      <c r="N17">
        <f>+G17</f>
        <v>11.669</v>
      </c>
      <c r="O17" t="str">
        <f>+J17</f>
        <v>BCP</v>
      </c>
      <c r="P17">
        <f>+E17</f>
        <v>2457329.3111</v>
      </c>
      <c r="Q17" t="str">
        <f>+F17</f>
        <v>2015 Nov. 02.81110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11.669</v>
      </c>
      <c r="O18" t="str">
        <f>+J20</f>
        <v>BCP</v>
      </c>
      <c r="P18">
        <f>+E20</f>
        <v>2457328.3111</v>
      </c>
      <c r="Q18" t="str">
        <f>+F20</f>
        <v>2015 Nov. 01.81110</v>
      </c>
    </row>
    <row r="19" spans="1:17" x14ac:dyDescent="0.25">
      <c r="A19" t="s">
        <v>27</v>
      </c>
      <c r="B19" t="s">
        <v>451</v>
      </c>
      <c r="C19" t="s">
        <v>67</v>
      </c>
      <c r="D19" t="s">
        <v>452</v>
      </c>
      <c r="E19" t="s">
        <v>31</v>
      </c>
      <c r="F19" t="s">
        <v>453</v>
      </c>
      <c r="M19" t="str">
        <f>+I23</f>
        <v>V</v>
      </c>
      <c r="N19">
        <f>+G23</f>
        <v>11.632999999999999</v>
      </c>
      <c r="O19" t="str">
        <f>+J23</f>
        <v>MZK</v>
      </c>
      <c r="P19">
        <f>+E23</f>
        <v>2457270.5467900001</v>
      </c>
      <c r="Q19" t="str">
        <f>+F23</f>
        <v>2015 Sep. 05.04679</v>
      </c>
    </row>
    <row r="20" spans="1:17" x14ac:dyDescent="0.25">
      <c r="D20" t="s">
        <v>448</v>
      </c>
      <c r="E20">
        <v>2457328.3111</v>
      </c>
      <c r="F20" t="s">
        <v>454</v>
      </c>
      <c r="G20">
        <v>11.669</v>
      </c>
      <c r="H20">
        <v>5.0000000000000001E-3</v>
      </c>
      <c r="I20" t="s">
        <v>18</v>
      </c>
      <c r="J20" t="s">
        <v>450</v>
      </c>
      <c r="K20" t="s">
        <v>20</v>
      </c>
      <c r="M20" t="str">
        <f>+I26</f>
        <v>V</v>
      </c>
      <c r="N20">
        <f>+G26</f>
        <v>11.419</v>
      </c>
      <c r="O20" t="str">
        <f>+J26</f>
        <v>MZK</v>
      </c>
      <c r="P20">
        <f>+E26</f>
        <v>2457235.6425899998</v>
      </c>
      <c r="Q20" t="str">
        <f>+F26</f>
        <v>2015 Aug. 01.14259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11.385</v>
      </c>
      <c r="O21" t="str">
        <f>+J29</f>
        <v>MZK</v>
      </c>
      <c r="P21">
        <f>+E29</f>
        <v>2457200.7313199998</v>
      </c>
      <c r="Q21" t="str">
        <f>+F29</f>
        <v>2015 Jun. 27.23132</v>
      </c>
    </row>
    <row r="22" spans="1:17" x14ac:dyDescent="0.25">
      <c r="A22" t="s">
        <v>27</v>
      </c>
      <c r="B22" t="s">
        <v>455</v>
      </c>
      <c r="C22" t="s">
        <v>67</v>
      </c>
      <c r="D22" t="s">
        <v>452</v>
      </c>
      <c r="E22" t="s">
        <v>31</v>
      </c>
      <c r="F22" t="s">
        <v>456</v>
      </c>
      <c r="M22" t="str">
        <f>+I32</f>
        <v>V</v>
      </c>
      <c r="N22">
        <f>+G32</f>
        <v>11.372999999999999</v>
      </c>
      <c r="O22" t="str">
        <f>+J32</f>
        <v>MZK</v>
      </c>
      <c r="P22">
        <f>+E32</f>
        <v>2457165.8309499999</v>
      </c>
      <c r="Q22" t="str">
        <f>+F32</f>
        <v>2015 May. 23.33095</v>
      </c>
    </row>
    <row r="23" spans="1:17" x14ac:dyDescent="0.25">
      <c r="D23" t="s">
        <v>448</v>
      </c>
      <c r="E23">
        <v>2457270.5467900001</v>
      </c>
      <c r="F23" t="s">
        <v>457</v>
      </c>
      <c r="G23">
        <v>11.632999999999999</v>
      </c>
      <c r="H23">
        <v>3.5999999999999997E-2</v>
      </c>
      <c r="I23" t="s">
        <v>18</v>
      </c>
      <c r="J23" t="s">
        <v>361</v>
      </c>
      <c r="K23" t="s">
        <v>20</v>
      </c>
      <c r="M23" t="str">
        <f>+I35</f>
        <v>V</v>
      </c>
      <c r="N23">
        <f>+G35</f>
        <v>11.375999999999999</v>
      </c>
      <c r="O23" t="str">
        <f>+J35</f>
        <v>MZK</v>
      </c>
      <c r="P23">
        <f>+E35</f>
        <v>2457156.8599200002</v>
      </c>
      <c r="Q23" t="str">
        <f>+F35</f>
        <v>2015 May. 14.35992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I</v>
      </c>
      <c r="N24">
        <f>+G38</f>
        <v>8.5449999999999999</v>
      </c>
      <c r="O24" t="str">
        <f>+J38</f>
        <v>GCO</v>
      </c>
      <c r="P24">
        <f>+E38</f>
        <v>2456856.4915399998</v>
      </c>
      <c r="Q24" t="str">
        <f>+F38</f>
        <v>2014 Jul. 17.99154</v>
      </c>
    </row>
    <row r="25" spans="1:17" x14ac:dyDescent="0.25">
      <c r="A25" t="s">
        <v>27</v>
      </c>
      <c r="B25" t="s">
        <v>458</v>
      </c>
      <c r="C25" t="s">
        <v>67</v>
      </c>
      <c r="D25" t="s">
        <v>459</v>
      </c>
      <c r="E25" t="s">
        <v>31</v>
      </c>
      <c r="F25" t="s">
        <v>31</v>
      </c>
      <c r="M25" t="str">
        <f>+I41</f>
        <v>R</v>
      </c>
      <c r="N25">
        <f>+G41</f>
        <v>10.193</v>
      </c>
      <c r="O25" t="str">
        <f>+J41</f>
        <v>GCO</v>
      </c>
      <c r="P25">
        <f>+E41</f>
        <v>2456856.48807</v>
      </c>
      <c r="Q25" t="str">
        <f>+F41</f>
        <v>2014 Jul. 17.98807</v>
      </c>
    </row>
    <row r="26" spans="1:17" x14ac:dyDescent="0.25">
      <c r="D26" t="s">
        <v>448</v>
      </c>
      <c r="E26">
        <v>2457235.6425899998</v>
      </c>
      <c r="F26" t="s">
        <v>460</v>
      </c>
      <c r="G26">
        <v>11.419</v>
      </c>
      <c r="H26">
        <v>3.2000000000000001E-2</v>
      </c>
      <c r="I26" t="s">
        <v>18</v>
      </c>
      <c r="J26" t="s">
        <v>361</v>
      </c>
      <c r="K26" t="s">
        <v>20</v>
      </c>
      <c r="M26" t="str">
        <f>+I44</f>
        <v>B</v>
      </c>
      <c r="N26">
        <f>+G44</f>
        <v>12.569000000000001</v>
      </c>
      <c r="O26" t="str">
        <f>+J44</f>
        <v>GCO</v>
      </c>
      <c r="P26">
        <f>+E44</f>
        <v>2456856.4802799998</v>
      </c>
      <c r="Q26" t="str">
        <f>+F44</f>
        <v>2014 Jul. 17.98028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27</v>
      </c>
      <c r="B28" t="s">
        <v>461</v>
      </c>
      <c r="C28" t="s">
        <v>67</v>
      </c>
      <c r="D28" t="s">
        <v>459</v>
      </c>
      <c r="E28" t="s">
        <v>31</v>
      </c>
      <c r="F28" t="s">
        <v>31</v>
      </c>
    </row>
    <row r="29" spans="1:17" x14ac:dyDescent="0.25">
      <c r="D29" t="s">
        <v>448</v>
      </c>
      <c r="E29">
        <v>2457200.7313199998</v>
      </c>
      <c r="F29" t="s">
        <v>462</v>
      </c>
      <c r="G29">
        <v>11.385</v>
      </c>
      <c r="H29">
        <v>3.9E-2</v>
      </c>
      <c r="I29" t="s">
        <v>18</v>
      </c>
      <c r="J29" t="s">
        <v>361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27</v>
      </c>
      <c r="B31" t="s">
        <v>463</v>
      </c>
      <c r="C31" t="s">
        <v>67</v>
      </c>
      <c r="D31" t="s">
        <v>459</v>
      </c>
      <c r="E31" t="s">
        <v>31</v>
      </c>
      <c r="F31" t="s">
        <v>31</v>
      </c>
    </row>
    <row r="32" spans="1:17" x14ac:dyDescent="0.25">
      <c r="D32" t="s">
        <v>448</v>
      </c>
      <c r="E32">
        <v>2457165.8309499999</v>
      </c>
      <c r="F32" t="s">
        <v>464</v>
      </c>
      <c r="G32">
        <v>11.372999999999999</v>
      </c>
      <c r="H32">
        <v>0.05</v>
      </c>
      <c r="I32" t="s">
        <v>18</v>
      </c>
      <c r="J32" t="s">
        <v>361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27</v>
      </c>
      <c r="B34" t="s">
        <v>465</v>
      </c>
      <c r="C34" t="s">
        <v>67</v>
      </c>
      <c r="D34" t="s">
        <v>459</v>
      </c>
      <c r="E34" t="s">
        <v>31</v>
      </c>
      <c r="F34" t="s">
        <v>31</v>
      </c>
    </row>
    <row r="35" spans="1:11" x14ac:dyDescent="0.25">
      <c r="D35" t="s">
        <v>448</v>
      </c>
      <c r="E35">
        <v>2457156.8599200002</v>
      </c>
      <c r="F35" t="s">
        <v>466</v>
      </c>
      <c r="G35">
        <v>11.375999999999999</v>
      </c>
      <c r="H35">
        <v>5.0000000000000001E-3</v>
      </c>
      <c r="I35" t="s">
        <v>18</v>
      </c>
      <c r="J35" t="s">
        <v>361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27</v>
      </c>
      <c r="B37" t="s">
        <v>467</v>
      </c>
      <c r="C37" t="s">
        <v>67</v>
      </c>
      <c r="D37" t="s">
        <v>459</v>
      </c>
      <c r="E37" t="s">
        <v>31</v>
      </c>
      <c r="F37" t="s">
        <v>31</v>
      </c>
    </row>
    <row r="38" spans="1:11" x14ac:dyDescent="0.25">
      <c r="D38" t="s">
        <v>468</v>
      </c>
      <c r="E38">
        <v>2456856.4915399998</v>
      </c>
      <c r="F38" t="s">
        <v>469</v>
      </c>
      <c r="G38">
        <v>8.5449999999999999</v>
      </c>
      <c r="H38">
        <v>1.6E-2</v>
      </c>
      <c r="I38" t="s">
        <v>249</v>
      </c>
      <c r="J38" t="s">
        <v>470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471</v>
      </c>
      <c r="B40" t="s">
        <v>472</v>
      </c>
      <c r="C40" t="s">
        <v>29</v>
      </c>
      <c r="D40" t="s">
        <v>473</v>
      </c>
      <c r="E40" t="s">
        <v>31</v>
      </c>
      <c r="F40" t="s">
        <v>474</v>
      </c>
    </row>
    <row r="41" spans="1:11" x14ac:dyDescent="0.25">
      <c r="D41" t="s">
        <v>468</v>
      </c>
      <c r="E41">
        <v>2456856.48807</v>
      </c>
      <c r="F41" t="s">
        <v>475</v>
      </c>
      <c r="G41">
        <v>10.193</v>
      </c>
      <c r="H41">
        <v>1.4999999999999999E-2</v>
      </c>
      <c r="I41" t="s">
        <v>250</v>
      </c>
      <c r="J41" t="s">
        <v>470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471</v>
      </c>
      <c r="B43" t="s">
        <v>476</v>
      </c>
      <c r="C43" t="s">
        <v>29</v>
      </c>
      <c r="D43" t="s">
        <v>473</v>
      </c>
      <c r="E43" t="s">
        <v>31</v>
      </c>
      <c r="F43" t="s">
        <v>477</v>
      </c>
    </row>
    <row r="44" spans="1:11" x14ac:dyDescent="0.25">
      <c r="D44" t="s">
        <v>468</v>
      </c>
      <c r="E44">
        <v>2456856.4802799998</v>
      </c>
      <c r="F44" t="s">
        <v>478</v>
      </c>
      <c r="G44">
        <v>12.569000000000001</v>
      </c>
      <c r="H44">
        <v>1.7999999999999999E-2</v>
      </c>
      <c r="I44" t="s">
        <v>34</v>
      </c>
      <c r="J44" t="s">
        <v>470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471</v>
      </c>
      <c r="B46" t="s">
        <v>479</v>
      </c>
      <c r="C46" t="s">
        <v>29</v>
      </c>
      <c r="D46" t="s">
        <v>473</v>
      </c>
      <c r="E46" t="s">
        <v>31</v>
      </c>
      <c r="F46" t="s">
        <v>480</v>
      </c>
    </row>
    <row r="47" spans="1:11" x14ac:dyDescent="0.25">
      <c r="D47" t="s">
        <v>468</v>
      </c>
      <c r="E47">
        <v>2456856.4763500001</v>
      </c>
      <c r="F47" t="s">
        <v>481</v>
      </c>
      <c r="G47">
        <v>11.507</v>
      </c>
      <c r="H47">
        <v>1.7999999999999999E-2</v>
      </c>
      <c r="I47" t="s">
        <v>18</v>
      </c>
      <c r="J47" t="s">
        <v>470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471</v>
      </c>
      <c r="B49" t="s">
        <v>482</v>
      </c>
      <c r="C49" t="s">
        <v>29</v>
      </c>
      <c r="D49" t="s">
        <v>473</v>
      </c>
      <c r="E49" t="s">
        <v>31</v>
      </c>
      <c r="F49" t="s">
        <v>474</v>
      </c>
    </row>
    <row r="50" spans="1:11" x14ac:dyDescent="0.25">
      <c r="D50" t="s">
        <v>468</v>
      </c>
      <c r="E50">
        <v>2456805.5947199999</v>
      </c>
      <c r="F50" t="s">
        <v>483</v>
      </c>
      <c r="G50">
        <v>8.6590000000000007</v>
      </c>
      <c r="H50">
        <v>1.4999999999999999E-2</v>
      </c>
      <c r="I50" t="s">
        <v>249</v>
      </c>
      <c r="J50" t="s">
        <v>470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471</v>
      </c>
      <c r="B52" t="s">
        <v>484</v>
      </c>
      <c r="C52" t="s">
        <v>29</v>
      </c>
      <c r="D52" t="s">
        <v>473</v>
      </c>
      <c r="E52" t="s">
        <v>31</v>
      </c>
      <c r="F52" t="s">
        <v>474</v>
      </c>
    </row>
    <row r="53" spans="1:11" x14ac:dyDescent="0.25">
      <c r="D53" t="s">
        <v>468</v>
      </c>
      <c r="E53">
        <v>2456805.5905399998</v>
      </c>
      <c r="F53" t="s">
        <v>485</v>
      </c>
      <c r="G53">
        <v>10.359</v>
      </c>
      <c r="H53">
        <v>1.4E-2</v>
      </c>
      <c r="I53" t="s">
        <v>250</v>
      </c>
      <c r="J53" t="s">
        <v>470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471</v>
      </c>
      <c r="B55" t="s">
        <v>486</v>
      </c>
      <c r="C55" t="s">
        <v>29</v>
      </c>
      <c r="D55" t="s">
        <v>473</v>
      </c>
      <c r="E55" t="s">
        <v>31</v>
      </c>
      <c r="F55" t="s">
        <v>477</v>
      </c>
    </row>
    <row r="56" spans="1:11" x14ac:dyDescent="0.25">
      <c r="D56" t="s">
        <v>468</v>
      </c>
      <c r="E56">
        <v>2456805.58329</v>
      </c>
      <c r="F56" t="s">
        <v>487</v>
      </c>
      <c r="G56">
        <v>12.680999999999999</v>
      </c>
      <c r="H56">
        <v>3.6999999999999998E-2</v>
      </c>
      <c r="I56" t="s">
        <v>34</v>
      </c>
      <c r="J56" t="s">
        <v>470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471</v>
      </c>
      <c r="B58" t="s">
        <v>488</v>
      </c>
      <c r="C58" t="s">
        <v>29</v>
      </c>
      <c r="D58" t="s">
        <v>473</v>
      </c>
      <c r="E58" t="s">
        <v>31</v>
      </c>
      <c r="F58" t="s">
        <v>480</v>
      </c>
    </row>
    <row r="59" spans="1:11" x14ac:dyDescent="0.25">
      <c r="D59" t="s">
        <v>468</v>
      </c>
      <c r="E59">
        <v>2456805.5784399998</v>
      </c>
      <c r="F59" t="s">
        <v>489</v>
      </c>
      <c r="G59">
        <v>11.693</v>
      </c>
      <c r="H59">
        <v>3.3000000000000002E-2</v>
      </c>
      <c r="I59" t="s">
        <v>18</v>
      </c>
      <c r="J59" t="s">
        <v>470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471</v>
      </c>
      <c r="B61" t="s">
        <v>490</v>
      </c>
      <c r="C61" t="s">
        <v>29</v>
      </c>
      <c r="D61" t="s">
        <v>473</v>
      </c>
      <c r="E61" t="s">
        <v>31</v>
      </c>
      <c r="F61" t="s">
        <v>474</v>
      </c>
    </row>
    <row r="62" spans="1:11" x14ac:dyDescent="0.25">
      <c r="D62" t="s">
        <v>468</v>
      </c>
      <c r="E62">
        <v>2456802.4490399999</v>
      </c>
      <c r="F62" t="s">
        <v>491</v>
      </c>
      <c r="G62">
        <v>12.688000000000001</v>
      </c>
      <c r="H62">
        <v>2.5000000000000001E-2</v>
      </c>
      <c r="I62" t="s">
        <v>34</v>
      </c>
      <c r="J62" t="s">
        <v>470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471</v>
      </c>
      <c r="B64" t="s">
        <v>492</v>
      </c>
      <c r="C64" t="s">
        <v>29</v>
      </c>
      <c r="D64" t="s">
        <v>473</v>
      </c>
      <c r="E64" t="s">
        <v>31</v>
      </c>
      <c r="F64" t="s">
        <v>480</v>
      </c>
    </row>
    <row r="65" spans="1:11" x14ac:dyDescent="0.25">
      <c r="D65" t="s">
        <v>468</v>
      </c>
      <c r="E65">
        <v>2456802.4443999999</v>
      </c>
      <c r="F65" t="s">
        <v>493</v>
      </c>
      <c r="G65">
        <v>11.707000000000001</v>
      </c>
      <c r="H65">
        <v>2.5999999999999999E-2</v>
      </c>
      <c r="I65" t="s">
        <v>18</v>
      </c>
      <c r="J65" t="s">
        <v>470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471</v>
      </c>
      <c r="B67" t="s">
        <v>494</v>
      </c>
      <c r="C67" t="s">
        <v>29</v>
      </c>
      <c r="D67" t="s">
        <v>473</v>
      </c>
      <c r="E67" t="s">
        <v>31</v>
      </c>
      <c r="F67" t="s">
        <v>474</v>
      </c>
    </row>
    <row r="68" spans="1:11" x14ac:dyDescent="0.25">
      <c r="D68" t="s">
        <v>448</v>
      </c>
      <c r="E68">
        <v>2456566.5066399998</v>
      </c>
      <c r="F68" t="s">
        <v>495</v>
      </c>
      <c r="G68">
        <v>11.326000000000001</v>
      </c>
      <c r="H68">
        <v>7.0000000000000001E-3</v>
      </c>
      <c r="I68" t="s">
        <v>18</v>
      </c>
      <c r="J68" t="s">
        <v>361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496</v>
      </c>
      <c r="C70" t="s">
        <v>67</v>
      </c>
      <c r="D70" t="s">
        <v>459</v>
      </c>
      <c r="E70" t="s">
        <v>31</v>
      </c>
      <c r="F70" t="s">
        <v>31</v>
      </c>
    </row>
    <row r="71" spans="1:11" x14ac:dyDescent="0.25">
      <c r="D71" t="s">
        <v>468</v>
      </c>
      <c r="E71">
        <v>2456540.3272500001</v>
      </c>
      <c r="F71" t="s">
        <v>497</v>
      </c>
      <c r="G71">
        <v>8.4420000000000002</v>
      </c>
      <c r="H71">
        <v>1.9E-2</v>
      </c>
      <c r="I71" t="s">
        <v>249</v>
      </c>
      <c r="J71" t="s">
        <v>470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471</v>
      </c>
      <c r="B73" t="s">
        <v>498</v>
      </c>
      <c r="C73" t="s">
        <v>29</v>
      </c>
      <c r="D73" t="s">
        <v>473</v>
      </c>
      <c r="E73" t="s">
        <v>31</v>
      </c>
      <c r="F73" t="s">
        <v>499</v>
      </c>
    </row>
    <row r="74" spans="1:11" x14ac:dyDescent="0.25">
      <c r="D74" t="s">
        <v>468</v>
      </c>
      <c r="E74">
        <v>2456540.3236699998</v>
      </c>
      <c r="F74" t="s">
        <v>500</v>
      </c>
      <c r="G74">
        <v>10.000999999999999</v>
      </c>
      <c r="H74">
        <v>2.4E-2</v>
      </c>
      <c r="I74" t="s">
        <v>250</v>
      </c>
      <c r="J74" t="s">
        <v>470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471</v>
      </c>
      <c r="B76" t="s">
        <v>501</v>
      </c>
      <c r="C76" t="s">
        <v>29</v>
      </c>
      <c r="D76" t="s">
        <v>473</v>
      </c>
      <c r="E76" t="s">
        <v>31</v>
      </c>
      <c r="F76" t="s">
        <v>502</v>
      </c>
    </row>
    <row r="77" spans="1:11" x14ac:dyDescent="0.25">
      <c r="D77" t="s">
        <v>468</v>
      </c>
      <c r="E77">
        <v>2456540.3174100001</v>
      </c>
      <c r="F77" t="s">
        <v>503</v>
      </c>
      <c r="G77">
        <v>12.365</v>
      </c>
      <c r="H77">
        <v>1.6E-2</v>
      </c>
      <c r="I77" t="s">
        <v>34</v>
      </c>
      <c r="J77" t="s">
        <v>470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471</v>
      </c>
      <c r="B79" t="s">
        <v>504</v>
      </c>
      <c r="C79" t="s">
        <v>29</v>
      </c>
      <c r="D79" t="s">
        <v>473</v>
      </c>
      <c r="E79" t="s">
        <v>31</v>
      </c>
      <c r="F79" t="s">
        <v>505</v>
      </c>
    </row>
    <row r="80" spans="1:11" x14ac:dyDescent="0.25">
      <c r="D80" t="s">
        <v>468</v>
      </c>
      <c r="E80">
        <v>2456540.3111999999</v>
      </c>
      <c r="F80" t="s">
        <v>506</v>
      </c>
      <c r="G80">
        <v>11.375999999999999</v>
      </c>
      <c r="H80">
        <v>1.6E-2</v>
      </c>
      <c r="I80" t="s">
        <v>18</v>
      </c>
      <c r="J80" t="s">
        <v>470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471</v>
      </c>
      <c r="B82" t="s">
        <v>507</v>
      </c>
      <c r="C82" t="s">
        <v>29</v>
      </c>
      <c r="D82" t="s">
        <v>473</v>
      </c>
      <c r="E82" t="s">
        <v>31</v>
      </c>
      <c r="F82" t="s">
        <v>499</v>
      </c>
    </row>
    <row r="83" spans="1:11" x14ac:dyDescent="0.25">
      <c r="D83" t="s">
        <v>468</v>
      </c>
      <c r="E83">
        <v>2456533.3700199998</v>
      </c>
      <c r="F83" t="s">
        <v>508</v>
      </c>
      <c r="G83">
        <v>11.349</v>
      </c>
      <c r="H83">
        <v>0.01</v>
      </c>
      <c r="I83" t="s">
        <v>18</v>
      </c>
      <c r="J83" t="s">
        <v>470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471</v>
      </c>
      <c r="B85" t="s">
        <v>509</v>
      </c>
      <c r="C85" t="s">
        <v>67</v>
      </c>
      <c r="D85" t="s">
        <v>473</v>
      </c>
      <c r="E85" t="s">
        <v>31</v>
      </c>
      <c r="F85" t="s">
        <v>499</v>
      </c>
    </row>
    <row r="86" spans="1:11" x14ac:dyDescent="0.25">
      <c r="D86" t="s">
        <v>468</v>
      </c>
      <c r="E86">
        <v>2456471.5150799998</v>
      </c>
      <c r="F86" t="s">
        <v>510</v>
      </c>
      <c r="G86">
        <v>8.4870000000000001</v>
      </c>
      <c r="H86">
        <v>4.2000000000000003E-2</v>
      </c>
      <c r="I86" t="s">
        <v>249</v>
      </c>
      <c r="J86" t="s">
        <v>470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471</v>
      </c>
      <c r="B88" t="s">
        <v>511</v>
      </c>
      <c r="C88" t="s">
        <v>29</v>
      </c>
      <c r="D88" t="s">
        <v>473</v>
      </c>
      <c r="E88" t="s">
        <v>31</v>
      </c>
      <c r="F88" t="s">
        <v>499</v>
      </c>
    </row>
    <row r="89" spans="1:11" x14ac:dyDescent="0.25">
      <c r="D89" t="s">
        <v>468</v>
      </c>
      <c r="E89">
        <v>2456471.5111099998</v>
      </c>
      <c r="F89" t="s">
        <v>512</v>
      </c>
      <c r="G89">
        <v>9.9849999999999994</v>
      </c>
      <c r="H89">
        <v>4.3999999999999997E-2</v>
      </c>
      <c r="I89" t="s">
        <v>250</v>
      </c>
      <c r="J89" t="s">
        <v>470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471</v>
      </c>
      <c r="B91" t="s">
        <v>513</v>
      </c>
      <c r="C91" t="s">
        <v>29</v>
      </c>
      <c r="D91" t="s">
        <v>473</v>
      </c>
      <c r="E91" t="s">
        <v>31</v>
      </c>
      <c r="F91" t="s">
        <v>502</v>
      </c>
    </row>
    <row r="92" spans="1:11" x14ac:dyDescent="0.25">
      <c r="A92" t="s">
        <v>514</v>
      </c>
    </row>
  </sheetData>
  <hyperlinks>
    <hyperlink ref="L1" r:id="rId1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7"/>
  <dimension ref="A1:Q92"/>
  <sheetViews>
    <sheetView workbookViewId="0"/>
  </sheetViews>
  <sheetFormatPr baseColWidth="10" defaultRowHeight="15" x14ac:dyDescent="0.25"/>
  <cols>
    <col min="1" max="2" width="20.7109375" customWidth="1"/>
    <col min="3" max="3" width="12.28515625" bestFit="1" customWidth="1"/>
    <col min="4" max="4" width="10.85546875" customWidth="1"/>
    <col min="5" max="5" width="15.5703125" bestFit="1" customWidth="1"/>
    <col min="6" max="6" width="38.28515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1231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2745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1232</v>
      </c>
      <c r="E17">
        <v>2457692.7592600002</v>
      </c>
      <c r="F17" t="s">
        <v>2746</v>
      </c>
      <c r="G17">
        <v>12.977</v>
      </c>
      <c r="H17">
        <v>1.6E-2</v>
      </c>
      <c r="I17" t="s">
        <v>18</v>
      </c>
      <c r="J17" t="s">
        <v>252</v>
      </c>
      <c r="K17" t="s">
        <v>20</v>
      </c>
      <c r="M17" t="str">
        <f>+I17</f>
        <v>V</v>
      </c>
      <c r="N17">
        <f>+G17</f>
        <v>12.977</v>
      </c>
      <c r="O17" t="str">
        <f>+J17</f>
        <v>DKS</v>
      </c>
      <c r="P17">
        <f>+E17</f>
        <v>2457692.7592600002</v>
      </c>
      <c r="Q17" t="str">
        <f>+F17</f>
        <v>2016 Oct. 31.25926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12.983000000000001</v>
      </c>
      <c r="O18" t="str">
        <f>+J20</f>
        <v>DKS</v>
      </c>
      <c r="P18">
        <f>+E20</f>
        <v>2457679.9338699998</v>
      </c>
      <c r="Q18" t="str">
        <f>+F20</f>
        <v>2016 Oct. 18.43387</v>
      </c>
    </row>
    <row r="19" spans="1:17" x14ac:dyDescent="0.25">
      <c r="A19" t="s">
        <v>1234</v>
      </c>
      <c r="B19" t="s">
        <v>2747</v>
      </c>
      <c r="C19" t="s">
        <v>67</v>
      </c>
      <c r="D19" t="s">
        <v>1236</v>
      </c>
      <c r="E19" t="s">
        <v>31</v>
      </c>
      <c r="F19" t="s">
        <v>253</v>
      </c>
      <c r="M19" t="str">
        <f>+I23</f>
        <v>V</v>
      </c>
      <c r="N19">
        <f>+G23</f>
        <v>12.997999999999999</v>
      </c>
      <c r="O19" t="str">
        <f>+J23</f>
        <v>DKS</v>
      </c>
      <c r="P19">
        <f>+E23</f>
        <v>2457670.9048000001</v>
      </c>
      <c r="Q19" t="str">
        <f>+F23</f>
        <v>2016 Oct. 09.40480</v>
      </c>
    </row>
    <row r="20" spans="1:17" x14ac:dyDescent="0.25">
      <c r="D20" t="s">
        <v>1232</v>
      </c>
      <c r="E20">
        <v>2457679.9338699998</v>
      </c>
      <c r="F20" t="s">
        <v>2748</v>
      </c>
      <c r="G20">
        <v>12.983000000000001</v>
      </c>
      <c r="H20">
        <v>2.5000000000000001E-2</v>
      </c>
      <c r="I20" t="s">
        <v>18</v>
      </c>
      <c r="J20" t="s">
        <v>252</v>
      </c>
      <c r="K20" t="s">
        <v>20</v>
      </c>
      <c r="M20" t="str">
        <f>+I26</f>
        <v>V</v>
      </c>
      <c r="N20">
        <f>+G26</f>
        <v>13.003</v>
      </c>
      <c r="O20" t="str">
        <f>+J26</f>
        <v>DKS</v>
      </c>
      <c r="P20">
        <f>+E26</f>
        <v>2457648.92459</v>
      </c>
      <c r="Q20" t="str">
        <f>+F26</f>
        <v>2016 Sep. 17.42459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13.029</v>
      </c>
      <c r="O21" t="str">
        <f>+J29</f>
        <v>DKS</v>
      </c>
      <c r="P21">
        <f>+E29</f>
        <v>2457638.92294</v>
      </c>
      <c r="Q21" t="str">
        <f>+F29</f>
        <v>2016 Sep. 07.42294</v>
      </c>
    </row>
    <row r="22" spans="1:17" x14ac:dyDescent="0.25">
      <c r="A22" t="s">
        <v>1234</v>
      </c>
      <c r="B22" t="s">
        <v>2749</v>
      </c>
      <c r="C22" t="s">
        <v>67</v>
      </c>
      <c r="D22" t="s">
        <v>1236</v>
      </c>
      <c r="E22" t="s">
        <v>31</v>
      </c>
      <c r="F22" t="s">
        <v>253</v>
      </c>
      <c r="M22" t="str">
        <f>+I32</f>
        <v>V</v>
      </c>
      <c r="N22">
        <f>+G32</f>
        <v>12.929</v>
      </c>
      <c r="O22" t="str">
        <f>+J32</f>
        <v>DKS</v>
      </c>
      <c r="P22">
        <f>+E32</f>
        <v>2457587.90368</v>
      </c>
      <c r="Q22" t="str">
        <f>+F32</f>
        <v>2016 Jul. 18.40368</v>
      </c>
    </row>
    <row r="23" spans="1:17" x14ac:dyDescent="0.25">
      <c r="D23" t="s">
        <v>1232</v>
      </c>
      <c r="E23">
        <v>2457670.9048000001</v>
      </c>
      <c r="F23" t="s">
        <v>2750</v>
      </c>
      <c r="G23">
        <v>12.997999999999999</v>
      </c>
      <c r="H23">
        <v>1.7999999999999999E-2</v>
      </c>
      <c r="I23" t="s">
        <v>18</v>
      </c>
      <c r="J23" t="s">
        <v>252</v>
      </c>
      <c r="K23" t="s">
        <v>20</v>
      </c>
      <c r="M23" t="str">
        <f>+I35</f>
        <v>V</v>
      </c>
      <c r="N23">
        <f>+G35</f>
        <v>12.978999999999999</v>
      </c>
      <c r="O23" t="str">
        <f>+J35</f>
        <v>DKS</v>
      </c>
      <c r="P23">
        <f>+E35</f>
        <v>2457469.5166199999</v>
      </c>
      <c r="Q23" t="str">
        <f>+F35</f>
        <v>2016 Mar. 22.01662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13.01</v>
      </c>
      <c r="O24" t="str">
        <f>+J38</f>
        <v>DKS</v>
      </c>
      <c r="P24">
        <f>+E38</f>
        <v>2457452.5234099999</v>
      </c>
      <c r="Q24" t="str">
        <f>+F38</f>
        <v>2016 Mar. 05.02341</v>
      </c>
    </row>
    <row r="25" spans="1:17" x14ac:dyDescent="0.25">
      <c r="A25" t="s">
        <v>1234</v>
      </c>
      <c r="B25" t="s">
        <v>1250</v>
      </c>
      <c r="C25" t="s">
        <v>67</v>
      </c>
      <c r="D25" t="s">
        <v>1236</v>
      </c>
      <c r="E25" t="s">
        <v>31</v>
      </c>
      <c r="F25" t="s">
        <v>253</v>
      </c>
      <c r="M25" t="str">
        <f>+I41</f>
        <v>V</v>
      </c>
      <c r="N25">
        <f>+G41</f>
        <v>12.99</v>
      </c>
      <c r="O25" t="str">
        <f>+J41</f>
        <v>DKS</v>
      </c>
      <c r="P25">
        <f>+E41</f>
        <v>2457439.5058900001</v>
      </c>
      <c r="Q25" t="str">
        <f>+F41</f>
        <v>2016 Feb. 21.00589</v>
      </c>
    </row>
    <row r="26" spans="1:17" x14ac:dyDescent="0.25">
      <c r="D26" t="s">
        <v>1232</v>
      </c>
      <c r="E26">
        <v>2457648.92459</v>
      </c>
      <c r="F26" t="s">
        <v>2268</v>
      </c>
      <c r="G26">
        <v>13.003</v>
      </c>
      <c r="H26">
        <v>2.5000000000000001E-2</v>
      </c>
      <c r="I26" t="s">
        <v>18</v>
      </c>
      <c r="J26" t="s">
        <v>252</v>
      </c>
      <c r="K26" t="s">
        <v>20</v>
      </c>
      <c r="M26" t="str">
        <f>+I44</f>
        <v>V</v>
      </c>
      <c r="N26">
        <f>+G44</f>
        <v>13.041</v>
      </c>
      <c r="O26" t="str">
        <f>+J44</f>
        <v>DKS</v>
      </c>
      <c r="P26">
        <f>+E44</f>
        <v>2457426.4991600001</v>
      </c>
      <c r="Q26" t="str">
        <f>+F44</f>
        <v>2016 Feb. 07.99916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1234</v>
      </c>
      <c r="B28" t="s">
        <v>2269</v>
      </c>
      <c r="C28" t="s">
        <v>67</v>
      </c>
      <c r="D28" t="s">
        <v>1236</v>
      </c>
      <c r="E28" t="s">
        <v>31</v>
      </c>
      <c r="F28" t="s">
        <v>253</v>
      </c>
    </row>
    <row r="29" spans="1:17" x14ac:dyDescent="0.25">
      <c r="D29" t="s">
        <v>1232</v>
      </c>
      <c r="E29">
        <v>2457638.92294</v>
      </c>
      <c r="F29" t="s">
        <v>2165</v>
      </c>
      <c r="G29">
        <v>13.029</v>
      </c>
      <c r="H29">
        <v>2.3E-2</v>
      </c>
      <c r="I29" t="s">
        <v>18</v>
      </c>
      <c r="J29" t="s">
        <v>252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1234</v>
      </c>
      <c r="B31" t="s">
        <v>1255</v>
      </c>
      <c r="C31" t="s">
        <v>67</v>
      </c>
      <c r="D31" t="s">
        <v>1236</v>
      </c>
      <c r="E31" t="s">
        <v>31</v>
      </c>
      <c r="F31" t="s">
        <v>253</v>
      </c>
    </row>
    <row r="32" spans="1:17" x14ac:dyDescent="0.25">
      <c r="D32" t="s">
        <v>1232</v>
      </c>
      <c r="E32">
        <v>2457587.90368</v>
      </c>
      <c r="F32" t="s">
        <v>1989</v>
      </c>
      <c r="G32">
        <v>12.929</v>
      </c>
      <c r="H32">
        <v>2.1999999999999999E-2</v>
      </c>
      <c r="I32" t="s">
        <v>18</v>
      </c>
      <c r="J32" t="s">
        <v>252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1234</v>
      </c>
      <c r="B34" t="s">
        <v>1990</v>
      </c>
      <c r="C34" t="s">
        <v>67</v>
      </c>
      <c r="D34" t="s">
        <v>1236</v>
      </c>
      <c r="E34" t="s">
        <v>31</v>
      </c>
      <c r="F34" t="s">
        <v>253</v>
      </c>
    </row>
    <row r="35" spans="1:11" x14ac:dyDescent="0.25">
      <c r="D35" t="s">
        <v>1232</v>
      </c>
      <c r="E35">
        <v>2457469.5166199999</v>
      </c>
      <c r="F35" t="s">
        <v>1233</v>
      </c>
      <c r="G35">
        <v>12.978999999999999</v>
      </c>
      <c r="H35">
        <v>2.7E-2</v>
      </c>
      <c r="I35" t="s">
        <v>18</v>
      </c>
      <c r="J35" t="s">
        <v>252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1234</v>
      </c>
      <c r="B37" t="s">
        <v>1235</v>
      </c>
      <c r="C37" t="s">
        <v>67</v>
      </c>
      <c r="D37" t="s">
        <v>1236</v>
      </c>
      <c r="E37" t="s">
        <v>31</v>
      </c>
      <c r="F37" t="s">
        <v>253</v>
      </c>
    </row>
    <row r="38" spans="1:11" x14ac:dyDescent="0.25">
      <c r="D38" t="s">
        <v>1232</v>
      </c>
      <c r="E38">
        <v>2457452.5234099999</v>
      </c>
      <c r="F38" t="s">
        <v>1237</v>
      </c>
      <c r="G38">
        <v>13.01</v>
      </c>
      <c r="H38">
        <v>2.5000000000000001E-2</v>
      </c>
      <c r="I38" t="s">
        <v>18</v>
      </c>
      <c r="J38" t="s">
        <v>252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1234</v>
      </c>
      <c r="B40" t="s">
        <v>1238</v>
      </c>
      <c r="C40" t="s">
        <v>67</v>
      </c>
      <c r="D40" t="s">
        <v>1236</v>
      </c>
      <c r="E40" t="s">
        <v>31</v>
      </c>
      <c r="F40" t="s">
        <v>253</v>
      </c>
    </row>
    <row r="41" spans="1:11" x14ac:dyDescent="0.25">
      <c r="D41" t="s">
        <v>1232</v>
      </c>
      <c r="E41">
        <v>2457439.5058900001</v>
      </c>
      <c r="F41" t="s">
        <v>1239</v>
      </c>
      <c r="G41">
        <v>12.99</v>
      </c>
      <c r="H41">
        <v>2.5999999999999999E-2</v>
      </c>
      <c r="I41" t="s">
        <v>18</v>
      </c>
      <c r="J41" t="s">
        <v>252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1234</v>
      </c>
      <c r="B43" t="s">
        <v>1240</v>
      </c>
      <c r="C43" t="s">
        <v>67</v>
      </c>
      <c r="D43" t="s">
        <v>1236</v>
      </c>
      <c r="E43" t="s">
        <v>31</v>
      </c>
      <c r="F43" t="s">
        <v>253</v>
      </c>
    </row>
    <row r="44" spans="1:11" x14ac:dyDescent="0.25">
      <c r="D44" t="s">
        <v>1232</v>
      </c>
      <c r="E44">
        <v>2457426.4991600001</v>
      </c>
      <c r="F44" t="s">
        <v>1241</v>
      </c>
      <c r="G44">
        <v>13.041</v>
      </c>
      <c r="H44">
        <v>1.7999999999999999E-2</v>
      </c>
      <c r="I44" t="s">
        <v>18</v>
      </c>
      <c r="J44" t="s">
        <v>252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1234</v>
      </c>
      <c r="B46" t="s">
        <v>1242</v>
      </c>
      <c r="C46" t="s">
        <v>67</v>
      </c>
      <c r="D46" t="s">
        <v>1236</v>
      </c>
      <c r="E46" t="s">
        <v>31</v>
      </c>
      <c r="F46" t="s">
        <v>253</v>
      </c>
    </row>
    <row r="47" spans="1:11" x14ac:dyDescent="0.25">
      <c r="D47" t="s">
        <v>1232</v>
      </c>
      <c r="E47">
        <v>2457413.6068500001</v>
      </c>
      <c r="F47" t="s">
        <v>1243</v>
      </c>
      <c r="G47">
        <v>13.045999999999999</v>
      </c>
      <c r="H47">
        <v>3.6999999999999998E-2</v>
      </c>
      <c r="I47" t="s">
        <v>18</v>
      </c>
      <c r="J47" t="s">
        <v>252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1234</v>
      </c>
      <c r="B49" t="s">
        <v>1244</v>
      </c>
      <c r="C49" t="s">
        <v>67</v>
      </c>
      <c r="D49" t="s">
        <v>1236</v>
      </c>
      <c r="E49" t="s">
        <v>31</v>
      </c>
      <c r="F49" t="s">
        <v>255</v>
      </c>
    </row>
    <row r="50" spans="1:11" x14ac:dyDescent="0.25">
      <c r="D50" t="s">
        <v>1232</v>
      </c>
      <c r="E50">
        <v>2457410.5843099998</v>
      </c>
      <c r="F50" t="s">
        <v>1245</v>
      </c>
      <c r="G50">
        <v>12.959</v>
      </c>
      <c r="H50">
        <v>2.4E-2</v>
      </c>
      <c r="I50" t="s">
        <v>18</v>
      </c>
      <c r="J50" t="s">
        <v>252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1234</v>
      </c>
      <c r="B52" t="s">
        <v>1246</v>
      </c>
      <c r="C52" t="s">
        <v>67</v>
      </c>
      <c r="D52" t="s">
        <v>1236</v>
      </c>
      <c r="E52" t="s">
        <v>31</v>
      </c>
      <c r="F52" t="s">
        <v>253</v>
      </c>
    </row>
    <row r="53" spans="1:11" x14ac:dyDescent="0.25">
      <c r="D53" t="s">
        <v>1232</v>
      </c>
      <c r="E53">
        <v>2457388.6690799999</v>
      </c>
      <c r="F53" t="s">
        <v>1247</v>
      </c>
      <c r="G53">
        <v>13.013999999999999</v>
      </c>
      <c r="H53">
        <v>4.4999999999999998E-2</v>
      </c>
      <c r="I53" t="s">
        <v>18</v>
      </c>
      <c r="J53" t="s">
        <v>252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1234</v>
      </c>
      <c r="B55" t="s">
        <v>1248</v>
      </c>
      <c r="C55" t="s">
        <v>67</v>
      </c>
      <c r="D55" t="s">
        <v>1236</v>
      </c>
      <c r="E55" t="s">
        <v>31</v>
      </c>
      <c r="F55" t="s">
        <v>253</v>
      </c>
    </row>
    <row r="56" spans="1:11" x14ac:dyDescent="0.25">
      <c r="D56" t="s">
        <v>1232</v>
      </c>
      <c r="E56">
        <v>2457371.5383199998</v>
      </c>
      <c r="F56" t="s">
        <v>1249</v>
      </c>
      <c r="G56">
        <v>12.98</v>
      </c>
      <c r="H56">
        <v>0.03</v>
      </c>
      <c r="I56" t="s">
        <v>18</v>
      </c>
      <c r="J56" t="s">
        <v>252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1234</v>
      </c>
      <c r="B58" t="s">
        <v>1250</v>
      </c>
      <c r="C58" t="s">
        <v>67</v>
      </c>
      <c r="D58" t="s">
        <v>1236</v>
      </c>
      <c r="E58" t="s">
        <v>31</v>
      </c>
      <c r="F58" t="s">
        <v>253</v>
      </c>
    </row>
    <row r="59" spans="1:11" x14ac:dyDescent="0.25">
      <c r="D59" t="s">
        <v>1232</v>
      </c>
      <c r="E59">
        <v>2457343.5150100002</v>
      </c>
      <c r="F59" t="s">
        <v>1251</v>
      </c>
      <c r="G59">
        <v>12.99</v>
      </c>
      <c r="H59">
        <v>0.02</v>
      </c>
      <c r="I59" t="s">
        <v>18</v>
      </c>
      <c r="J59" t="s">
        <v>252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1234</v>
      </c>
      <c r="B61" t="s">
        <v>1252</v>
      </c>
      <c r="C61" t="s">
        <v>67</v>
      </c>
      <c r="D61" t="s">
        <v>1236</v>
      </c>
      <c r="E61" t="s">
        <v>31</v>
      </c>
      <c r="F61" t="s">
        <v>253</v>
      </c>
    </row>
    <row r="62" spans="1:11" x14ac:dyDescent="0.25">
      <c r="D62" t="s">
        <v>1232</v>
      </c>
      <c r="E62">
        <v>2457330.48734</v>
      </c>
      <c r="F62" t="s">
        <v>1253</v>
      </c>
      <c r="G62">
        <v>12.99</v>
      </c>
      <c r="H62">
        <v>0.04</v>
      </c>
      <c r="I62" t="s">
        <v>18</v>
      </c>
      <c r="J62" t="s">
        <v>252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1234</v>
      </c>
      <c r="B64" t="s">
        <v>1248</v>
      </c>
      <c r="C64" t="s">
        <v>67</v>
      </c>
      <c r="D64" t="s">
        <v>1236</v>
      </c>
      <c r="E64" t="s">
        <v>31</v>
      </c>
      <c r="F64" t="s">
        <v>253</v>
      </c>
    </row>
    <row r="65" spans="1:11" x14ac:dyDescent="0.25">
      <c r="D65" t="s">
        <v>1232</v>
      </c>
      <c r="E65">
        <v>2457310.8948900001</v>
      </c>
      <c r="F65" t="s">
        <v>1254</v>
      </c>
      <c r="G65">
        <v>13</v>
      </c>
      <c r="H65">
        <v>0.03</v>
      </c>
      <c r="I65" t="s">
        <v>18</v>
      </c>
      <c r="J65" t="s">
        <v>252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1234</v>
      </c>
      <c r="B67" t="s">
        <v>1255</v>
      </c>
      <c r="C67" t="s">
        <v>67</v>
      </c>
      <c r="D67" t="s">
        <v>1236</v>
      </c>
      <c r="E67" t="s">
        <v>31</v>
      </c>
      <c r="F67" t="s">
        <v>253</v>
      </c>
    </row>
    <row r="68" spans="1:11" x14ac:dyDescent="0.25">
      <c r="D68" t="s">
        <v>1232</v>
      </c>
      <c r="E68">
        <v>2457084.5305699999</v>
      </c>
      <c r="F68" t="s">
        <v>1256</v>
      </c>
      <c r="G68">
        <v>13.114000000000001</v>
      </c>
      <c r="H68">
        <v>7.0000000000000001E-3</v>
      </c>
      <c r="I68" t="s">
        <v>18</v>
      </c>
      <c r="J68" t="s">
        <v>252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1257</v>
      </c>
      <c r="B70" t="s">
        <v>1258</v>
      </c>
      <c r="C70" t="s">
        <v>67</v>
      </c>
      <c r="D70" t="s">
        <v>1162</v>
      </c>
      <c r="E70" t="s">
        <v>31</v>
      </c>
      <c r="F70" t="s">
        <v>253</v>
      </c>
    </row>
    <row r="71" spans="1:11" x14ac:dyDescent="0.25">
      <c r="D71" t="s">
        <v>1232</v>
      </c>
      <c r="E71">
        <v>2457065.5114799999</v>
      </c>
      <c r="F71" t="s">
        <v>1259</v>
      </c>
      <c r="G71">
        <v>13.09</v>
      </c>
      <c r="H71">
        <v>0.01</v>
      </c>
      <c r="I71" t="s">
        <v>18</v>
      </c>
      <c r="J71" t="s">
        <v>252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1257</v>
      </c>
      <c r="B73" t="s">
        <v>1260</v>
      </c>
      <c r="C73" t="s">
        <v>67</v>
      </c>
      <c r="D73" t="s">
        <v>1162</v>
      </c>
      <c r="E73" t="s">
        <v>31</v>
      </c>
      <c r="F73" t="s">
        <v>253</v>
      </c>
    </row>
    <row r="74" spans="1:11" x14ac:dyDescent="0.25">
      <c r="D74" t="s">
        <v>1232</v>
      </c>
      <c r="E74">
        <v>2457052.4948</v>
      </c>
      <c r="F74" t="s">
        <v>1261</v>
      </c>
      <c r="G74">
        <v>13.09</v>
      </c>
      <c r="H74">
        <v>0.01</v>
      </c>
      <c r="I74" t="s">
        <v>18</v>
      </c>
      <c r="J74" t="s">
        <v>252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1257</v>
      </c>
      <c r="B76" t="s">
        <v>1262</v>
      </c>
      <c r="C76" t="s">
        <v>67</v>
      </c>
      <c r="D76" t="s">
        <v>1162</v>
      </c>
      <c r="E76" t="s">
        <v>31</v>
      </c>
      <c r="F76" t="s">
        <v>253</v>
      </c>
    </row>
    <row r="77" spans="1:11" x14ac:dyDescent="0.25">
      <c r="D77" t="s">
        <v>1232</v>
      </c>
      <c r="E77">
        <v>2457028.5539600002</v>
      </c>
      <c r="F77" t="s">
        <v>1263</v>
      </c>
      <c r="G77">
        <v>13.106999999999999</v>
      </c>
      <c r="H77">
        <v>6.0000000000000001E-3</v>
      </c>
      <c r="I77" t="s">
        <v>18</v>
      </c>
      <c r="J77" t="s">
        <v>252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1257</v>
      </c>
      <c r="B79" t="s">
        <v>1264</v>
      </c>
      <c r="C79" t="s">
        <v>67</v>
      </c>
      <c r="D79" t="s">
        <v>1162</v>
      </c>
      <c r="E79" t="s">
        <v>31</v>
      </c>
      <c r="F79" t="s">
        <v>253</v>
      </c>
    </row>
    <row r="80" spans="1:11" x14ac:dyDescent="0.25">
      <c r="D80" t="s">
        <v>1232</v>
      </c>
      <c r="E80">
        <v>2457007.4781200001</v>
      </c>
      <c r="F80" t="s">
        <v>1265</v>
      </c>
      <c r="G80">
        <v>13.1</v>
      </c>
      <c r="H80">
        <v>0.01</v>
      </c>
      <c r="I80" t="s">
        <v>18</v>
      </c>
      <c r="J80" t="s">
        <v>252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1257</v>
      </c>
      <c r="B82" t="s">
        <v>1266</v>
      </c>
      <c r="C82" t="s">
        <v>67</v>
      </c>
      <c r="D82" t="s">
        <v>1162</v>
      </c>
      <c r="E82" t="s">
        <v>31</v>
      </c>
      <c r="F82" t="s">
        <v>253</v>
      </c>
    </row>
    <row r="83" spans="1:11" x14ac:dyDescent="0.25">
      <c r="D83" t="s">
        <v>1232</v>
      </c>
      <c r="E83">
        <v>2456994.53657</v>
      </c>
      <c r="F83" t="s">
        <v>1267</v>
      </c>
      <c r="G83">
        <v>13.1</v>
      </c>
      <c r="H83">
        <v>0.01</v>
      </c>
      <c r="I83" t="s">
        <v>18</v>
      </c>
      <c r="J83" t="s">
        <v>252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1257</v>
      </c>
      <c r="B85" t="s">
        <v>1268</v>
      </c>
      <c r="C85" t="s">
        <v>67</v>
      </c>
      <c r="D85" t="s">
        <v>1162</v>
      </c>
      <c r="E85" t="s">
        <v>31</v>
      </c>
      <c r="F85" t="s">
        <v>253</v>
      </c>
    </row>
    <row r="86" spans="1:11" x14ac:dyDescent="0.25">
      <c r="D86" t="s">
        <v>1232</v>
      </c>
      <c r="E86">
        <v>2456980.5557499998</v>
      </c>
      <c r="F86" t="s">
        <v>1269</v>
      </c>
      <c r="G86">
        <v>13.103999999999999</v>
      </c>
      <c r="H86">
        <v>5.0000000000000001E-3</v>
      </c>
      <c r="I86" t="s">
        <v>18</v>
      </c>
      <c r="J86" t="s">
        <v>252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1257</v>
      </c>
      <c r="B88" t="s">
        <v>1270</v>
      </c>
      <c r="C88" t="s">
        <v>67</v>
      </c>
      <c r="D88" t="s">
        <v>1162</v>
      </c>
      <c r="E88" t="s">
        <v>31</v>
      </c>
      <c r="F88" t="s">
        <v>253</v>
      </c>
    </row>
    <row r="89" spans="1:11" x14ac:dyDescent="0.25">
      <c r="D89" t="s">
        <v>1232</v>
      </c>
      <c r="E89">
        <v>2456967.6333499998</v>
      </c>
      <c r="F89" t="s">
        <v>1271</v>
      </c>
      <c r="G89">
        <v>13.11</v>
      </c>
      <c r="H89">
        <v>0.01</v>
      </c>
      <c r="I89" t="s">
        <v>18</v>
      </c>
      <c r="J89" t="s">
        <v>252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1257</v>
      </c>
      <c r="B91" t="s">
        <v>1270</v>
      </c>
      <c r="C91" t="s">
        <v>67</v>
      </c>
      <c r="D91" t="s">
        <v>1162</v>
      </c>
      <c r="E91" t="s">
        <v>31</v>
      </c>
      <c r="F91" t="s">
        <v>253</v>
      </c>
    </row>
    <row r="92" spans="1:11" x14ac:dyDescent="0.25">
      <c r="A92" t="s">
        <v>2751</v>
      </c>
    </row>
  </sheetData>
  <hyperlinks>
    <hyperlink ref="L1" r:id="rId1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8"/>
  <dimension ref="A1:Q92"/>
  <sheetViews>
    <sheetView workbookViewId="0">
      <selection sqref="A1:XFD1048576"/>
    </sheetView>
  </sheetViews>
  <sheetFormatPr baseColWidth="10" defaultRowHeight="15" x14ac:dyDescent="0.25"/>
  <cols>
    <col min="1" max="2" width="18.85546875" customWidth="1"/>
    <col min="3" max="3" width="12.28515625" bestFit="1" customWidth="1"/>
    <col min="4" max="4" width="10.42578125" customWidth="1"/>
    <col min="5" max="5" width="15.5703125" bestFit="1" customWidth="1"/>
    <col min="6" max="6" width="38.28515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530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1991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531</v>
      </c>
      <c r="E17">
        <v>2457561.7055600001</v>
      </c>
      <c r="F17" t="s">
        <v>1992</v>
      </c>
      <c r="G17">
        <v>12.548</v>
      </c>
      <c r="H17">
        <v>8.9999999999999993E-3</v>
      </c>
      <c r="I17" t="s">
        <v>18</v>
      </c>
      <c r="J17" t="s">
        <v>252</v>
      </c>
      <c r="K17" t="s">
        <v>20</v>
      </c>
      <c r="M17" t="str">
        <f>+I17</f>
        <v>V</v>
      </c>
      <c r="N17">
        <f>+G17</f>
        <v>12.548</v>
      </c>
      <c r="O17" t="str">
        <f>+J17</f>
        <v>DKS</v>
      </c>
      <c r="P17">
        <f>+E17</f>
        <v>2457561.7055600001</v>
      </c>
      <c r="Q17" t="str">
        <f>+F17</f>
        <v>2016 Jun. 22.20556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12.545</v>
      </c>
      <c r="O18" t="str">
        <f>+J20</f>
        <v>DKS</v>
      </c>
      <c r="P18">
        <f>+E20</f>
        <v>2457560.5938900001</v>
      </c>
      <c r="Q18" t="str">
        <f>+F20</f>
        <v>2016 Jun. 21.09389</v>
      </c>
    </row>
    <row r="19" spans="1:17" x14ac:dyDescent="0.25">
      <c r="A19" t="s">
        <v>533</v>
      </c>
      <c r="B19" t="s">
        <v>1993</v>
      </c>
      <c r="C19" t="s">
        <v>67</v>
      </c>
      <c r="D19" t="s">
        <v>535</v>
      </c>
      <c r="E19" t="s">
        <v>31</v>
      </c>
      <c r="F19" t="s">
        <v>253</v>
      </c>
      <c r="M19" t="str">
        <f>+I23</f>
        <v>V</v>
      </c>
      <c r="N19">
        <f>+G23</f>
        <v>12.333</v>
      </c>
      <c r="O19" t="str">
        <f>+J23</f>
        <v>DKS</v>
      </c>
      <c r="P19">
        <f>+E23</f>
        <v>2457530.6088999999</v>
      </c>
      <c r="Q19" t="str">
        <f>+F23</f>
        <v>2016 May. 22.10890</v>
      </c>
    </row>
    <row r="20" spans="1:17" x14ac:dyDescent="0.25">
      <c r="D20" t="s">
        <v>531</v>
      </c>
      <c r="E20">
        <v>2457560.5938900001</v>
      </c>
      <c r="F20" t="s">
        <v>1994</v>
      </c>
      <c r="G20">
        <v>12.545</v>
      </c>
      <c r="H20">
        <v>8.0000000000000002E-3</v>
      </c>
      <c r="I20" t="s">
        <v>18</v>
      </c>
      <c r="J20" t="s">
        <v>252</v>
      </c>
      <c r="K20" t="s">
        <v>20</v>
      </c>
      <c r="M20" t="str">
        <f>+I26</f>
        <v>V</v>
      </c>
      <c r="N20">
        <f>+G26</f>
        <v>12.122</v>
      </c>
      <c r="O20" t="str">
        <f>+J26</f>
        <v>DKS</v>
      </c>
      <c r="P20">
        <f>+E26</f>
        <v>2457516.8204000001</v>
      </c>
      <c r="Q20" t="str">
        <f>+F26</f>
        <v>2016 May. 08.32040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12.089</v>
      </c>
      <c r="O21" t="str">
        <f>+J29</f>
        <v>DKS</v>
      </c>
      <c r="P21">
        <f>+E29</f>
        <v>2457505.7882300001</v>
      </c>
      <c r="Q21" t="str">
        <f>+F29</f>
        <v>2016 Apr. 27.28823</v>
      </c>
    </row>
    <row r="22" spans="1:17" x14ac:dyDescent="0.25">
      <c r="A22" t="s">
        <v>533</v>
      </c>
      <c r="B22" t="s">
        <v>565</v>
      </c>
      <c r="C22" t="s">
        <v>67</v>
      </c>
      <c r="D22" t="s">
        <v>535</v>
      </c>
      <c r="E22" t="s">
        <v>31</v>
      </c>
      <c r="F22" t="s">
        <v>253</v>
      </c>
      <c r="M22" t="str">
        <f>+I32</f>
        <v>V</v>
      </c>
      <c r="N22">
        <f>+G32</f>
        <v>12.018000000000001</v>
      </c>
      <c r="O22" t="str">
        <f>+J32</f>
        <v>DKS</v>
      </c>
      <c r="P22">
        <f>+E32</f>
        <v>2457488.7573600002</v>
      </c>
      <c r="Q22" t="str">
        <f>+F32</f>
        <v>2016 Apr. 10.25736</v>
      </c>
    </row>
    <row r="23" spans="1:17" x14ac:dyDescent="0.25">
      <c r="D23" t="s">
        <v>531</v>
      </c>
      <c r="E23">
        <v>2457530.6088999999</v>
      </c>
      <c r="F23" t="s">
        <v>532</v>
      </c>
      <c r="G23">
        <v>12.333</v>
      </c>
      <c r="H23">
        <v>1.6E-2</v>
      </c>
      <c r="I23" t="s">
        <v>18</v>
      </c>
      <c r="J23" t="s">
        <v>252</v>
      </c>
      <c r="K23" t="s">
        <v>20</v>
      </c>
      <c r="M23" t="str">
        <f>+I35</f>
        <v>V</v>
      </c>
      <c r="N23">
        <f>+G35</f>
        <v>12.090999999999999</v>
      </c>
      <c r="O23" t="str">
        <f>+J35</f>
        <v>DKS</v>
      </c>
      <c r="P23">
        <f>+E35</f>
        <v>2457484.7657699999</v>
      </c>
      <c r="Q23" t="str">
        <f>+F35</f>
        <v>2016 Apr. 06.26577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12.301</v>
      </c>
      <c r="O24" t="str">
        <f>+J38</f>
        <v>DKS</v>
      </c>
      <c r="P24">
        <f>+E38</f>
        <v>2457470.9095000001</v>
      </c>
      <c r="Q24" t="str">
        <f>+F38</f>
        <v>2016 Mar. 23.40950</v>
      </c>
    </row>
    <row r="25" spans="1:17" x14ac:dyDescent="0.25">
      <c r="A25" t="s">
        <v>533</v>
      </c>
      <c r="B25" t="s">
        <v>534</v>
      </c>
      <c r="C25" t="s">
        <v>67</v>
      </c>
      <c r="D25" t="s">
        <v>535</v>
      </c>
      <c r="E25" t="s">
        <v>31</v>
      </c>
      <c r="F25" t="s">
        <v>253</v>
      </c>
      <c r="M25" t="str">
        <f>+I41</f>
        <v>V</v>
      </c>
      <c r="N25">
        <f>+G41</f>
        <v>12.291</v>
      </c>
      <c r="O25" t="str">
        <f>+J41</f>
        <v>CMP</v>
      </c>
      <c r="P25">
        <f>+E41</f>
        <v>2457470.8381699999</v>
      </c>
      <c r="Q25" t="str">
        <f>+F41</f>
        <v>2016 Mar. 23.33817</v>
      </c>
    </row>
    <row r="26" spans="1:17" x14ac:dyDescent="0.25">
      <c r="D26" t="s">
        <v>531</v>
      </c>
      <c r="E26">
        <v>2457516.8204000001</v>
      </c>
      <c r="F26" t="s">
        <v>536</v>
      </c>
      <c r="G26">
        <v>12.122</v>
      </c>
      <c r="H26">
        <v>8.0000000000000002E-3</v>
      </c>
      <c r="I26" t="s">
        <v>18</v>
      </c>
      <c r="J26" t="s">
        <v>252</v>
      </c>
      <c r="K26" t="s">
        <v>20</v>
      </c>
      <c r="M26" t="str">
        <f>+I44</f>
        <v>V</v>
      </c>
      <c r="N26">
        <f>+G44</f>
        <v>12.292</v>
      </c>
      <c r="O26" t="str">
        <f>+J44</f>
        <v>CMP</v>
      </c>
      <c r="P26">
        <f>+E44</f>
        <v>2457468.8602800001</v>
      </c>
      <c r="Q26" t="str">
        <f>+F44</f>
        <v>2016 Mar. 21.36028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533</v>
      </c>
      <c r="B28" t="s">
        <v>537</v>
      </c>
      <c r="C28" t="s">
        <v>67</v>
      </c>
      <c r="D28" t="s">
        <v>535</v>
      </c>
      <c r="E28" t="s">
        <v>31</v>
      </c>
      <c r="F28" t="s">
        <v>253</v>
      </c>
    </row>
    <row r="29" spans="1:17" x14ac:dyDescent="0.25">
      <c r="D29" t="s">
        <v>531</v>
      </c>
      <c r="E29">
        <v>2457505.7882300001</v>
      </c>
      <c r="F29" t="s">
        <v>538</v>
      </c>
      <c r="G29">
        <v>12.089</v>
      </c>
      <c r="H29">
        <v>0.01</v>
      </c>
      <c r="I29" t="s">
        <v>18</v>
      </c>
      <c r="J29" t="s">
        <v>252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533</v>
      </c>
      <c r="B31" t="s">
        <v>539</v>
      </c>
      <c r="C31" t="s">
        <v>67</v>
      </c>
      <c r="D31" t="s">
        <v>535</v>
      </c>
      <c r="E31" t="s">
        <v>31</v>
      </c>
      <c r="F31" t="s">
        <v>253</v>
      </c>
    </row>
    <row r="32" spans="1:17" x14ac:dyDescent="0.25">
      <c r="D32" t="s">
        <v>531</v>
      </c>
      <c r="E32">
        <v>2457488.7573600002</v>
      </c>
      <c r="F32" t="s">
        <v>540</v>
      </c>
      <c r="G32">
        <v>12.018000000000001</v>
      </c>
      <c r="H32">
        <v>1.7999999999999999E-2</v>
      </c>
      <c r="I32" t="s">
        <v>18</v>
      </c>
      <c r="J32" t="s">
        <v>252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533</v>
      </c>
      <c r="B34" t="s">
        <v>541</v>
      </c>
      <c r="C34" t="s">
        <v>67</v>
      </c>
      <c r="D34" t="s">
        <v>535</v>
      </c>
      <c r="E34" t="s">
        <v>31</v>
      </c>
      <c r="F34" t="s">
        <v>255</v>
      </c>
    </row>
    <row r="35" spans="1:11" x14ac:dyDescent="0.25">
      <c r="D35" t="s">
        <v>531</v>
      </c>
      <c r="E35">
        <v>2457484.7657699999</v>
      </c>
      <c r="F35" t="s">
        <v>542</v>
      </c>
      <c r="G35">
        <v>12.090999999999999</v>
      </c>
      <c r="H35">
        <v>8.0000000000000002E-3</v>
      </c>
      <c r="I35" t="s">
        <v>18</v>
      </c>
      <c r="J35" t="s">
        <v>252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533</v>
      </c>
      <c r="B37" t="s">
        <v>543</v>
      </c>
      <c r="C37" t="s">
        <v>67</v>
      </c>
      <c r="D37" t="s">
        <v>535</v>
      </c>
      <c r="E37" t="s">
        <v>31</v>
      </c>
      <c r="F37" t="s">
        <v>253</v>
      </c>
    </row>
    <row r="38" spans="1:11" x14ac:dyDescent="0.25">
      <c r="D38" t="s">
        <v>531</v>
      </c>
      <c r="E38">
        <v>2457470.9095000001</v>
      </c>
      <c r="F38" t="s">
        <v>544</v>
      </c>
      <c r="G38">
        <v>12.301</v>
      </c>
      <c r="H38">
        <v>8.9999999999999993E-3</v>
      </c>
      <c r="I38" t="s">
        <v>18</v>
      </c>
      <c r="J38" t="s">
        <v>252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533</v>
      </c>
      <c r="B40" t="s">
        <v>545</v>
      </c>
      <c r="C40" t="s">
        <v>67</v>
      </c>
      <c r="D40" t="s">
        <v>535</v>
      </c>
      <c r="E40" t="s">
        <v>31</v>
      </c>
      <c r="F40" t="s">
        <v>255</v>
      </c>
    </row>
    <row r="41" spans="1:11" x14ac:dyDescent="0.25">
      <c r="D41" t="s">
        <v>546</v>
      </c>
      <c r="E41">
        <v>2457470.8381699999</v>
      </c>
      <c r="F41" t="s">
        <v>547</v>
      </c>
      <c r="G41">
        <v>12.291</v>
      </c>
      <c r="H41">
        <v>2.5999999999999999E-2</v>
      </c>
      <c r="I41" t="s">
        <v>18</v>
      </c>
      <c r="J41" t="s">
        <v>377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548</v>
      </c>
      <c r="B43" t="s">
        <v>549</v>
      </c>
      <c r="C43" t="s">
        <v>67</v>
      </c>
      <c r="D43" t="s">
        <v>550</v>
      </c>
      <c r="E43" t="s">
        <v>31</v>
      </c>
      <c r="F43" t="s">
        <v>31</v>
      </c>
    </row>
    <row r="44" spans="1:11" x14ac:dyDescent="0.25">
      <c r="D44" t="s">
        <v>546</v>
      </c>
      <c r="E44">
        <v>2457468.8602800001</v>
      </c>
      <c r="F44" t="s">
        <v>551</v>
      </c>
      <c r="G44">
        <v>12.292</v>
      </c>
      <c r="H44">
        <v>5.0000000000000001E-3</v>
      </c>
      <c r="I44" t="s">
        <v>18</v>
      </c>
      <c r="J44" t="s">
        <v>377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552</v>
      </c>
      <c r="B46" t="s">
        <v>553</v>
      </c>
      <c r="C46" t="s">
        <v>67</v>
      </c>
      <c r="D46" t="s">
        <v>554</v>
      </c>
      <c r="E46" t="s">
        <v>31</v>
      </c>
      <c r="F46" t="s">
        <v>31</v>
      </c>
    </row>
    <row r="47" spans="1:11" x14ac:dyDescent="0.25">
      <c r="D47" t="s">
        <v>531</v>
      </c>
      <c r="E47">
        <v>2457452.8234600001</v>
      </c>
      <c r="F47" t="s">
        <v>555</v>
      </c>
      <c r="G47">
        <v>12.538</v>
      </c>
      <c r="H47">
        <v>1.4999999999999999E-2</v>
      </c>
      <c r="I47" t="s">
        <v>18</v>
      </c>
      <c r="J47" t="s">
        <v>252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533</v>
      </c>
      <c r="B49" t="s">
        <v>545</v>
      </c>
      <c r="C49" t="s">
        <v>67</v>
      </c>
      <c r="D49" t="s">
        <v>535</v>
      </c>
      <c r="E49" t="s">
        <v>31</v>
      </c>
      <c r="F49" t="s">
        <v>253</v>
      </c>
    </row>
    <row r="50" spans="1:11" x14ac:dyDescent="0.25">
      <c r="D50" t="s">
        <v>531</v>
      </c>
      <c r="E50">
        <v>2457442.9030200001</v>
      </c>
      <c r="F50" t="s">
        <v>556</v>
      </c>
      <c r="G50">
        <v>12.701000000000001</v>
      </c>
      <c r="H50">
        <v>1.7000000000000001E-2</v>
      </c>
      <c r="I50" t="s">
        <v>18</v>
      </c>
      <c r="J50" t="s">
        <v>252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533</v>
      </c>
      <c r="B52" t="s">
        <v>557</v>
      </c>
      <c r="C52" t="s">
        <v>67</v>
      </c>
      <c r="D52" t="s">
        <v>535</v>
      </c>
      <c r="E52" t="s">
        <v>31</v>
      </c>
      <c r="F52" t="s">
        <v>255</v>
      </c>
    </row>
    <row r="53" spans="1:11" x14ac:dyDescent="0.25">
      <c r="D53" t="s">
        <v>531</v>
      </c>
      <c r="E53">
        <v>2457411.9376300001</v>
      </c>
      <c r="F53" t="s">
        <v>558</v>
      </c>
      <c r="G53">
        <v>12.516</v>
      </c>
      <c r="H53">
        <v>1.2999999999999999E-2</v>
      </c>
      <c r="I53" t="s">
        <v>18</v>
      </c>
      <c r="J53" t="s">
        <v>252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533</v>
      </c>
      <c r="B55" t="s">
        <v>559</v>
      </c>
      <c r="C55" t="s">
        <v>67</v>
      </c>
      <c r="D55" t="s">
        <v>535</v>
      </c>
      <c r="E55" t="s">
        <v>31</v>
      </c>
      <c r="F55" t="s">
        <v>253</v>
      </c>
    </row>
    <row r="56" spans="1:11" x14ac:dyDescent="0.25">
      <c r="D56" t="s">
        <v>531</v>
      </c>
      <c r="E56">
        <v>2457407.9542999999</v>
      </c>
      <c r="F56" t="s">
        <v>560</v>
      </c>
      <c r="G56">
        <v>12.488</v>
      </c>
      <c r="H56">
        <v>1.6E-2</v>
      </c>
      <c r="I56" t="s">
        <v>18</v>
      </c>
      <c r="J56" t="s">
        <v>252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533</v>
      </c>
      <c r="B58" t="s">
        <v>561</v>
      </c>
      <c r="C58" t="s">
        <v>67</v>
      </c>
      <c r="D58" t="s">
        <v>535</v>
      </c>
      <c r="E58" t="s">
        <v>31</v>
      </c>
      <c r="F58" t="s">
        <v>253</v>
      </c>
    </row>
    <row r="59" spans="1:11" x14ac:dyDescent="0.25">
      <c r="D59" t="s">
        <v>531</v>
      </c>
      <c r="E59">
        <v>2457399.96863</v>
      </c>
      <c r="F59" t="s">
        <v>562</v>
      </c>
      <c r="G59">
        <v>12.41</v>
      </c>
      <c r="H59">
        <v>0.02</v>
      </c>
      <c r="I59" t="s">
        <v>18</v>
      </c>
      <c r="J59" t="s">
        <v>252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533</v>
      </c>
      <c r="B61" t="s">
        <v>563</v>
      </c>
      <c r="C61" t="s">
        <v>67</v>
      </c>
      <c r="D61" t="s">
        <v>535</v>
      </c>
      <c r="E61" t="s">
        <v>31</v>
      </c>
      <c r="F61" t="s">
        <v>253</v>
      </c>
    </row>
    <row r="62" spans="1:11" x14ac:dyDescent="0.25">
      <c r="D62" t="s">
        <v>531</v>
      </c>
      <c r="E62">
        <v>2457328.50679</v>
      </c>
      <c r="F62" t="s">
        <v>564</v>
      </c>
      <c r="G62">
        <v>12.33</v>
      </c>
      <c r="H62">
        <v>0.01</v>
      </c>
      <c r="I62" t="s">
        <v>18</v>
      </c>
      <c r="J62" t="s">
        <v>252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533</v>
      </c>
      <c r="B64" t="s">
        <v>565</v>
      </c>
      <c r="C64" t="s">
        <v>67</v>
      </c>
      <c r="D64" t="s">
        <v>535</v>
      </c>
      <c r="E64" t="s">
        <v>31</v>
      </c>
      <c r="F64" t="s">
        <v>255</v>
      </c>
    </row>
    <row r="65" spans="1:11" x14ac:dyDescent="0.25">
      <c r="D65" t="s">
        <v>531</v>
      </c>
      <c r="E65">
        <v>2457170.8907099999</v>
      </c>
      <c r="F65" t="s">
        <v>566</v>
      </c>
      <c r="G65">
        <v>12.39</v>
      </c>
      <c r="H65">
        <v>0.01</v>
      </c>
      <c r="I65" t="s">
        <v>18</v>
      </c>
      <c r="J65" t="s">
        <v>252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533</v>
      </c>
      <c r="B67" t="s">
        <v>545</v>
      </c>
      <c r="C67" t="s">
        <v>67</v>
      </c>
      <c r="D67" t="s">
        <v>535</v>
      </c>
      <c r="E67" t="s">
        <v>31</v>
      </c>
      <c r="F67" t="s">
        <v>253</v>
      </c>
    </row>
    <row r="68" spans="1:11" x14ac:dyDescent="0.25">
      <c r="D68" t="s">
        <v>531</v>
      </c>
      <c r="E68">
        <v>2457157.67949</v>
      </c>
      <c r="F68" t="s">
        <v>567</v>
      </c>
      <c r="G68">
        <v>12.59</v>
      </c>
      <c r="H68">
        <v>0.02</v>
      </c>
      <c r="I68" t="s">
        <v>18</v>
      </c>
      <c r="J68" t="s">
        <v>252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533</v>
      </c>
      <c r="B70" t="s">
        <v>568</v>
      </c>
      <c r="C70" t="s">
        <v>67</v>
      </c>
      <c r="D70" t="s">
        <v>535</v>
      </c>
      <c r="E70" t="s">
        <v>31</v>
      </c>
      <c r="F70" t="s">
        <v>253</v>
      </c>
    </row>
    <row r="71" spans="1:11" x14ac:dyDescent="0.25">
      <c r="D71" t="s">
        <v>531</v>
      </c>
      <c r="E71">
        <v>2457146.90815</v>
      </c>
      <c r="F71" t="s">
        <v>569</v>
      </c>
      <c r="G71">
        <v>12.52</v>
      </c>
      <c r="H71">
        <v>0.01</v>
      </c>
      <c r="I71" t="s">
        <v>18</v>
      </c>
      <c r="J71" t="s">
        <v>252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533</v>
      </c>
      <c r="B73" t="s">
        <v>570</v>
      </c>
      <c r="C73" t="s">
        <v>67</v>
      </c>
      <c r="D73" t="s">
        <v>535</v>
      </c>
      <c r="E73" t="s">
        <v>31</v>
      </c>
      <c r="F73" t="s">
        <v>255</v>
      </c>
    </row>
    <row r="74" spans="1:11" x14ac:dyDescent="0.25">
      <c r="D74" t="s">
        <v>531</v>
      </c>
      <c r="E74">
        <v>2457113.9111100002</v>
      </c>
      <c r="F74" t="s">
        <v>571</v>
      </c>
      <c r="G74">
        <v>12.036</v>
      </c>
      <c r="H74">
        <v>8.0000000000000002E-3</v>
      </c>
      <c r="I74" t="s">
        <v>18</v>
      </c>
      <c r="J74" t="s">
        <v>252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533</v>
      </c>
      <c r="B76" t="s">
        <v>572</v>
      </c>
      <c r="C76" t="s">
        <v>67</v>
      </c>
      <c r="D76" t="s">
        <v>535</v>
      </c>
      <c r="E76" t="s">
        <v>31</v>
      </c>
      <c r="F76" t="s">
        <v>253</v>
      </c>
    </row>
    <row r="77" spans="1:11" x14ac:dyDescent="0.25">
      <c r="D77" t="s">
        <v>531</v>
      </c>
      <c r="E77">
        <v>2457110.7951099998</v>
      </c>
      <c r="F77" t="s">
        <v>573</v>
      </c>
      <c r="G77">
        <v>11.987</v>
      </c>
      <c r="H77">
        <v>6.0000000000000001E-3</v>
      </c>
      <c r="I77" t="s">
        <v>18</v>
      </c>
      <c r="J77" t="s">
        <v>252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533</v>
      </c>
      <c r="B79" t="s">
        <v>574</v>
      </c>
      <c r="C79" t="s">
        <v>67</v>
      </c>
      <c r="D79" t="s">
        <v>535</v>
      </c>
      <c r="E79" t="s">
        <v>31</v>
      </c>
      <c r="F79" t="s">
        <v>253</v>
      </c>
    </row>
    <row r="80" spans="1:11" x14ac:dyDescent="0.25">
      <c r="D80" t="s">
        <v>531</v>
      </c>
      <c r="E80">
        <v>2457090.8342300002</v>
      </c>
      <c r="F80" t="s">
        <v>575</v>
      </c>
      <c r="G80">
        <v>12.25</v>
      </c>
      <c r="H80">
        <v>0.01</v>
      </c>
      <c r="I80" t="s">
        <v>18</v>
      </c>
      <c r="J80" t="s">
        <v>252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533</v>
      </c>
      <c r="B82" t="s">
        <v>576</v>
      </c>
      <c r="C82" t="s">
        <v>67</v>
      </c>
      <c r="D82" t="s">
        <v>577</v>
      </c>
      <c r="E82" t="s">
        <v>31</v>
      </c>
      <c r="F82" t="s">
        <v>253</v>
      </c>
    </row>
    <row r="83" spans="1:11" x14ac:dyDescent="0.25">
      <c r="D83" t="s">
        <v>531</v>
      </c>
      <c r="E83">
        <v>2457067.9071200001</v>
      </c>
      <c r="F83" t="s">
        <v>578</v>
      </c>
      <c r="G83">
        <v>12.63</v>
      </c>
      <c r="H83">
        <v>0.01</v>
      </c>
      <c r="I83" t="s">
        <v>18</v>
      </c>
      <c r="J83" t="s">
        <v>252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533</v>
      </c>
      <c r="B85" t="s">
        <v>568</v>
      </c>
      <c r="C85" t="s">
        <v>67</v>
      </c>
      <c r="D85" t="s">
        <v>577</v>
      </c>
      <c r="E85" t="s">
        <v>31</v>
      </c>
      <c r="F85" t="s">
        <v>253</v>
      </c>
    </row>
    <row r="86" spans="1:11" x14ac:dyDescent="0.25">
      <c r="D86" t="s">
        <v>531</v>
      </c>
      <c r="E86">
        <v>2457060.8947999999</v>
      </c>
      <c r="F86" t="s">
        <v>579</v>
      </c>
      <c r="G86">
        <v>12.61</v>
      </c>
      <c r="H86">
        <v>0.02</v>
      </c>
      <c r="I86" t="s">
        <v>18</v>
      </c>
      <c r="J86" t="s">
        <v>252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533</v>
      </c>
      <c r="B88" t="s">
        <v>580</v>
      </c>
      <c r="C88" t="s">
        <v>67</v>
      </c>
      <c r="D88" t="s">
        <v>577</v>
      </c>
      <c r="E88" t="s">
        <v>31</v>
      </c>
      <c r="F88" t="s">
        <v>253</v>
      </c>
    </row>
    <row r="89" spans="1:11" x14ac:dyDescent="0.25">
      <c r="D89" t="s">
        <v>531</v>
      </c>
      <c r="E89">
        <v>2457049.9739199998</v>
      </c>
      <c r="F89" t="s">
        <v>581</v>
      </c>
      <c r="G89">
        <v>12.356</v>
      </c>
      <c r="H89">
        <v>8.9999999999999993E-3</v>
      </c>
      <c r="I89" t="s">
        <v>18</v>
      </c>
      <c r="J89" t="s">
        <v>252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533</v>
      </c>
      <c r="B91" t="s">
        <v>582</v>
      </c>
      <c r="C91" t="s">
        <v>67</v>
      </c>
      <c r="D91" t="s">
        <v>577</v>
      </c>
      <c r="E91" t="s">
        <v>31</v>
      </c>
      <c r="F91" t="s">
        <v>253</v>
      </c>
    </row>
    <row r="92" spans="1:11" x14ac:dyDescent="0.25">
      <c r="A92" t="s">
        <v>583</v>
      </c>
    </row>
  </sheetData>
  <hyperlinks>
    <hyperlink ref="L1" r:id="rId1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9"/>
  <dimension ref="A1:Q92"/>
  <sheetViews>
    <sheetView workbookViewId="0">
      <selection sqref="A1:XFD1048576"/>
    </sheetView>
  </sheetViews>
  <sheetFormatPr baseColWidth="10" defaultRowHeight="15" x14ac:dyDescent="0.25"/>
  <cols>
    <col min="1" max="1" width="10.140625" customWidth="1"/>
    <col min="2" max="2" width="11.42578125" customWidth="1"/>
    <col min="3" max="3" width="12.28515625" bestFit="1" customWidth="1"/>
    <col min="4" max="4" width="17.28515625" customWidth="1"/>
    <col min="5" max="5" width="15.5703125" bestFit="1" customWidth="1"/>
    <col min="6" max="6" width="17.710937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1164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2752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1165</v>
      </c>
      <c r="E17">
        <v>2457698.3840899998</v>
      </c>
      <c r="F17" t="s">
        <v>2753</v>
      </c>
      <c r="G17">
        <v>12.677</v>
      </c>
      <c r="H17">
        <v>5.0000000000000001E-3</v>
      </c>
      <c r="I17" t="s">
        <v>18</v>
      </c>
      <c r="J17" t="s">
        <v>19</v>
      </c>
      <c r="K17" t="s">
        <v>20</v>
      </c>
      <c r="M17" t="str">
        <f>+I17</f>
        <v>V</v>
      </c>
      <c r="N17">
        <f>+G17</f>
        <v>12.677</v>
      </c>
      <c r="O17" t="str">
        <f>+J17</f>
        <v>BDG</v>
      </c>
      <c r="P17">
        <f>+E17</f>
        <v>2457698.3840899998</v>
      </c>
      <c r="Q17" t="str">
        <f>+F17</f>
        <v>2016 Nov. 05.88409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B</v>
      </c>
      <c r="N18">
        <f>+G20</f>
        <v>15.483000000000001</v>
      </c>
      <c r="O18" t="str">
        <f>+J20</f>
        <v>BDG</v>
      </c>
      <c r="P18">
        <f>+E20</f>
        <v>2457698.3835200001</v>
      </c>
      <c r="Q18" t="str">
        <f>+F20</f>
        <v>2016 Nov. 05.88352</v>
      </c>
    </row>
    <row r="19" spans="1:17" x14ac:dyDescent="0.25">
      <c r="A19" t="s">
        <v>27</v>
      </c>
      <c r="B19" t="s">
        <v>2754</v>
      </c>
      <c r="C19" t="s">
        <v>29</v>
      </c>
      <c r="D19" t="s">
        <v>1168</v>
      </c>
      <c r="E19" t="s">
        <v>31</v>
      </c>
      <c r="F19" t="s">
        <v>1064</v>
      </c>
      <c r="M19" t="str">
        <f>+I23</f>
        <v>V</v>
      </c>
      <c r="N19">
        <f>+G23</f>
        <v>12.93</v>
      </c>
      <c r="O19" t="str">
        <f>+J23</f>
        <v>BDG</v>
      </c>
      <c r="P19">
        <f>+E23</f>
        <v>2457631.46741</v>
      </c>
      <c r="Q19" t="str">
        <f>+F23</f>
        <v>2016 Aug. 30.96741</v>
      </c>
    </row>
    <row r="20" spans="1:17" x14ac:dyDescent="0.25">
      <c r="D20" t="s">
        <v>1165</v>
      </c>
      <c r="E20">
        <v>2457698.3835200001</v>
      </c>
      <c r="F20" t="s">
        <v>2755</v>
      </c>
      <c r="G20">
        <v>15.483000000000001</v>
      </c>
      <c r="H20">
        <v>1.9E-2</v>
      </c>
      <c r="I20" t="s">
        <v>34</v>
      </c>
      <c r="J20" t="s">
        <v>19</v>
      </c>
      <c r="K20" t="s">
        <v>20</v>
      </c>
      <c r="M20" t="str">
        <f>+I26</f>
        <v>B</v>
      </c>
      <c r="N20">
        <f>+G26</f>
        <v>15.581</v>
      </c>
      <c r="O20" t="str">
        <f>+J26</f>
        <v>BDG</v>
      </c>
      <c r="P20">
        <f>+E26</f>
        <v>2457631.4668399999</v>
      </c>
      <c r="Q20" t="str">
        <f>+F26</f>
        <v>2016 Aug. 30.96684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B</v>
      </c>
      <c r="N21">
        <f>+G29</f>
        <v>15.667</v>
      </c>
      <c r="O21" t="str">
        <f>+J29</f>
        <v>BDG</v>
      </c>
      <c r="P21">
        <f>+E29</f>
        <v>2457617.4938099999</v>
      </c>
      <c r="Q21" t="str">
        <f>+F29</f>
        <v>2016 Aug. 16.99381</v>
      </c>
    </row>
    <row r="22" spans="1:17" x14ac:dyDescent="0.25">
      <c r="A22" t="s">
        <v>27</v>
      </c>
      <c r="B22" t="s">
        <v>1170</v>
      </c>
      <c r="C22" t="s">
        <v>29</v>
      </c>
      <c r="D22" t="s">
        <v>1168</v>
      </c>
      <c r="E22" t="s">
        <v>31</v>
      </c>
      <c r="F22" t="s">
        <v>1064</v>
      </c>
      <c r="M22" t="str">
        <f>+I32</f>
        <v>V</v>
      </c>
      <c r="N22">
        <f>+G32</f>
        <v>12.932</v>
      </c>
      <c r="O22" t="str">
        <f>+J32</f>
        <v>BDG</v>
      </c>
      <c r="P22">
        <f>+E32</f>
        <v>2457617.4938099999</v>
      </c>
      <c r="Q22" t="str">
        <f>+F32</f>
        <v>2016 Aug. 16.99381</v>
      </c>
    </row>
    <row r="23" spans="1:17" x14ac:dyDescent="0.25">
      <c r="D23" t="s">
        <v>1165</v>
      </c>
      <c r="E23">
        <v>2457631.46741</v>
      </c>
      <c r="F23" t="s">
        <v>2166</v>
      </c>
      <c r="G23">
        <v>12.93</v>
      </c>
      <c r="H23">
        <v>4.0000000000000001E-3</v>
      </c>
      <c r="I23" t="s">
        <v>18</v>
      </c>
      <c r="J23" t="s">
        <v>19</v>
      </c>
      <c r="K23" t="s">
        <v>20</v>
      </c>
      <c r="M23" t="str">
        <f>+I35</f>
        <v>V</v>
      </c>
      <c r="N23">
        <f>+G35</f>
        <v>12.898999999999999</v>
      </c>
      <c r="O23" t="str">
        <f>+J35</f>
        <v>BDG</v>
      </c>
      <c r="P23">
        <f>+E35</f>
        <v>2457612.5353799998</v>
      </c>
      <c r="Q23" t="str">
        <f>+F35</f>
        <v>2016 Aug. 12.03538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B</v>
      </c>
      <c r="N24">
        <f>+G38</f>
        <v>15.599</v>
      </c>
      <c r="O24" t="str">
        <f>+J38</f>
        <v>BDG</v>
      </c>
      <c r="P24">
        <f>+E38</f>
        <v>2457612.5348100001</v>
      </c>
      <c r="Q24" t="str">
        <f>+F38</f>
        <v>2016 Aug. 12.03481</v>
      </c>
    </row>
    <row r="25" spans="1:17" x14ac:dyDescent="0.25">
      <c r="A25" t="s">
        <v>27</v>
      </c>
      <c r="B25" t="s">
        <v>2167</v>
      </c>
      <c r="C25" t="s">
        <v>29</v>
      </c>
      <c r="D25" t="s">
        <v>1168</v>
      </c>
      <c r="E25" t="s">
        <v>31</v>
      </c>
      <c r="F25" t="s">
        <v>1064</v>
      </c>
      <c r="M25" t="str">
        <f>+I41</f>
        <v>V</v>
      </c>
      <c r="N25">
        <f>+G41</f>
        <v>12.791</v>
      </c>
      <c r="O25" t="str">
        <f>+J41</f>
        <v>BDG</v>
      </c>
      <c r="P25">
        <f>+E41</f>
        <v>2457594.4492199998</v>
      </c>
      <c r="Q25" t="str">
        <f>+F41</f>
        <v>2016 Jul. 24.94922</v>
      </c>
    </row>
    <row r="26" spans="1:17" x14ac:dyDescent="0.25">
      <c r="D26" t="s">
        <v>1165</v>
      </c>
      <c r="E26">
        <v>2457631.4668399999</v>
      </c>
      <c r="F26" t="s">
        <v>2168</v>
      </c>
      <c r="G26">
        <v>15.581</v>
      </c>
      <c r="H26">
        <v>2.1000000000000001E-2</v>
      </c>
      <c r="I26" t="s">
        <v>34</v>
      </c>
      <c r="J26" t="s">
        <v>19</v>
      </c>
      <c r="K26" t="s">
        <v>20</v>
      </c>
      <c r="M26" t="str">
        <f>+I44</f>
        <v>B</v>
      </c>
      <c r="N26">
        <f>+G44</f>
        <v>15.554</v>
      </c>
      <c r="O26" t="str">
        <f>+J44</f>
        <v>BDG</v>
      </c>
      <c r="P26">
        <f>+E44</f>
        <v>2457594.4486500002</v>
      </c>
      <c r="Q26" t="str">
        <f>+F44</f>
        <v>2016 Jul. 24.94865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27</v>
      </c>
      <c r="B28" t="s">
        <v>2169</v>
      </c>
      <c r="C28" t="s">
        <v>29</v>
      </c>
      <c r="D28" t="s">
        <v>1168</v>
      </c>
      <c r="E28" t="s">
        <v>31</v>
      </c>
      <c r="F28" t="s">
        <v>1064</v>
      </c>
    </row>
    <row r="29" spans="1:17" x14ac:dyDescent="0.25">
      <c r="D29" t="s">
        <v>1165</v>
      </c>
      <c r="E29">
        <v>2457617.4938099999</v>
      </c>
      <c r="F29" t="s">
        <v>1995</v>
      </c>
      <c r="G29">
        <v>15.667</v>
      </c>
      <c r="H29">
        <v>2.4E-2</v>
      </c>
      <c r="I29" t="s">
        <v>34</v>
      </c>
      <c r="J29" t="s">
        <v>19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27</v>
      </c>
      <c r="B31" t="s">
        <v>1170</v>
      </c>
      <c r="C31" t="s">
        <v>29</v>
      </c>
      <c r="D31" t="s">
        <v>1168</v>
      </c>
      <c r="E31" t="s">
        <v>31</v>
      </c>
      <c r="F31" t="s">
        <v>1064</v>
      </c>
    </row>
    <row r="32" spans="1:17" x14ac:dyDescent="0.25">
      <c r="D32" t="s">
        <v>1165</v>
      </c>
      <c r="E32">
        <v>2457617.4938099999</v>
      </c>
      <c r="F32" t="s">
        <v>1995</v>
      </c>
      <c r="G32">
        <v>12.932</v>
      </c>
      <c r="H32">
        <v>1.2E-2</v>
      </c>
      <c r="I32" t="s">
        <v>18</v>
      </c>
      <c r="J32" t="s">
        <v>19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27</v>
      </c>
      <c r="B34" t="s">
        <v>1185</v>
      </c>
      <c r="C34" t="s">
        <v>29</v>
      </c>
      <c r="D34" t="s">
        <v>1168</v>
      </c>
      <c r="E34" t="s">
        <v>31</v>
      </c>
      <c r="F34" t="s">
        <v>1064</v>
      </c>
    </row>
    <row r="35" spans="1:11" x14ac:dyDescent="0.25">
      <c r="D35" t="s">
        <v>1165</v>
      </c>
      <c r="E35">
        <v>2457612.5353799998</v>
      </c>
      <c r="F35" t="s">
        <v>1996</v>
      </c>
      <c r="G35">
        <v>12.898999999999999</v>
      </c>
      <c r="H35">
        <v>8.0000000000000002E-3</v>
      </c>
      <c r="I35" t="s">
        <v>18</v>
      </c>
      <c r="J35" t="s">
        <v>19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27</v>
      </c>
      <c r="B37" t="s">
        <v>1997</v>
      </c>
      <c r="C37" t="s">
        <v>29</v>
      </c>
      <c r="D37" t="s">
        <v>1168</v>
      </c>
      <c r="E37" t="s">
        <v>31</v>
      </c>
      <c r="F37" t="s">
        <v>1064</v>
      </c>
    </row>
    <row r="38" spans="1:11" x14ac:dyDescent="0.25">
      <c r="D38" t="s">
        <v>1165</v>
      </c>
      <c r="E38">
        <v>2457612.5348100001</v>
      </c>
      <c r="F38" t="s">
        <v>1998</v>
      </c>
      <c r="G38">
        <v>15.599</v>
      </c>
      <c r="H38">
        <v>7.0000000000000001E-3</v>
      </c>
      <c r="I38" t="s">
        <v>34</v>
      </c>
      <c r="J38" t="s">
        <v>19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27</v>
      </c>
      <c r="B40" t="s">
        <v>1999</v>
      </c>
      <c r="C40" t="s">
        <v>29</v>
      </c>
      <c r="D40" t="s">
        <v>1168</v>
      </c>
      <c r="E40" t="s">
        <v>31</v>
      </c>
      <c r="F40" t="s">
        <v>1064</v>
      </c>
    </row>
    <row r="41" spans="1:11" x14ac:dyDescent="0.25">
      <c r="D41" t="s">
        <v>1165</v>
      </c>
      <c r="E41">
        <v>2457594.4492199998</v>
      </c>
      <c r="F41" t="s">
        <v>2000</v>
      </c>
      <c r="G41">
        <v>12.791</v>
      </c>
      <c r="H41">
        <v>8.9999999999999993E-3</v>
      </c>
      <c r="I41" t="s">
        <v>18</v>
      </c>
      <c r="J41" t="s">
        <v>19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27</v>
      </c>
      <c r="B43" t="s">
        <v>2001</v>
      </c>
      <c r="C43" t="s">
        <v>29</v>
      </c>
      <c r="D43" t="s">
        <v>1168</v>
      </c>
      <c r="E43" t="s">
        <v>31</v>
      </c>
      <c r="F43" t="s">
        <v>1064</v>
      </c>
    </row>
    <row r="44" spans="1:11" x14ac:dyDescent="0.25">
      <c r="D44" t="s">
        <v>1165</v>
      </c>
      <c r="E44">
        <v>2457594.4486500002</v>
      </c>
      <c r="F44" t="s">
        <v>2002</v>
      </c>
      <c r="G44">
        <v>15.554</v>
      </c>
      <c r="H44">
        <v>2.7E-2</v>
      </c>
      <c r="I44" t="s">
        <v>34</v>
      </c>
      <c r="J44" t="s">
        <v>19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27</v>
      </c>
      <c r="B46" t="s">
        <v>1999</v>
      </c>
      <c r="C46" t="s">
        <v>29</v>
      </c>
      <c r="D46" t="s">
        <v>1168</v>
      </c>
      <c r="E46" t="s">
        <v>31</v>
      </c>
      <c r="F46" t="s">
        <v>1064</v>
      </c>
    </row>
    <row r="47" spans="1:11" x14ac:dyDescent="0.25">
      <c r="D47" t="s">
        <v>1165</v>
      </c>
      <c r="E47">
        <v>2457437.3412100002</v>
      </c>
      <c r="F47" t="s">
        <v>1166</v>
      </c>
      <c r="G47">
        <v>12.131</v>
      </c>
      <c r="H47">
        <v>1.0999999999999999E-2</v>
      </c>
      <c r="I47" t="s">
        <v>18</v>
      </c>
      <c r="J47" t="s">
        <v>19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27</v>
      </c>
      <c r="B49" t="s">
        <v>1167</v>
      </c>
      <c r="C49" t="s">
        <v>29</v>
      </c>
      <c r="D49" t="s">
        <v>1168</v>
      </c>
      <c r="E49" t="s">
        <v>31</v>
      </c>
      <c r="F49" t="s">
        <v>1064</v>
      </c>
    </row>
    <row r="50" spans="1:11" x14ac:dyDescent="0.25">
      <c r="D50" t="s">
        <v>1165</v>
      </c>
      <c r="E50">
        <v>2457437.3406400001</v>
      </c>
      <c r="F50" t="s">
        <v>1169</v>
      </c>
      <c r="G50">
        <v>15.147</v>
      </c>
      <c r="H50">
        <v>3.2000000000000001E-2</v>
      </c>
      <c r="I50" t="s">
        <v>34</v>
      </c>
      <c r="J50" t="s">
        <v>19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27</v>
      </c>
      <c r="B52" t="s">
        <v>1170</v>
      </c>
      <c r="C52" t="s">
        <v>29</v>
      </c>
      <c r="D52" t="s">
        <v>1168</v>
      </c>
      <c r="E52" t="s">
        <v>31</v>
      </c>
      <c r="F52" t="s">
        <v>1064</v>
      </c>
    </row>
    <row r="53" spans="1:11" x14ac:dyDescent="0.25">
      <c r="D53" t="s">
        <v>1165</v>
      </c>
      <c r="E53">
        <v>2457433.2971100002</v>
      </c>
      <c r="F53" t="s">
        <v>1171</v>
      </c>
      <c r="G53">
        <v>12.154</v>
      </c>
      <c r="H53">
        <v>4.0000000000000001E-3</v>
      </c>
      <c r="I53" t="s">
        <v>18</v>
      </c>
      <c r="J53" t="s">
        <v>19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27</v>
      </c>
      <c r="B55" t="s">
        <v>1172</v>
      </c>
      <c r="C55" t="s">
        <v>29</v>
      </c>
      <c r="D55" t="s">
        <v>1168</v>
      </c>
      <c r="E55" t="s">
        <v>31</v>
      </c>
      <c r="F55" t="s">
        <v>1064</v>
      </c>
    </row>
    <row r="56" spans="1:11" x14ac:dyDescent="0.25">
      <c r="D56" t="s">
        <v>1165</v>
      </c>
      <c r="E56">
        <v>2457433.2965500001</v>
      </c>
      <c r="F56" t="s">
        <v>1173</v>
      </c>
      <c r="G56">
        <v>15.092000000000001</v>
      </c>
      <c r="H56">
        <v>2.1000000000000001E-2</v>
      </c>
      <c r="I56" t="s">
        <v>34</v>
      </c>
      <c r="J56" t="s">
        <v>19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27</v>
      </c>
      <c r="B58" t="s">
        <v>1174</v>
      </c>
      <c r="C58" t="s">
        <v>29</v>
      </c>
      <c r="D58" t="s">
        <v>1168</v>
      </c>
      <c r="E58" t="s">
        <v>31</v>
      </c>
      <c r="F58" t="s">
        <v>1064</v>
      </c>
    </row>
    <row r="59" spans="1:11" x14ac:dyDescent="0.25">
      <c r="D59" t="s">
        <v>1165</v>
      </c>
      <c r="E59">
        <v>2457407.3226299998</v>
      </c>
      <c r="F59" t="s">
        <v>1175</v>
      </c>
      <c r="G59">
        <v>12.37</v>
      </c>
      <c r="H59">
        <v>6.0000000000000001E-3</v>
      </c>
      <c r="I59" t="s">
        <v>18</v>
      </c>
      <c r="J59" t="s">
        <v>19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27</v>
      </c>
      <c r="B61" t="s">
        <v>1176</v>
      </c>
      <c r="C61" t="s">
        <v>29</v>
      </c>
      <c r="D61" t="s">
        <v>1168</v>
      </c>
      <c r="E61" t="s">
        <v>31</v>
      </c>
      <c r="F61" t="s">
        <v>1177</v>
      </c>
    </row>
    <row r="62" spans="1:11" x14ac:dyDescent="0.25">
      <c r="D62" t="s">
        <v>1165</v>
      </c>
      <c r="E62">
        <v>2457407.3220700002</v>
      </c>
      <c r="F62" t="s">
        <v>1178</v>
      </c>
      <c r="G62">
        <v>15.253</v>
      </c>
      <c r="H62">
        <v>1.2999999999999999E-2</v>
      </c>
      <c r="I62" t="s">
        <v>34</v>
      </c>
      <c r="J62" t="s">
        <v>19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27</v>
      </c>
      <c r="B64" t="s">
        <v>1179</v>
      </c>
      <c r="C64" t="s">
        <v>29</v>
      </c>
      <c r="D64" t="s">
        <v>1168</v>
      </c>
      <c r="E64" t="s">
        <v>31</v>
      </c>
      <c r="F64" t="s">
        <v>1177</v>
      </c>
    </row>
    <row r="65" spans="1:11" x14ac:dyDescent="0.25">
      <c r="D65" t="s">
        <v>1165</v>
      </c>
      <c r="E65">
        <v>2457403.3113799999</v>
      </c>
      <c r="F65" t="s">
        <v>1180</v>
      </c>
      <c r="G65">
        <v>12.388</v>
      </c>
      <c r="H65">
        <v>8.9999999999999993E-3</v>
      </c>
      <c r="I65" t="s">
        <v>18</v>
      </c>
      <c r="J65" t="s">
        <v>19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27</v>
      </c>
      <c r="B67" t="s">
        <v>1181</v>
      </c>
      <c r="C67" t="s">
        <v>29</v>
      </c>
      <c r="D67" t="s">
        <v>1168</v>
      </c>
      <c r="E67" t="s">
        <v>31</v>
      </c>
      <c r="F67" t="s">
        <v>1064</v>
      </c>
    </row>
    <row r="68" spans="1:11" x14ac:dyDescent="0.25">
      <c r="D68" t="s">
        <v>1165</v>
      </c>
      <c r="E68">
        <v>2457403.3108100002</v>
      </c>
      <c r="F68" t="s">
        <v>1182</v>
      </c>
      <c r="G68">
        <v>15.298999999999999</v>
      </c>
      <c r="H68">
        <v>2.3E-2</v>
      </c>
      <c r="I68" t="s">
        <v>34</v>
      </c>
      <c r="J68" t="s">
        <v>19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1183</v>
      </c>
      <c r="C70" t="s">
        <v>29</v>
      </c>
      <c r="D70" t="s">
        <v>1168</v>
      </c>
      <c r="E70" t="s">
        <v>31</v>
      </c>
      <c r="F70" t="s">
        <v>1064</v>
      </c>
    </row>
    <row r="71" spans="1:11" x14ac:dyDescent="0.25">
      <c r="D71" t="s">
        <v>1165</v>
      </c>
      <c r="E71">
        <v>2457381.3533399999</v>
      </c>
      <c r="F71" t="s">
        <v>1184</v>
      </c>
      <c r="G71">
        <v>12.552</v>
      </c>
      <c r="H71">
        <v>6.0000000000000001E-3</v>
      </c>
      <c r="I71" t="s">
        <v>18</v>
      </c>
      <c r="J71" t="s">
        <v>19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27</v>
      </c>
      <c r="B73" t="s">
        <v>1185</v>
      </c>
      <c r="C73" t="s">
        <v>29</v>
      </c>
      <c r="D73" t="s">
        <v>1168</v>
      </c>
      <c r="E73" t="s">
        <v>31</v>
      </c>
      <c r="F73" t="s">
        <v>1064</v>
      </c>
    </row>
    <row r="74" spans="1:11" x14ac:dyDescent="0.25">
      <c r="D74" t="s">
        <v>1165</v>
      </c>
      <c r="E74">
        <v>2457381.3527700002</v>
      </c>
      <c r="F74" t="s">
        <v>1186</v>
      </c>
      <c r="G74">
        <v>15.446999999999999</v>
      </c>
      <c r="H74">
        <v>2.1000000000000001E-2</v>
      </c>
      <c r="I74" t="s">
        <v>34</v>
      </c>
      <c r="J74" t="s">
        <v>19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27</v>
      </c>
      <c r="B76" t="s">
        <v>1187</v>
      </c>
      <c r="C76" t="s">
        <v>29</v>
      </c>
      <c r="D76" t="s">
        <v>1168</v>
      </c>
      <c r="E76" t="s">
        <v>31</v>
      </c>
      <c r="F76" t="s">
        <v>1064</v>
      </c>
    </row>
    <row r="77" spans="1:11" x14ac:dyDescent="0.25">
      <c r="D77" t="s">
        <v>1165</v>
      </c>
      <c r="E77">
        <v>2457293.3524199999</v>
      </c>
      <c r="F77" t="s">
        <v>1188</v>
      </c>
      <c r="G77">
        <v>12.754</v>
      </c>
      <c r="H77">
        <v>1.0999999999999999E-2</v>
      </c>
      <c r="I77" t="s">
        <v>18</v>
      </c>
      <c r="J77" t="s">
        <v>19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27</v>
      </c>
      <c r="B79" t="s">
        <v>1189</v>
      </c>
      <c r="C79" t="s">
        <v>29</v>
      </c>
      <c r="D79" t="s">
        <v>1168</v>
      </c>
      <c r="E79" t="s">
        <v>31</v>
      </c>
      <c r="F79" t="s">
        <v>1064</v>
      </c>
    </row>
    <row r="80" spans="1:11" x14ac:dyDescent="0.25">
      <c r="D80" t="s">
        <v>1165</v>
      </c>
      <c r="E80">
        <v>2457293.3518500002</v>
      </c>
      <c r="F80" t="s">
        <v>1190</v>
      </c>
      <c r="G80">
        <v>15.609</v>
      </c>
      <c r="H80">
        <v>2.4E-2</v>
      </c>
      <c r="I80" t="s">
        <v>34</v>
      </c>
      <c r="J80" t="s">
        <v>19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27</v>
      </c>
      <c r="B82" t="s">
        <v>1191</v>
      </c>
      <c r="C82" t="s">
        <v>29</v>
      </c>
      <c r="D82" t="s">
        <v>1168</v>
      </c>
      <c r="E82" t="s">
        <v>31</v>
      </c>
      <c r="F82" t="s">
        <v>1064</v>
      </c>
    </row>
    <row r="83" spans="1:11" x14ac:dyDescent="0.25">
      <c r="D83" t="s">
        <v>1192</v>
      </c>
      <c r="E83">
        <v>2456529.8236600002</v>
      </c>
      <c r="F83" t="s">
        <v>1193</v>
      </c>
      <c r="G83">
        <v>15.082000000000001</v>
      </c>
      <c r="H83">
        <v>7.0000000000000007E-2</v>
      </c>
      <c r="I83" t="s">
        <v>34</v>
      </c>
      <c r="J83" t="s">
        <v>361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27</v>
      </c>
      <c r="B85" t="s">
        <v>1194</v>
      </c>
      <c r="C85" t="s">
        <v>29</v>
      </c>
      <c r="D85" t="s">
        <v>1195</v>
      </c>
      <c r="E85" t="s">
        <v>31</v>
      </c>
      <c r="F85" t="s">
        <v>31</v>
      </c>
    </row>
    <row r="86" spans="1:11" x14ac:dyDescent="0.25">
      <c r="D86" t="s">
        <v>1192</v>
      </c>
      <c r="E86">
        <v>2456529.82228</v>
      </c>
      <c r="F86" t="s">
        <v>1196</v>
      </c>
      <c r="G86">
        <v>12.542</v>
      </c>
      <c r="H86">
        <v>4.3999999999999997E-2</v>
      </c>
      <c r="I86" t="s">
        <v>18</v>
      </c>
      <c r="J86" t="s">
        <v>361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27</v>
      </c>
      <c r="B88" t="s">
        <v>1197</v>
      </c>
      <c r="C88" t="s">
        <v>29</v>
      </c>
      <c r="D88" t="s">
        <v>1195</v>
      </c>
      <c r="E88" t="s">
        <v>31</v>
      </c>
      <c r="F88" t="s">
        <v>31</v>
      </c>
    </row>
    <row r="89" spans="1:11" x14ac:dyDescent="0.25">
      <c r="D89" t="s">
        <v>1192</v>
      </c>
      <c r="E89">
        <v>2456229.2766</v>
      </c>
      <c r="F89" t="s">
        <v>1198</v>
      </c>
      <c r="G89">
        <v>13.081</v>
      </c>
      <c r="H89">
        <v>5.2999999999999999E-2</v>
      </c>
      <c r="I89" t="s">
        <v>18</v>
      </c>
      <c r="J89" t="s">
        <v>1199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373</v>
      </c>
      <c r="B91" t="s">
        <v>31</v>
      </c>
      <c r="C91" t="s">
        <v>29</v>
      </c>
      <c r="D91" t="s">
        <v>1200</v>
      </c>
      <c r="E91" t="s">
        <v>31</v>
      </c>
      <c r="F91" t="s">
        <v>31</v>
      </c>
    </row>
    <row r="92" spans="1:11" x14ac:dyDescent="0.25">
      <c r="A92" t="s">
        <v>1029</v>
      </c>
    </row>
  </sheetData>
  <hyperlinks>
    <hyperlink ref="L1" r:id="rId1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0"/>
  <dimension ref="A1:Q92"/>
  <sheetViews>
    <sheetView workbookViewId="0">
      <selection activeCell="F14" sqref="F14"/>
    </sheetView>
  </sheetViews>
  <sheetFormatPr baseColWidth="10" defaultRowHeight="15" x14ac:dyDescent="0.25"/>
  <cols>
    <col min="1" max="1" width="18.7109375" customWidth="1"/>
    <col min="2" max="2" width="19.7109375" customWidth="1"/>
    <col min="3" max="3" width="12.28515625" bestFit="1" customWidth="1"/>
    <col min="4" max="4" width="11.28515625" customWidth="1"/>
    <col min="5" max="5" width="15.5703125" bestFit="1" customWidth="1"/>
    <col min="6" max="6" width="38.28515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1432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2756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1433</v>
      </c>
      <c r="E17">
        <v>2457718.8462299998</v>
      </c>
      <c r="F17" t="s">
        <v>2757</v>
      </c>
      <c r="G17">
        <v>9.4510000000000005</v>
      </c>
      <c r="H17">
        <v>2E-3</v>
      </c>
      <c r="I17" t="s">
        <v>18</v>
      </c>
      <c r="J17" t="s">
        <v>247</v>
      </c>
      <c r="K17" t="s">
        <v>20</v>
      </c>
      <c r="M17" t="str">
        <f>+I17</f>
        <v>V</v>
      </c>
      <c r="N17">
        <f>+G17</f>
        <v>9.4510000000000005</v>
      </c>
      <c r="O17" t="str">
        <f>+J17</f>
        <v>SGEA</v>
      </c>
      <c r="P17">
        <f>+E17</f>
        <v>2457718.8462299998</v>
      </c>
      <c r="Q17" t="str">
        <f>+F17</f>
        <v>2016 Nov. 26.34623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9.5079999999999991</v>
      </c>
      <c r="O18" t="str">
        <f>+J20</f>
        <v>SGEA</v>
      </c>
      <c r="P18">
        <f>+E20</f>
        <v>2457718.84558</v>
      </c>
      <c r="Q18" t="str">
        <f>+F20</f>
        <v>2016 Nov. 26.34558</v>
      </c>
    </row>
    <row r="19" spans="1:17" x14ac:dyDescent="0.25">
      <c r="A19" t="s">
        <v>27</v>
      </c>
      <c r="B19" t="s">
        <v>2758</v>
      </c>
      <c r="C19" t="s">
        <v>67</v>
      </c>
      <c r="D19" t="s">
        <v>2270</v>
      </c>
      <c r="E19" t="s">
        <v>31</v>
      </c>
      <c r="F19" t="s">
        <v>31</v>
      </c>
      <c r="M19" t="str">
        <f>+I23</f>
        <v>V</v>
      </c>
      <c r="N19">
        <f>+G23</f>
        <v>9.3119999999999994</v>
      </c>
      <c r="O19" t="str">
        <f>+J23</f>
        <v>SGEA</v>
      </c>
      <c r="P19">
        <f>+E23</f>
        <v>2457713.06281</v>
      </c>
      <c r="Q19" t="str">
        <f>+F23</f>
        <v>2016 Nov. 20.56281</v>
      </c>
    </row>
    <row r="20" spans="1:17" x14ac:dyDescent="0.25">
      <c r="D20" t="s">
        <v>1433</v>
      </c>
      <c r="E20">
        <v>2457718.84558</v>
      </c>
      <c r="F20" t="s">
        <v>2759</v>
      </c>
      <c r="G20">
        <v>9.5079999999999991</v>
      </c>
      <c r="H20">
        <v>2E-3</v>
      </c>
      <c r="I20" t="s">
        <v>18</v>
      </c>
      <c r="J20" t="s">
        <v>247</v>
      </c>
      <c r="K20" t="s">
        <v>20</v>
      </c>
      <c r="M20" t="str">
        <f>+I26</f>
        <v>V</v>
      </c>
      <c r="N20">
        <f>+G26</f>
        <v>9.4540000000000006</v>
      </c>
      <c r="O20" t="str">
        <f>+J26</f>
        <v>DKS</v>
      </c>
      <c r="P20">
        <f>+E26</f>
        <v>2457711.9031500001</v>
      </c>
      <c r="Q20" t="str">
        <f>+F26</f>
        <v>2016 Nov. 19.40315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9.5380000000000003</v>
      </c>
      <c r="O21" t="str">
        <f>+J29</f>
        <v>SGEA</v>
      </c>
      <c r="P21">
        <f>+E29</f>
        <v>2457707.9918200001</v>
      </c>
      <c r="Q21" t="str">
        <f>+F29</f>
        <v>2016 Nov. 15.49182</v>
      </c>
    </row>
    <row r="22" spans="1:17" x14ac:dyDescent="0.25">
      <c r="A22" t="s">
        <v>27</v>
      </c>
      <c r="B22" t="s">
        <v>2760</v>
      </c>
      <c r="C22" t="s">
        <v>67</v>
      </c>
      <c r="D22" t="s">
        <v>2270</v>
      </c>
      <c r="E22" t="s">
        <v>31</v>
      </c>
      <c r="F22" t="s">
        <v>31</v>
      </c>
      <c r="M22" t="str">
        <f>+I32</f>
        <v>V</v>
      </c>
      <c r="N22">
        <f>+G32</f>
        <v>9.4789999999999992</v>
      </c>
      <c r="O22" t="str">
        <f>+J32</f>
        <v>SGEA</v>
      </c>
      <c r="P22">
        <f>+E32</f>
        <v>2457706.8786499999</v>
      </c>
      <c r="Q22" t="str">
        <f>+F32</f>
        <v>2016 Nov. 14.37865</v>
      </c>
    </row>
    <row r="23" spans="1:17" x14ac:dyDescent="0.25">
      <c r="D23" t="s">
        <v>1433</v>
      </c>
      <c r="E23">
        <v>2457713.06281</v>
      </c>
      <c r="F23" t="s">
        <v>2761</v>
      </c>
      <c r="G23">
        <v>9.3119999999999994</v>
      </c>
      <c r="H23">
        <v>8.9999999999999993E-3</v>
      </c>
      <c r="I23" t="s">
        <v>18</v>
      </c>
      <c r="J23" t="s">
        <v>247</v>
      </c>
      <c r="K23" t="s">
        <v>20</v>
      </c>
      <c r="M23" t="str">
        <f>+I35</f>
        <v>V</v>
      </c>
      <c r="N23">
        <f>+G35</f>
        <v>9.4700000000000006</v>
      </c>
      <c r="O23" t="str">
        <f>+J35</f>
        <v>SGEA</v>
      </c>
      <c r="P23">
        <f>+E35</f>
        <v>2457706.8779899999</v>
      </c>
      <c r="Q23" t="str">
        <f>+F35</f>
        <v>2016 Nov. 14.37799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9.4969999999999999</v>
      </c>
      <c r="O24" t="str">
        <f>+J38</f>
        <v>SGEA</v>
      </c>
      <c r="P24">
        <f>+E38</f>
        <v>2457700.89928</v>
      </c>
      <c r="Q24" t="str">
        <f>+F38</f>
        <v>2016 Nov. 08.39928</v>
      </c>
    </row>
    <row r="25" spans="1:17" x14ac:dyDescent="0.25">
      <c r="A25" t="s">
        <v>27</v>
      </c>
      <c r="B25" t="s">
        <v>2762</v>
      </c>
      <c r="C25" t="s">
        <v>67</v>
      </c>
      <c r="D25" t="s">
        <v>2270</v>
      </c>
      <c r="E25" t="s">
        <v>31</v>
      </c>
      <c r="F25" t="s">
        <v>31</v>
      </c>
      <c r="M25" t="str">
        <f>+I41</f>
        <v>V</v>
      </c>
      <c r="N25">
        <f>+G41</f>
        <v>9.516</v>
      </c>
      <c r="O25" t="str">
        <f>+J41</f>
        <v>SGEA</v>
      </c>
      <c r="P25">
        <f>+E41</f>
        <v>2457700.8986300002</v>
      </c>
      <c r="Q25" t="str">
        <f>+F41</f>
        <v>2016 Nov. 08.39863</v>
      </c>
    </row>
    <row r="26" spans="1:17" x14ac:dyDescent="0.25">
      <c r="D26" t="s">
        <v>1433</v>
      </c>
      <c r="E26">
        <v>2457711.9031500001</v>
      </c>
      <c r="F26" t="s">
        <v>2763</v>
      </c>
      <c r="G26">
        <v>9.4540000000000006</v>
      </c>
      <c r="H26">
        <v>0.01</v>
      </c>
      <c r="I26" t="s">
        <v>18</v>
      </c>
      <c r="J26" t="s">
        <v>252</v>
      </c>
      <c r="K26" t="s">
        <v>20</v>
      </c>
      <c r="M26" t="str">
        <f>+I44</f>
        <v>V</v>
      </c>
      <c r="N26">
        <f>+G44</f>
        <v>9.59</v>
      </c>
      <c r="O26" t="str">
        <f>+J44</f>
        <v>SGEA</v>
      </c>
      <c r="P26">
        <f>+E44</f>
        <v>2457696.9818500001</v>
      </c>
      <c r="Q26" t="str">
        <f>+F44</f>
        <v>2016 Nov. 04.48185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2271</v>
      </c>
      <c r="B28" t="s">
        <v>2764</v>
      </c>
      <c r="C28" t="s">
        <v>67</v>
      </c>
      <c r="D28" t="s">
        <v>2272</v>
      </c>
      <c r="E28" t="s">
        <v>31</v>
      </c>
      <c r="F28" t="s">
        <v>253</v>
      </c>
    </row>
    <row r="29" spans="1:17" x14ac:dyDescent="0.25">
      <c r="D29" t="s">
        <v>1433</v>
      </c>
      <c r="E29">
        <v>2457707.9918200001</v>
      </c>
      <c r="F29" t="s">
        <v>2765</v>
      </c>
      <c r="G29">
        <v>9.5380000000000003</v>
      </c>
      <c r="H29">
        <v>1E-3</v>
      </c>
      <c r="I29" t="s">
        <v>18</v>
      </c>
      <c r="J29" t="s">
        <v>247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27</v>
      </c>
      <c r="B31" t="s">
        <v>2766</v>
      </c>
      <c r="C31" t="s">
        <v>67</v>
      </c>
      <c r="D31" t="s">
        <v>2270</v>
      </c>
      <c r="E31" t="s">
        <v>31</v>
      </c>
      <c r="F31" t="s">
        <v>31</v>
      </c>
    </row>
    <row r="32" spans="1:17" x14ac:dyDescent="0.25">
      <c r="D32" t="s">
        <v>1433</v>
      </c>
      <c r="E32">
        <v>2457706.8786499999</v>
      </c>
      <c r="F32" t="s">
        <v>2767</v>
      </c>
      <c r="G32">
        <v>9.4789999999999992</v>
      </c>
      <c r="H32">
        <v>1E-3</v>
      </c>
      <c r="I32" t="s">
        <v>18</v>
      </c>
      <c r="J32" t="s">
        <v>247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27</v>
      </c>
      <c r="B34" t="s">
        <v>2768</v>
      </c>
      <c r="C34" t="s">
        <v>67</v>
      </c>
      <c r="D34" t="s">
        <v>2270</v>
      </c>
      <c r="E34" t="s">
        <v>31</v>
      </c>
      <c r="F34" t="s">
        <v>31</v>
      </c>
    </row>
    <row r="35" spans="1:11" x14ac:dyDescent="0.25">
      <c r="D35" t="s">
        <v>1433</v>
      </c>
      <c r="E35">
        <v>2457706.8779899999</v>
      </c>
      <c r="F35" t="s">
        <v>2769</v>
      </c>
      <c r="G35">
        <v>9.4700000000000006</v>
      </c>
      <c r="H35">
        <v>1E-3</v>
      </c>
      <c r="I35" t="s">
        <v>18</v>
      </c>
      <c r="J35" t="s">
        <v>247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27</v>
      </c>
      <c r="B37" t="s">
        <v>2770</v>
      </c>
      <c r="C37" t="s">
        <v>67</v>
      </c>
      <c r="D37" t="s">
        <v>2270</v>
      </c>
      <c r="E37" t="s">
        <v>31</v>
      </c>
      <c r="F37" t="s">
        <v>31</v>
      </c>
    </row>
    <row r="38" spans="1:11" x14ac:dyDescent="0.25">
      <c r="D38" t="s">
        <v>1433</v>
      </c>
      <c r="E38">
        <v>2457700.89928</v>
      </c>
      <c r="F38" t="s">
        <v>2771</v>
      </c>
      <c r="G38">
        <v>9.4969999999999999</v>
      </c>
      <c r="H38">
        <v>1E-3</v>
      </c>
      <c r="I38" t="s">
        <v>18</v>
      </c>
      <c r="J38" t="s">
        <v>247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27</v>
      </c>
      <c r="B40" t="s">
        <v>2772</v>
      </c>
      <c r="C40" t="s">
        <v>67</v>
      </c>
      <c r="D40" t="s">
        <v>2270</v>
      </c>
      <c r="E40" t="s">
        <v>31</v>
      </c>
      <c r="F40" t="s">
        <v>31</v>
      </c>
    </row>
    <row r="41" spans="1:11" x14ac:dyDescent="0.25">
      <c r="D41" t="s">
        <v>1433</v>
      </c>
      <c r="E41">
        <v>2457700.8986300002</v>
      </c>
      <c r="F41" t="s">
        <v>2773</v>
      </c>
      <c r="G41">
        <v>9.516</v>
      </c>
      <c r="H41">
        <v>1E-3</v>
      </c>
      <c r="I41" t="s">
        <v>18</v>
      </c>
      <c r="J41" t="s">
        <v>247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27</v>
      </c>
      <c r="B43" t="s">
        <v>2774</v>
      </c>
      <c r="C43" t="s">
        <v>67</v>
      </c>
      <c r="D43" t="s">
        <v>2270</v>
      </c>
      <c r="E43" t="s">
        <v>31</v>
      </c>
      <c r="F43" t="s">
        <v>31</v>
      </c>
    </row>
    <row r="44" spans="1:11" x14ac:dyDescent="0.25">
      <c r="D44" t="s">
        <v>1433</v>
      </c>
      <c r="E44">
        <v>2457696.9818500001</v>
      </c>
      <c r="F44" t="s">
        <v>2775</v>
      </c>
      <c r="G44">
        <v>9.59</v>
      </c>
      <c r="H44">
        <v>1E-3</v>
      </c>
      <c r="I44" t="s">
        <v>18</v>
      </c>
      <c r="J44" t="s">
        <v>247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27</v>
      </c>
      <c r="B46" t="s">
        <v>2776</v>
      </c>
      <c r="C46" t="s">
        <v>67</v>
      </c>
      <c r="D46" t="s">
        <v>2270</v>
      </c>
      <c r="E46" t="s">
        <v>31</v>
      </c>
      <c r="F46" t="s">
        <v>31</v>
      </c>
    </row>
    <row r="47" spans="1:11" x14ac:dyDescent="0.25">
      <c r="D47" t="s">
        <v>1433</v>
      </c>
      <c r="E47">
        <v>2457696.9811999998</v>
      </c>
      <c r="F47" t="s">
        <v>2777</v>
      </c>
      <c r="G47">
        <v>9.6</v>
      </c>
      <c r="H47">
        <v>1E-3</v>
      </c>
      <c r="I47" t="s">
        <v>18</v>
      </c>
      <c r="J47" t="s">
        <v>247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27</v>
      </c>
      <c r="B49" t="s">
        <v>2156</v>
      </c>
      <c r="C49" t="s">
        <v>67</v>
      </c>
      <c r="D49" t="s">
        <v>2270</v>
      </c>
      <c r="E49" t="s">
        <v>31</v>
      </c>
      <c r="F49" t="s">
        <v>31</v>
      </c>
    </row>
    <row r="50" spans="1:11" x14ac:dyDescent="0.25">
      <c r="D50" t="s">
        <v>1433</v>
      </c>
      <c r="E50">
        <v>2457692.9301100001</v>
      </c>
      <c r="F50" t="s">
        <v>2778</v>
      </c>
      <c r="G50">
        <v>9.7080000000000002</v>
      </c>
      <c r="H50">
        <v>3.0000000000000001E-3</v>
      </c>
      <c r="I50" t="s">
        <v>18</v>
      </c>
      <c r="J50" t="s">
        <v>252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2271</v>
      </c>
      <c r="B52" t="s">
        <v>2779</v>
      </c>
      <c r="C52" t="s">
        <v>67</v>
      </c>
      <c r="D52" t="s">
        <v>2272</v>
      </c>
      <c r="E52" t="s">
        <v>31</v>
      </c>
      <c r="F52" t="s">
        <v>253</v>
      </c>
    </row>
    <row r="53" spans="1:11" x14ac:dyDescent="0.25">
      <c r="D53" t="s">
        <v>1433</v>
      </c>
      <c r="E53">
        <v>2457687.0355000002</v>
      </c>
      <c r="F53" t="s">
        <v>2780</v>
      </c>
      <c r="G53">
        <v>9.641</v>
      </c>
      <c r="H53">
        <v>5.0000000000000001E-3</v>
      </c>
      <c r="I53" t="s">
        <v>18</v>
      </c>
      <c r="J53" t="s">
        <v>247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27</v>
      </c>
      <c r="B55" t="s">
        <v>2760</v>
      </c>
      <c r="C55" t="s">
        <v>67</v>
      </c>
      <c r="D55" t="s">
        <v>2270</v>
      </c>
      <c r="E55" t="s">
        <v>31</v>
      </c>
      <c r="F55" t="s">
        <v>31</v>
      </c>
    </row>
    <row r="56" spans="1:11" x14ac:dyDescent="0.25">
      <c r="D56" t="s">
        <v>1433</v>
      </c>
      <c r="E56">
        <v>2457687.0341599998</v>
      </c>
      <c r="F56" t="s">
        <v>2781</v>
      </c>
      <c r="G56">
        <v>9.8079999999999998</v>
      </c>
      <c r="H56">
        <v>2.4E-2</v>
      </c>
      <c r="I56" t="s">
        <v>18</v>
      </c>
      <c r="J56" t="s">
        <v>247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27</v>
      </c>
      <c r="B58" t="s">
        <v>2782</v>
      </c>
      <c r="C58" t="s">
        <v>67</v>
      </c>
      <c r="D58" t="s">
        <v>2270</v>
      </c>
      <c r="E58" t="s">
        <v>31</v>
      </c>
      <c r="F58" t="s">
        <v>31</v>
      </c>
    </row>
    <row r="59" spans="1:11" x14ac:dyDescent="0.25">
      <c r="D59" t="s">
        <v>1433</v>
      </c>
      <c r="E59">
        <v>2457683.93585</v>
      </c>
      <c r="F59" t="s">
        <v>2783</v>
      </c>
      <c r="G59">
        <v>9.8010000000000002</v>
      </c>
      <c r="H59">
        <v>6.0000000000000001E-3</v>
      </c>
      <c r="I59" t="s">
        <v>18</v>
      </c>
      <c r="J59" t="s">
        <v>252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2271</v>
      </c>
      <c r="B61" t="s">
        <v>2784</v>
      </c>
      <c r="C61" t="s">
        <v>67</v>
      </c>
      <c r="D61" t="s">
        <v>2272</v>
      </c>
      <c r="E61" t="s">
        <v>31</v>
      </c>
      <c r="F61" t="s">
        <v>253</v>
      </c>
    </row>
    <row r="62" spans="1:11" x14ac:dyDescent="0.25">
      <c r="D62" t="s">
        <v>1433</v>
      </c>
      <c r="E62">
        <v>2457681.0548700001</v>
      </c>
      <c r="F62" t="s">
        <v>2785</v>
      </c>
      <c r="G62">
        <v>9.5570000000000004</v>
      </c>
      <c r="H62">
        <v>1E-3</v>
      </c>
      <c r="I62" t="s">
        <v>18</v>
      </c>
      <c r="J62" t="s">
        <v>247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27</v>
      </c>
      <c r="B64" t="s">
        <v>2772</v>
      </c>
      <c r="C64" t="s">
        <v>67</v>
      </c>
      <c r="D64" t="s">
        <v>2270</v>
      </c>
      <c r="E64" t="s">
        <v>31</v>
      </c>
      <c r="F64" t="s">
        <v>31</v>
      </c>
    </row>
    <row r="65" spans="1:11" x14ac:dyDescent="0.25">
      <c r="D65" t="s">
        <v>1433</v>
      </c>
      <c r="E65">
        <v>2457681.0541300001</v>
      </c>
      <c r="F65" t="s">
        <v>2786</v>
      </c>
      <c r="G65">
        <v>9.5489999999999995</v>
      </c>
      <c r="H65">
        <v>1E-3</v>
      </c>
      <c r="I65" t="s">
        <v>18</v>
      </c>
      <c r="J65" t="s">
        <v>247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27</v>
      </c>
      <c r="B67" t="s">
        <v>2787</v>
      </c>
      <c r="C67" t="s">
        <v>67</v>
      </c>
      <c r="D67" t="s">
        <v>2270</v>
      </c>
      <c r="E67" t="s">
        <v>31</v>
      </c>
      <c r="F67" t="s">
        <v>31</v>
      </c>
    </row>
    <row r="68" spans="1:11" x14ac:dyDescent="0.25">
      <c r="D68" t="s">
        <v>1433</v>
      </c>
      <c r="E68">
        <v>2457677.0377099998</v>
      </c>
      <c r="F68" t="s">
        <v>2788</v>
      </c>
      <c r="G68">
        <v>9.7260000000000009</v>
      </c>
      <c r="H68">
        <v>1E-3</v>
      </c>
      <c r="I68" t="s">
        <v>18</v>
      </c>
      <c r="J68" t="s">
        <v>247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2760</v>
      </c>
      <c r="C70" t="s">
        <v>67</v>
      </c>
      <c r="D70" t="s">
        <v>2270</v>
      </c>
      <c r="E70" t="s">
        <v>31</v>
      </c>
      <c r="F70" t="s">
        <v>31</v>
      </c>
    </row>
    <row r="71" spans="1:11" x14ac:dyDescent="0.25">
      <c r="D71" t="s">
        <v>1433</v>
      </c>
      <c r="E71">
        <v>2457677.0369600002</v>
      </c>
      <c r="F71" t="s">
        <v>2789</v>
      </c>
      <c r="G71">
        <v>9.7360000000000007</v>
      </c>
      <c r="H71">
        <v>1E-3</v>
      </c>
      <c r="I71" t="s">
        <v>18</v>
      </c>
      <c r="J71" t="s">
        <v>247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27</v>
      </c>
      <c r="B73" t="s">
        <v>2768</v>
      </c>
      <c r="C73" t="s">
        <v>67</v>
      </c>
      <c r="D73" t="s">
        <v>2270</v>
      </c>
      <c r="E73" t="s">
        <v>31</v>
      </c>
      <c r="F73" t="s">
        <v>31</v>
      </c>
    </row>
    <row r="74" spans="1:11" x14ac:dyDescent="0.25">
      <c r="D74" t="s">
        <v>1433</v>
      </c>
      <c r="E74">
        <v>2457675.9633300002</v>
      </c>
      <c r="F74" t="s">
        <v>2790</v>
      </c>
      <c r="G74">
        <v>9.3789999999999996</v>
      </c>
      <c r="H74">
        <v>4.3999999999999997E-2</v>
      </c>
      <c r="I74" t="s">
        <v>18</v>
      </c>
      <c r="J74" t="s">
        <v>247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27</v>
      </c>
      <c r="B76" t="s">
        <v>2791</v>
      </c>
      <c r="C76" t="s">
        <v>67</v>
      </c>
      <c r="D76" t="s">
        <v>2270</v>
      </c>
      <c r="E76" t="s">
        <v>31</v>
      </c>
      <c r="F76" t="s">
        <v>31</v>
      </c>
    </row>
    <row r="77" spans="1:11" x14ac:dyDescent="0.25">
      <c r="D77" t="s">
        <v>1433</v>
      </c>
      <c r="E77">
        <v>2457675.9625900001</v>
      </c>
      <c r="F77" t="s">
        <v>2792</v>
      </c>
      <c r="G77">
        <v>9.423</v>
      </c>
      <c r="H77">
        <v>4.0000000000000001E-3</v>
      </c>
      <c r="I77" t="s">
        <v>18</v>
      </c>
      <c r="J77" t="s">
        <v>247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27</v>
      </c>
      <c r="B79" t="s">
        <v>2793</v>
      </c>
      <c r="C79" t="s">
        <v>67</v>
      </c>
      <c r="D79" t="s">
        <v>2270</v>
      </c>
      <c r="E79" t="s">
        <v>31</v>
      </c>
      <c r="F79" t="s">
        <v>31</v>
      </c>
    </row>
    <row r="80" spans="1:11" x14ac:dyDescent="0.25">
      <c r="D80" t="s">
        <v>1433</v>
      </c>
      <c r="E80">
        <v>2457674.9668999999</v>
      </c>
      <c r="F80" t="s">
        <v>2794</v>
      </c>
      <c r="G80">
        <v>9.5169999999999995</v>
      </c>
      <c r="H80">
        <v>1E-3</v>
      </c>
      <c r="I80" t="s">
        <v>18</v>
      </c>
      <c r="J80" t="s">
        <v>247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27</v>
      </c>
      <c r="B82" t="s">
        <v>2795</v>
      </c>
      <c r="C82" t="s">
        <v>67</v>
      </c>
      <c r="D82" t="s">
        <v>2270</v>
      </c>
      <c r="E82" t="s">
        <v>31</v>
      </c>
      <c r="F82" t="s">
        <v>31</v>
      </c>
    </row>
    <row r="83" spans="1:11" x14ac:dyDescent="0.25">
      <c r="D83" t="s">
        <v>1433</v>
      </c>
      <c r="E83">
        <v>2457674.9661500002</v>
      </c>
      <c r="F83" t="s">
        <v>2796</v>
      </c>
      <c r="G83">
        <v>9.5280000000000005</v>
      </c>
      <c r="H83">
        <v>1E-3</v>
      </c>
      <c r="I83" t="s">
        <v>18</v>
      </c>
      <c r="J83" t="s">
        <v>247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27</v>
      </c>
      <c r="B85" t="s">
        <v>2797</v>
      </c>
      <c r="C85" t="s">
        <v>67</v>
      </c>
      <c r="D85" t="s">
        <v>2270</v>
      </c>
      <c r="E85" t="s">
        <v>31</v>
      </c>
      <c r="F85" t="s">
        <v>31</v>
      </c>
    </row>
    <row r="86" spans="1:11" x14ac:dyDescent="0.25">
      <c r="D86" t="s">
        <v>1433</v>
      </c>
      <c r="E86">
        <v>2457674.0128100002</v>
      </c>
      <c r="F86" t="s">
        <v>2798</v>
      </c>
      <c r="G86">
        <v>9.4659999999999993</v>
      </c>
      <c r="H86">
        <v>1E-3</v>
      </c>
      <c r="I86" t="s">
        <v>18</v>
      </c>
      <c r="J86" t="s">
        <v>247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27</v>
      </c>
      <c r="B88" t="s">
        <v>2799</v>
      </c>
      <c r="C88" t="s">
        <v>67</v>
      </c>
      <c r="D88" t="s">
        <v>2270</v>
      </c>
      <c r="E88" t="s">
        <v>31</v>
      </c>
      <c r="F88" t="s">
        <v>31</v>
      </c>
    </row>
    <row r="89" spans="1:11" x14ac:dyDescent="0.25">
      <c r="D89" t="s">
        <v>1433</v>
      </c>
      <c r="E89">
        <v>2457674.0120700002</v>
      </c>
      <c r="F89" t="s">
        <v>2800</v>
      </c>
      <c r="G89">
        <v>9.4619999999999997</v>
      </c>
      <c r="H89">
        <v>1E-3</v>
      </c>
      <c r="I89" t="s">
        <v>18</v>
      </c>
      <c r="J89" t="s">
        <v>247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27</v>
      </c>
      <c r="B91" t="s">
        <v>2797</v>
      </c>
      <c r="C91" t="s">
        <v>67</v>
      </c>
      <c r="D91" t="s">
        <v>2270</v>
      </c>
      <c r="E91" t="s">
        <v>31</v>
      </c>
      <c r="F91" t="s">
        <v>31</v>
      </c>
    </row>
    <row r="92" spans="1:11" x14ac:dyDescent="0.25">
      <c r="A92" t="s">
        <v>2801</v>
      </c>
    </row>
  </sheetData>
  <hyperlinks>
    <hyperlink ref="L1" r:id="rId1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1"/>
  <dimension ref="A1:Q92"/>
  <sheetViews>
    <sheetView workbookViewId="0">
      <selection activeCell="E6" sqref="E6"/>
    </sheetView>
  </sheetViews>
  <sheetFormatPr baseColWidth="10" defaultRowHeight="15" x14ac:dyDescent="0.25"/>
  <cols>
    <col min="1" max="2" width="18.85546875" customWidth="1"/>
    <col min="3" max="3" width="12.28515625" bestFit="1" customWidth="1"/>
    <col min="4" max="4" width="10.85546875" customWidth="1"/>
    <col min="5" max="5" width="15.5703125" bestFit="1" customWidth="1"/>
    <col min="6" max="6" width="81.140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789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2802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804</v>
      </c>
      <c r="E17">
        <v>2457683.5048000002</v>
      </c>
      <c r="F17" t="s">
        <v>2803</v>
      </c>
      <c r="G17">
        <v>12.936</v>
      </c>
      <c r="H17">
        <v>4.0000000000000001E-3</v>
      </c>
      <c r="I17" t="s">
        <v>18</v>
      </c>
      <c r="J17" t="s">
        <v>252</v>
      </c>
      <c r="K17" t="s">
        <v>20</v>
      </c>
      <c r="M17" t="str">
        <f>+I17</f>
        <v>V</v>
      </c>
      <c r="N17">
        <f>+G17</f>
        <v>12.936</v>
      </c>
      <c r="O17" t="str">
        <f>+J17</f>
        <v>DKS</v>
      </c>
      <c r="P17">
        <f>+E17</f>
        <v>2457683.5048000002</v>
      </c>
      <c r="Q17" t="str">
        <f>+F17</f>
        <v>2016 Oct. 22.00480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12.962</v>
      </c>
      <c r="O18" t="str">
        <f>+J20</f>
        <v>DKS</v>
      </c>
      <c r="P18">
        <f>+E20</f>
        <v>2457680.4996199999</v>
      </c>
      <c r="Q18" t="str">
        <f>+F20</f>
        <v>2016 Oct. 18.99962</v>
      </c>
    </row>
    <row r="19" spans="1:17" x14ac:dyDescent="0.25">
      <c r="A19" t="s">
        <v>806</v>
      </c>
      <c r="B19" t="s">
        <v>846</v>
      </c>
      <c r="C19" t="s">
        <v>67</v>
      </c>
      <c r="D19" t="s">
        <v>808</v>
      </c>
      <c r="E19" t="s">
        <v>31</v>
      </c>
      <c r="F19" t="s">
        <v>809</v>
      </c>
      <c r="M19" t="str">
        <f>+I23</f>
        <v>V</v>
      </c>
      <c r="N19">
        <f>+G23</f>
        <v>13.201000000000001</v>
      </c>
      <c r="O19" t="str">
        <f>+J23</f>
        <v>DKS</v>
      </c>
      <c r="P19">
        <f>+E23</f>
        <v>2457575.8316299999</v>
      </c>
      <c r="Q19" t="str">
        <f>+F23</f>
        <v>2016 Jul. 06.33163</v>
      </c>
    </row>
    <row r="20" spans="1:17" x14ac:dyDescent="0.25">
      <c r="D20" t="s">
        <v>804</v>
      </c>
      <c r="E20">
        <v>2457680.4996199999</v>
      </c>
      <c r="F20" t="s">
        <v>2804</v>
      </c>
      <c r="G20">
        <v>12.962</v>
      </c>
      <c r="H20">
        <v>6.0000000000000001E-3</v>
      </c>
      <c r="I20" t="s">
        <v>18</v>
      </c>
      <c r="J20" t="s">
        <v>252</v>
      </c>
      <c r="K20" t="s">
        <v>20</v>
      </c>
      <c r="M20" t="str">
        <f>+I26</f>
        <v>V</v>
      </c>
      <c r="N20">
        <f>+G26</f>
        <v>13.19</v>
      </c>
      <c r="O20" t="str">
        <f>+J26</f>
        <v>OCN</v>
      </c>
      <c r="P20">
        <f>+E26</f>
        <v>2457543.949</v>
      </c>
      <c r="Q20" t="str">
        <f>+F26</f>
        <v>2016 Jun. 04.44900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B</v>
      </c>
      <c r="N21">
        <f>+G29</f>
        <v>14.39</v>
      </c>
      <c r="O21" t="str">
        <f>+J29</f>
        <v>OCN</v>
      </c>
      <c r="P21">
        <f>+E29</f>
        <v>2457543.9479</v>
      </c>
      <c r="Q21" t="str">
        <f>+F29</f>
        <v>2016 Jun. 04.44790</v>
      </c>
    </row>
    <row r="22" spans="1:17" x14ac:dyDescent="0.25">
      <c r="A22" t="s">
        <v>806</v>
      </c>
      <c r="B22" t="s">
        <v>2805</v>
      </c>
      <c r="C22" t="s">
        <v>67</v>
      </c>
      <c r="D22" t="s">
        <v>808</v>
      </c>
      <c r="E22" t="s">
        <v>31</v>
      </c>
      <c r="F22" t="s">
        <v>809</v>
      </c>
      <c r="M22" t="str">
        <f>+I32</f>
        <v>U</v>
      </c>
      <c r="N22" t="str">
        <f>+G32</f>
        <v>&lt;13.5</v>
      </c>
      <c r="O22" t="str">
        <f>+J32</f>
        <v>OCN</v>
      </c>
      <c r="P22">
        <f>+E32</f>
        <v>2457543.9467000002</v>
      </c>
      <c r="Q22" t="str">
        <f>+F32</f>
        <v>2016 Jun. 04.44670</v>
      </c>
    </row>
    <row r="23" spans="1:17" x14ac:dyDescent="0.25">
      <c r="D23" t="s">
        <v>804</v>
      </c>
      <c r="E23">
        <v>2457575.8316299999</v>
      </c>
      <c r="F23" t="s">
        <v>2003</v>
      </c>
      <c r="G23">
        <v>13.201000000000001</v>
      </c>
      <c r="H23">
        <v>5.0000000000000001E-3</v>
      </c>
      <c r="I23" t="s">
        <v>18</v>
      </c>
      <c r="J23" t="s">
        <v>252</v>
      </c>
      <c r="K23" t="s">
        <v>20</v>
      </c>
      <c r="M23" t="str">
        <f>+I35</f>
        <v>V</v>
      </c>
      <c r="N23">
        <f>+G35</f>
        <v>13.173999999999999</v>
      </c>
      <c r="O23" t="str">
        <f>+J35</f>
        <v>DKS</v>
      </c>
      <c r="P23">
        <f>+E35</f>
        <v>2457532.81067</v>
      </c>
      <c r="Q23" t="str">
        <f>+F35</f>
        <v>2016 May. 24.31067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13.218</v>
      </c>
      <c r="O24" t="str">
        <f>+J38</f>
        <v>DKS</v>
      </c>
      <c r="P24">
        <f>+E38</f>
        <v>2457514.8685400002</v>
      </c>
      <c r="Q24" t="str">
        <f>+F38</f>
        <v>2016 May. 06.36854</v>
      </c>
    </row>
    <row r="25" spans="1:17" x14ac:dyDescent="0.25">
      <c r="A25" t="s">
        <v>806</v>
      </c>
      <c r="B25" t="s">
        <v>811</v>
      </c>
      <c r="C25" t="s">
        <v>67</v>
      </c>
      <c r="D25" t="s">
        <v>808</v>
      </c>
      <c r="E25" t="s">
        <v>31</v>
      </c>
      <c r="F25" t="s">
        <v>809</v>
      </c>
      <c r="M25" t="str">
        <f>+I41</f>
        <v>V</v>
      </c>
      <c r="N25">
        <f>+G41</f>
        <v>13.090999999999999</v>
      </c>
      <c r="O25" t="str">
        <f>+J41</f>
        <v>DKS</v>
      </c>
      <c r="P25">
        <f>+E41</f>
        <v>2457484.91799</v>
      </c>
      <c r="Q25" t="str">
        <f>+F41</f>
        <v>2016 Apr. 06.41799</v>
      </c>
    </row>
    <row r="26" spans="1:17" x14ac:dyDescent="0.25">
      <c r="D26" t="s">
        <v>790</v>
      </c>
      <c r="E26">
        <v>2457543.949</v>
      </c>
      <c r="F26" t="s">
        <v>791</v>
      </c>
      <c r="G26">
        <v>13.19</v>
      </c>
      <c r="H26">
        <v>0.03</v>
      </c>
      <c r="I26" t="s">
        <v>18</v>
      </c>
      <c r="J26" t="s">
        <v>260</v>
      </c>
      <c r="K26" t="s">
        <v>20</v>
      </c>
      <c r="M26" t="str">
        <f>+I44</f>
        <v>V</v>
      </c>
      <c r="N26">
        <f>+G44</f>
        <v>13.148</v>
      </c>
      <c r="O26" t="str">
        <f>+J44</f>
        <v>DKS</v>
      </c>
      <c r="P26">
        <f>+E44</f>
        <v>2457471.9342</v>
      </c>
      <c r="Q26" t="str">
        <f>+F44</f>
        <v>2016 Mar. 24.43420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792</v>
      </c>
      <c r="B28" t="s">
        <v>793</v>
      </c>
      <c r="C28" t="s">
        <v>67</v>
      </c>
      <c r="D28" t="s">
        <v>794</v>
      </c>
      <c r="E28" t="s">
        <v>31</v>
      </c>
      <c r="F28" t="s">
        <v>795</v>
      </c>
    </row>
    <row r="29" spans="1:17" x14ac:dyDescent="0.25">
      <c r="D29" t="s">
        <v>790</v>
      </c>
      <c r="E29">
        <v>2457543.9479</v>
      </c>
      <c r="F29" t="s">
        <v>796</v>
      </c>
      <c r="G29">
        <v>14.39</v>
      </c>
      <c r="H29">
        <v>0.06</v>
      </c>
      <c r="I29" t="s">
        <v>34</v>
      </c>
      <c r="J29" t="s">
        <v>260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797</v>
      </c>
      <c r="B31" t="s">
        <v>798</v>
      </c>
      <c r="C31" t="s">
        <v>67</v>
      </c>
      <c r="D31" t="s">
        <v>794</v>
      </c>
      <c r="E31" t="s">
        <v>31</v>
      </c>
      <c r="F31" t="s">
        <v>31</v>
      </c>
    </row>
    <row r="32" spans="1:17" x14ac:dyDescent="0.25">
      <c r="D32" t="s">
        <v>790</v>
      </c>
      <c r="E32">
        <v>2457543.9467000002</v>
      </c>
      <c r="F32" t="s">
        <v>799</v>
      </c>
      <c r="G32" t="s">
        <v>800</v>
      </c>
      <c r="H32">
        <v>0.1</v>
      </c>
      <c r="I32" t="s">
        <v>396</v>
      </c>
      <c r="J32" t="s">
        <v>260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801</v>
      </c>
      <c r="B34" t="s">
        <v>802</v>
      </c>
      <c r="C34" t="s">
        <v>67</v>
      </c>
      <c r="D34" t="s">
        <v>794</v>
      </c>
      <c r="E34" t="s">
        <v>31</v>
      </c>
      <c r="F34" t="s">
        <v>803</v>
      </c>
    </row>
    <row r="35" spans="1:11" x14ac:dyDescent="0.25">
      <c r="D35" t="s">
        <v>804</v>
      </c>
      <c r="E35">
        <v>2457532.81067</v>
      </c>
      <c r="F35" t="s">
        <v>805</v>
      </c>
      <c r="G35">
        <v>13.173999999999999</v>
      </c>
      <c r="H35">
        <v>5.0000000000000001E-3</v>
      </c>
      <c r="I35" t="s">
        <v>18</v>
      </c>
      <c r="J35" t="s">
        <v>252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806</v>
      </c>
      <c r="B37" t="s">
        <v>807</v>
      </c>
      <c r="C37" t="s">
        <v>67</v>
      </c>
      <c r="D37" t="s">
        <v>808</v>
      </c>
      <c r="E37" t="s">
        <v>31</v>
      </c>
      <c r="F37" t="s">
        <v>809</v>
      </c>
    </row>
    <row r="38" spans="1:11" x14ac:dyDescent="0.25">
      <c r="D38" t="s">
        <v>804</v>
      </c>
      <c r="E38">
        <v>2457514.8685400002</v>
      </c>
      <c r="F38" t="s">
        <v>810</v>
      </c>
      <c r="G38">
        <v>13.218</v>
      </c>
      <c r="H38">
        <v>3.0000000000000001E-3</v>
      </c>
      <c r="I38" t="s">
        <v>18</v>
      </c>
      <c r="J38" t="s">
        <v>252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806</v>
      </c>
      <c r="B40" t="s">
        <v>811</v>
      </c>
      <c r="C40" t="s">
        <v>67</v>
      </c>
      <c r="D40" t="s">
        <v>808</v>
      </c>
      <c r="E40" t="s">
        <v>31</v>
      </c>
      <c r="F40" t="s">
        <v>809</v>
      </c>
    </row>
    <row r="41" spans="1:11" x14ac:dyDescent="0.25">
      <c r="D41" t="s">
        <v>804</v>
      </c>
      <c r="E41">
        <v>2457484.91799</v>
      </c>
      <c r="F41" t="s">
        <v>812</v>
      </c>
      <c r="G41">
        <v>13.090999999999999</v>
      </c>
      <c r="H41">
        <v>6.0000000000000001E-3</v>
      </c>
      <c r="I41" t="s">
        <v>18</v>
      </c>
      <c r="J41" t="s">
        <v>252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806</v>
      </c>
      <c r="B43" t="s">
        <v>813</v>
      </c>
      <c r="C43" t="s">
        <v>67</v>
      </c>
      <c r="D43" t="s">
        <v>808</v>
      </c>
      <c r="E43" t="s">
        <v>31</v>
      </c>
      <c r="F43" t="s">
        <v>809</v>
      </c>
    </row>
    <row r="44" spans="1:11" x14ac:dyDescent="0.25">
      <c r="D44" t="s">
        <v>804</v>
      </c>
      <c r="E44">
        <v>2457471.9342</v>
      </c>
      <c r="F44" t="s">
        <v>814</v>
      </c>
      <c r="G44">
        <v>13.148</v>
      </c>
      <c r="H44">
        <v>0.01</v>
      </c>
      <c r="I44" t="s">
        <v>18</v>
      </c>
      <c r="J44" t="s">
        <v>252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806</v>
      </c>
      <c r="B46" t="s">
        <v>815</v>
      </c>
      <c r="C46" t="s">
        <v>67</v>
      </c>
      <c r="D46" t="s">
        <v>808</v>
      </c>
      <c r="E46" t="s">
        <v>31</v>
      </c>
      <c r="F46" t="s">
        <v>809</v>
      </c>
    </row>
    <row r="47" spans="1:11" x14ac:dyDescent="0.25">
      <c r="D47" t="s">
        <v>804</v>
      </c>
      <c r="E47">
        <v>2457459.9451799998</v>
      </c>
      <c r="F47" t="s">
        <v>816</v>
      </c>
      <c r="G47">
        <v>13.256</v>
      </c>
      <c r="H47">
        <v>4.2000000000000003E-2</v>
      </c>
      <c r="I47" t="s">
        <v>18</v>
      </c>
      <c r="J47" t="s">
        <v>252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806</v>
      </c>
      <c r="B49" t="s">
        <v>817</v>
      </c>
      <c r="C49" t="s">
        <v>67</v>
      </c>
      <c r="D49" t="s">
        <v>808</v>
      </c>
      <c r="E49" t="s">
        <v>31</v>
      </c>
      <c r="F49" t="s">
        <v>809</v>
      </c>
    </row>
    <row r="50" spans="1:11" x14ac:dyDescent="0.25">
      <c r="D50" t="s">
        <v>804</v>
      </c>
      <c r="E50">
        <v>2457164.8897500001</v>
      </c>
      <c r="F50" t="s">
        <v>818</v>
      </c>
      <c r="G50">
        <v>12.72</v>
      </c>
      <c r="H50">
        <v>5.0000000000000001E-3</v>
      </c>
      <c r="I50" t="s">
        <v>18</v>
      </c>
      <c r="J50" t="s">
        <v>252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806</v>
      </c>
      <c r="B52" t="s">
        <v>819</v>
      </c>
      <c r="C52" t="s">
        <v>67</v>
      </c>
      <c r="D52" t="s">
        <v>808</v>
      </c>
      <c r="E52" t="s">
        <v>31</v>
      </c>
      <c r="F52" t="s">
        <v>809</v>
      </c>
    </row>
    <row r="53" spans="1:11" x14ac:dyDescent="0.25">
      <c r="D53" t="s">
        <v>804</v>
      </c>
      <c r="E53">
        <v>2457156.83451</v>
      </c>
      <c r="F53" t="s">
        <v>820</v>
      </c>
      <c r="G53">
        <v>12.705</v>
      </c>
      <c r="H53">
        <v>7.0000000000000001E-3</v>
      </c>
      <c r="I53" t="s">
        <v>18</v>
      </c>
      <c r="J53" t="s">
        <v>252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806</v>
      </c>
      <c r="B55" t="s">
        <v>821</v>
      </c>
      <c r="C55" t="s">
        <v>67</v>
      </c>
      <c r="D55" t="s">
        <v>808</v>
      </c>
      <c r="E55" t="s">
        <v>31</v>
      </c>
      <c r="F55" t="s">
        <v>809</v>
      </c>
    </row>
    <row r="56" spans="1:11" x14ac:dyDescent="0.25">
      <c r="D56" t="s">
        <v>790</v>
      </c>
      <c r="E56">
        <v>2457126.2848999999</v>
      </c>
      <c r="F56" t="s">
        <v>822</v>
      </c>
      <c r="G56">
        <v>10.23</v>
      </c>
      <c r="H56">
        <v>0.02</v>
      </c>
      <c r="I56" t="s">
        <v>249</v>
      </c>
      <c r="J56" t="s">
        <v>260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823</v>
      </c>
      <c r="B58" t="s">
        <v>824</v>
      </c>
      <c r="C58" t="s">
        <v>67</v>
      </c>
      <c r="D58" t="s">
        <v>825</v>
      </c>
      <c r="E58" t="s">
        <v>31</v>
      </c>
      <c r="F58" t="s">
        <v>826</v>
      </c>
    </row>
    <row r="59" spans="1:11" x14ac:dyDescent="0.25">
      <c r="D59" t="s">
        <v>790</v>
      </c>
      <c r="E59">
        <v>2457126.2842999999</v>
      </c>
      <c r="F59" t="s">
        <v>827</v>
      </c>
      <c r="G59">
        <v>11.55</v>
      </c>
      <c r="H59">
        <v>0.04</v>
      </c>
      <c r="I59" t="s">
        <v>250</v>
      </c>
      <c r="J59" t="s">
        <v>260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828</v>
      </c>
      <c r="B61" t="s">
        <v>829</v>
      </c>
      <c r="C61" t="s">
        <v>67</v>
      </c>
      <c r="D61" t="s">
        <v>825</v>
      </c>
      <c r="E61" t="s">
        <v>31</v>
      </c>
      <c r="F61" t="s">
        <v>826</v>
      </c>
    </row>
    <row r="62" spans="1:11" x14ac:dyDescent="0.25">
      <c r="D62" t="s">
        <v>790</v>
      </c>
      <c r="E62">
        <v>2457126.2837</v>
      </c>
      <c r="F62" t="s">
        <v>830</v>
      </c>
      <c r="G62">
        <v>12.74</v>
      </c>
      <c r="H62">
        <v>0.03</v>
      </c>
      <c r="I62" t="s">
        <v>18</v>
      </c>
      <c r="J62" t="s">
        <v>260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831</v>
      </c>
      <c r="B64" t="s">
        <v>832</v>
      </c>
      <c r="C64" t="s">
        <v>67</v>
      </c>
      <c r="D64" t="s">
        <v>825</v>
      </c>
      <c r="E64" t="s">
        <v>31</v>
      </c>
      <c r="F64" t="s">
        <v>826</v>
      </c>
    </row>
    <row r="65" spans="1:11" x14ac:dyDescent="0.25">
      <c r="D65" t="s">
        <v>790</v>
      </c>
      <c r="E65">
        <v>2457126.2206000001</v>
      </c>
      <c r="F65" t="s">
        <v>833</v>
      </c>
      <c r="G65">
        <v>11.45</v>
      </c>
      <c r="H65">
        <v>0.01</v>
      </c>
      <c r="I65" t="s">
        <v>250</v>
      </c>
      <c r="J65" t="s">
        <v>260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828</v>
      </c>
      <c r="B67" t="s">
        <v>834</v>
      </c>
      <c r="C67" t="s">
        <v>67</v>
      </c>
      <c r="D67" t="s">
        <v>825</v>
      </c>
      <c r="E67" t="s">
        <v>31</v>
      </c>
      <c r="F67" t="s">
        <v>835</v>
      </c>
    </row>
    <row r="68" spans="1:11" x14ac:dyDescent="0.25">
      <c r="D68" t="s">
        <v>790</v>
      </c>
      <c r="E68">
        <v>2457126.2201999999</v>
      </c>
      <c r="F68" t="s">
        <v>836</v>
      </c>
      <c r="G68">
        <v>12.75</v>
      </c>
      <c r="H68">
        <v>0.03</v>
      </c>
      <c r="I68" t="s">
        <v>18</v>
      </c>
      <c r="J68" t="s">
        <v>260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831</v>
      </c>
      <c r="B70" t="s">
        <v>837</v>
      </c>
      <c r="C70" t="s">
        <v>67</v>
      </c>
      <c r="D70" t="s">
        <v>825</v>
      </c>
      <c r="E70" t="s">
        <v>31</v>
      </c>
      <c r="F70" t="s">
        <v>835</v>
      </c>
    </row>
    <row r="71" spans="1:11" x14ac:dyDescent="0.25">
      <c r="D71" t="s">
        <v>790</v>
      </c>
      <c r="E71">
        <v>2457126.2196999998</v>
      </c>
      <c r="F71" t="s">
        <v>838</v>
      </c>
      <c r="G71">
        <v>13.58</v>
      </c>
      <c r="H71">
        <v>0.05</v>
      </c>
      <c r="I71" t="s">
        <v>34</v>
      </c>
      <c r="J71" t="s">
        <v>260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839</v>
      </c>
      <c r="B73" t="s">
        <v>840</v>
      </c>
      <c r="C73" t="s">
        <v>67</v>
      </c>
      <c r="D73" t="s">
        <v>825</v>
      </c>
      <c r="E73" t="s">
        <v>31</v>
      </c>
      <c r="F73" t="s">
        <v>835</v>
      </c>
    </row>
    <row r="74" spans="1:11" x14ac:dyDescent="0.25">
      <c r="D74" t="s">
        <v>841</v>
      </c>
      <c r="E74">
        <v>2457125.3095</v>
      </c>
      <c r="F74" t="s">
        <v>842</v>
      </c>
      <c r="G74">
        <v>11.44</v>
      </c>
      <c r="H74">
        <v>0.02</v>
      </c>
      <c r="I74" t="s">
        <v>250</v>
      </c>
      <c r="J74" t="s">
        <v>260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834</v>
      </c>
      <c r="B76" t="s">
        <v>828</v>
      </c>
      <c r="C76" t="s">
        <v>67</v>
      </c>
      <c r="D76" t="s">
        <v>825</v>
      </c>
      <c r="E76" t="s">
        <v>31</v>
      </c>
      <c r="F76" t="s">
        <v>835</v>
      </c>
    </row>
    <row r="77" spans="1:11" x14ac:dyDescent="0.25">
      <c r="D77" t="s">
        <v>841</v>
      </c>
      <c r="E77">
        <v>2457125.3089999999</v>
      </c>
      <c r="F77" t="s">
        <v>843</v>
      </c>
      <c r="G77">
        <v>12.7</v>
      </c>
      <c r="H77">
        <v>0.02</v>
      </c>
      <c r="I77" t="s">
        <v>18</v>
      </c>
      <c r="J77" t="s">
        <v>260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837</v>
      </c>
      <c r="B79" t="s">
        <v>831</v>
      </c>
      <c r="C79" t="s">
        <v>67</v>
      </c>
      <c r="D79" t="s">
        <v>825</v>
      </c>
      <c r="E79" t="s">
        <v>31</v>
      </c>
      <c r="F79" t="s">
        <v>835</v>
      </c>
    </row>
    <row r="80" spans="1:11" x14ac:dyDescent="0.25">
      <c r="D80" t="s">
        <v>841</v>
      </c>
      <c r="E80">
        <v>2457125.3084</v>
      </c>
      <c r="F80" t="s">
        <v>844</v>
      </c>
      <c r="G80">
        <v>13.82</v>
      </c>
      <c r="H80">
        <v>0.04</v>
      </c>
      <c r="I80" t="s">
        <v>34</v>
      </c>
      <c r="J80" t="s">
        <v>260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840</v>
      </c>
      <c r="B82" t="s">
        <v>839</v>
      </c>
      <c r="C82" t="s">
        <v>67</v>
      </c>
      <c r="D82" t="s">
        <v>825</v>
      </c>
      <c r="E82" t="s">
        <v>31</v>
      </c>
      <c r="F82" t="s">
        <v>835</v>
      </c>
    </row>
    <row r="83" spans="1:11" x14ac:dyDescent="0.25">
      <c r="D83" t="s">
        <v>804</v>
      </c>
      <c r="E83">
        <v>2457112.9038300002</v>
      </c>
      <c r="F83" t="s">
        <v>845</v>
      </c>
      <c r="G83">
        <v>12.627000000000001</v>
      </c>
      <c r="H83">
        <v>0.01</v>
      </c>
      <c r="I83" t="s">
        <v>18</v>
      </c>
      <c r="J83" t="s">
        <v>252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806</v>
      </c>
      <c r="B85" t="s">
        <v>846</v>
      </c>
      <c r="C85" t="s">
        <v>67</v>
      </c>
      <c r="D85" t="s">
        <v>808</v>
      </c>
      <c r="E85" t="s">
        <v>31</v>
      </c>
      <c r="F85" t="s">
        <v>847</v>
      </c>
    </row>
    <row r="86" spans="1:11" x14ac:dyDescent="0.25">
      <c r="D86" t="s">
        <v>804</v>
      </c>
      <c r="E86">
        <v>2456941.5060299998</v>
      </c>
      <c r="F86" t="s">
        <v>848</v>
      </c>
      <c r="G86">
        <v>13.048999999999999</v>
      </c>
      <c r="H86">
        <v>7.0000000000000001E-3</v>
      </c>
      <c r="I86" t="s">
        <v>18</v>
      </c>
      <c r="J86" t="s">
        <v>252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849</v>
      </c>
      <c r="B88" t="s">
        <v>850</v>
      </c>
      <c r="C88" t="s">
        <v>67</v>
      </c>
      <c r="D88" t="s">
        <v>851</v>
      </c>
      <c r="E88" t="s">
        <v>31</v>
      </c>
      <c r="F88" t="s">
        <v>253</v>
      </c>
    </row>
    <row r="89" spans="1:11" x14ac:dyDescent="0.25">
      <c r="D89" t="s">
        <v>804</v>
      </c>
      <c r="E89">
        <v>2456796.8190299999</v>
      </c>
      <c r="F89" t="s">
        <v>852</v>
      </c>
      <c r="G89">
        <v>13.04</v>
      </c>
      <c r="H89">
        <v>0.02</v>
      </c>
      <c r="I89" t="s">
        <v>18</v>
      </c>
      <c r="J89" t="s">
        <v>252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849</v>
      </c>
      <c r="B91" t="s">
        <v>853</v>
      </c>
      <c r="C91" t="s">
        <v>67</v>
      </c>
      <c r="D91" t="s">
        <v>851</v>
      </c>
      <c r="E91" t="s">
        <v>31</v>
      </c>
      <c r="F91" t="s">
        <v>854</v>
      </c>
    </row>
    <row r="92" spans="1:11" x14ac:dyDescent="0.25">
      <c r="A92" t="s">
        <v>855</v>
      </c>
    </row>
  </sheetData>
  <hyperlinks>
    <hyperlink ref="L1" r:id="rId1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2"/>
  <dimension ref="A1:Q26"/>
  <sheetViews>
    <sheetView workbookViewId="0">
      <selection sqref="A1:XFD1048576"/>
    </sheetView>
  </sheetViews>
  <sheetFormatPr baseColWidth="10" defaultRowHeight="15" x14ac:dyDescent="0.25"/>
  <cols>
    <col min="1" max="1" width="10" customWidth="1"/>
    <col min="2" max="2" width="10.140625" customWidth="1"/>
    <col min="3" max="3" width="12.28515625" bestFit="1" customWidth="1"/>
    <col min="4" max="4" width="9.140625" customWidth="1"/>
    <col min="5" max="5" width="15.5703125" bestFit="1" customWidth="1"/>
    <col min="6" max="6" width="23.85546875" customWidth="1"/>
    <col min="7" max="7" width="10.5703125" customWidth="1"/>
    <col min="8" max="8" width="5.28515625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642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643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644</v>
      </c>
      <c r="E17">
        <v>2454102.4169999999</v>
      </c>
      <c r="F17" t="s">
        <v>645</v>
      </c>
      <c r="G17">
        <v>9.23</v>
      </c>
      <c r="H17">
        <v>0.02</v>
      </c>
      <c r="I17" t="s">
        <v>34</v>
      </c>
      <c r="J17" t="s">
        <v>646</v>
      </c>
      <c r="K17" t="s">
        <v>20</v>
      </c>
      <c r="M17" t="str">
        <f>+I17</f>
        <v>B</v>
      </c>
      <c r="N17">
        <f>+G17</f>
        <v>9.23</v>
      </c>
      <c r="O17" t="str">
        <f>+J17</f>
        <v>GMZ</v>
      </c>
      <c r="P17">
        <f>+E17</f>
        <v>2454102.4169999999</v>
      </c>
      <c r="Q17" t="str">
        <f>+F17</f>
        <v>2007 Jan. 01.91700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8.65</v>
      </c>
      <c r="O18" t="str">
        <f>+J20</f>
        <v>GMZ</v>
      </c>
      <c r="P18">
        <f>+E20</f>
        <v>2454102.4169999999</v>
      </c>
      <c r="Q18" t="str">
        <f>+F20</f>
        <v>2007 Jan. 01.91700</v>
      </c>
    </row>
    <row r="19" spans="1:17" x14ac:dyDescent="0.25">
      <c r="A19">
        <v>1077</v>
      </c>
      <c r="B19">
        <v>1265</v>
      </c>
      <c r="C19" t="s">
        <v>29</v>
      </c>
      <c r="D19" t="s">
        <v>647</v>
      </c>
      <c r="E19" t="s">
        <v>31</v>
      </c>
      <c r="F19" t="s">
        <v>648</v>
      </c>
      <c r="M19">
        <f>+I23</f>
        <v>0</v>
      </c>
      <c r="N19">
        <f>+G23</f>
        <v>0</v>
      </c>
      <c r="O19">
        <f>+J23</f>
        <v>0</v>
      </c>
      <c r="P19">
        <f>+E23</f>
        <v>0</v>
      </c>
      <c r="Q19">
        <f>+F23</f>
        <v>0</v>
      </c>
    </row>
    <row r="20" spans="1:17" x14ac:dyDescent="0.25">
      <c r="D20" t="s">
        <v>644</v>
      </c>
      <c r="E20">
        <v>2454102.4169999999</v>
      </c>
      <c r="F20" t="s">
        <v>645</v>
      </c>
      <c r="G20">
        <v>8.65</v>
      </c>
      <c r="H20">
        <v>0.02</v>
      </c>
      <c r="I20" t="s">
        <v>18</v>
      </c>
      <c r="J20" t="s">
        <v>646</v>
      </c>
      <c r="K20" t="s">
        <v>20</v>
      </c>
      <c r="M20">
        <f>+I26</f>
        <v>0</v>
      </c>
      <c r="N20">
        <f>+G26</f>
        <v>0</v>
      </c>
      <c r="O20">
        <f>+J26</f>
        <v>0</v>
      </c>
      <c r="P20">
        <f>+E26</f>
        <v>0</v>
      </c>
      <c r="Q20">
        <f>+F26</f>
        <v>0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>
        <f>+I29</f>
        <v>0</v>
      </c>
      <c r="N21">
        <f>+G29</f>
        <v>0</v>
      </c>
      <c r="O21">
        <f>+J29</f>
        <v>0</v>
      </c>
      <c r="P21">
        <f>+E29</f>
        <v>0</v>
      </c>
      <c r="Q21">
        <f>+F29</f>
        <v>0</v>
      </c>
    </row>
    <row r="22" spans="1:17" x14ac:dyDescent="0.25">
      <c r="A22">
        <v>1019</v>
      </c>
      <c r="B22">
        <v>1166</v>
      </c>
      <c r="C22" t="s">
        <v>29</v>
      </c>
      <c r="D22" t="s">
        <v>647</v>
      </c>
      <c r="E22" t="s">
        <v>31</v>
      </c>
      <c r="F22" t="s">
        <v>648</v>
      </c>
      <c r="M22">
        <f>+I32</f>
        <v>0</v>
      </c>
      <c r="N22">
        <f>+G32</f>
        <v>0</v>
      </c>
      <c r="O22">
        <f>+J32</f>
        <v>0</v>
      </c>
      <c r="P22">
        <f>+E32</f>
        <v>0</v>
      </c>
      <c r="Q22">
        <f>+F32</f>
        <v>0</v>
      </c>
    </row>
    <row r="23" spans="1:17" x14ac:dyDescent="0.25">
      <c r="M23">
        <f>+I35</f>
        <v>0</v>
      </c>
      <c r="N23">
        <f>+G35</f>
        <v>0</v>
      </c>
      <c r="O23">
        <f>+J35</f>
        <v>0</v>
      </c>
      <c r="P23">
        <f>+E35</f>
        <v>0</v>
      </c>
      <c r="Q23">
        <f>+F35</f>
        <v>0</v>
      </c>
    </row>
    <row r="24" spans="1:17" x14ac:dyDescent="0.25">
      <c r="M24">
        <f>+I38</f>
        <v>0</v>
      </c>
      <c r="N24">
        <f>+G38</f>
        <v>0</v>
      </c>
      <c r="O24">
        <f>+J38</f>
        <v>0</v>
      </c>
      <c r="P24">
        <f>+E38</f>
        <v>0</v>
      </c>
      <c r="Q24">
        <f>+F38</f>
        <v>0</v>
      </c>
    </row>
    <row r="25" spans="1:17" x14ac:dyDescent="0.25">
      <c r="M25">
        <f>+I41</f>
        <v>0</v>
      </c>
      <c r="N25">
        <f>+G41</f>
        <v>0</v>
      </c>
      <c r="O25">
        <f>+J41</f>
        <v>0</v>
      </c>
      <c r="P25">
        <f>+E41</f>
        <v>0</v>
      </c>
      <c r="Q25">
        <f>+F41</f>
        <v>0</v>
      </c>
    </row>
    <row r="26" spans="1:17" x14ac:dyDescent="0.25">
      <c r="M26">
        <f>+I44</f>
        <v>0</v>
      </c>
      <c r="N26">
        <f>+G44</f>
        <v>0</v>
      </c>
      <c r="O26">
        <f>+J44</f>
        <v>0</v>
      </c>
      <c r="P26">
        <f>+E44</f>
        <v>0</v>
      </c>
      <c r="Q26">
        <f>+F44</f>
        <v>0</v>
      </c>
    </row>
  </sheetData>
  <hyperlinks>
    <hyperlink ref="L1" r:id="rId1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3"/>
  <dimension ref="A1:Q92"/>
  <sheetViews>
    <sheetView workbookViewId="0">
      <selection sqref="A1:XFD1048576"/>
    </sheetView>
  </sheetViews>
  <sheetFormatPr baseColWidth="10" defaultRowHeight="15" x14ac:dyDescent="0.25"/>
  <cols>
    <col min="1" max="1" width="10.42578125" customWidth="1"/>
    <col min="2" max="2" width="19" bestFit="1" customWidth="1"/>
    <col min="3" max="3" width="12.28515625" bestFit="1" customWidth="1"/>
    <col min="4" max="4" width="10.140625" customWidth="1"/>
    <col min="5" max="5" width="15.5703125" bestFit="1" customWidth="1"/>
    <col min="6" max="6" width="81.140625" bestFit="1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909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2004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910</v>
      </c>
      <c r="E17">
        <v>2457561.8418200002</v>
      </c>
      <c r="F17" t="s">
        <v>2005</v>
      </c>
      <c r="G17">
        <v>11.742000000000001</v>
      </c>
      <c r="H17">
        <v>6.6000000000000003E-2</v>
      </c>
      <c r="I17" t="s">
        <v>18</v>
      </c>
      <c r="J17" t="s">
        <v>361</v>
      </c>
      <c r="K17" t="s">
        <v>20</v>
      </c>
      <c r="M17" t="str">
        <f>+I17</f>
        <v>V</v>
      </c>
      <c r="N17">
        <f>+G17</f>
        <v>11.742000000000001</v>
      </c>
      <c r="O17" t="str">
        <f>+J17</f>
        <v>MZK</v>
      </c>
      <c r="P17">
        <f>+E17</f>
        <v>2457561.8418200002</v>
      </c>
      <c r="Q17" t="str">
        <f>+F17</f>
        <v>2016 Jun. 22.34182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11.48</v>
      </c>
      <c r="O18" t="str">
        <f>+J20</f>
        <v>LCLA</v>
      </c>
      <c r="P18">
        <f>+E20</f>
        <v>2457246.4685760001</v>
      </c>
      <c r="Q18" t="str">
        <f>+F20</f>
        <v>2015 Aug. 11.96858</v>
      </c>
    </row>
    <row r="19" spans="1:17" x14ac:dyDescent="0.25">
      <c r="A19" t="s">
        <v>27</v>
      </c>
      <c r="B19" t="s">
        <v>2006</v>
      </c>
      <c r="C19" t="s">
        <v>67</v>
      </c>
      <c r="D19" t="s">
        <v>914</v>
      </c>
      <c r="E19" t="s">
        <v>31</v>
      </c>
      <c r="F19" t="s">
        <v>31</v>
      </c>
      <c r="M19" t="str">
        <f>+I23</f>
        <v>V</v>
      </c>
      <c r="N19">
        <f>+G23</f>
        <v>11.723000000000001</v>
      </c>
      <c r="O19" t="str">
        <f>+J23</f>
        <v>MZK</v>
      </c>
      <c r="P19">
        <f>+E23</f>
        <v>2457235.71618</v>
      </c>
      <c r="Q19" t="str">
        <f>+F23</f>
        <v>2015 Aug. 01.21618</v>
      </c>
    </row>
    <row r="20" spans="1:17" x14ac:dyDescent="0.25">
      <c r="D20" t="s">
        <v>910</v>
      </c>
      <c r="E20">
        <v>2457246.4685760001</v>
      </c>
      <c r="F20" t="s">
        <v>911</v>
      </c>
      <c r="G20">
        <v>11.48</v>
      </c>
      <c r="H20">
        <v>1.4E-2</v>
      </c>
      <c r="I20" t="s">
        <v>18</v>
      </c>
      <c r="J20" t="s">
        <v>709</v>
      </c>
      <c r="K20" t="s">
        <v>20</v>
      </c>
      <c r="M20" t="str">
        <f>+I26</f>
        <v>CR</v>
      </c>
      <c r="N20">
        <f>+G26</f>
        <v>11.5</v>
      </c>
      <c r="O20" t="str">
        <f>+J26</f>
        <v>MEV</v>
      </c>
      <c r="P20">
        <f>+E26</f>
        <v>2456933.5279999999</v>
      </c>
      <c r="Q20" t="str">
        <f>+F26</f>
        <v>2014 Oct. 03.02800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CR</v>
      </c>
      <c r="N21">
        <f>+G29</f>
        <v>11.52</v>
      </c>
      <c r="O21" t="str">
        <f>+J29</f>
        <v>MEV</v>
      </c>
      <c r="P21">
        <f>+E29</f>
        <v>2456914.5819999999</v>
      </c>
      <c r="Q21" t="str">
        <f>+F29</f>
        <v>2014 Sep. 14.08200</v>
      </c>
    </row>
    <row r="22" spans="1:17" x14ac:dyDescent="0.25">
      <c r="A22" t="s">
        <v>27</v>
      </c>
      <c r="B22" t="s">
        <v>2007</v>
      </c>
      <c r="C22" t="s">
        <v>67</v>
      </c>
      <c r="E22" t="s">
        <v>31</v>
      </c>
      <c r="F22" t="s">
        <v>2008</v>
      </c>
      <c r="M22" t="str">
        <f>+I32</f>
        <v>CR</v>
      </c>
      <c r="N22">
        <f>+G32</f>
        <v>11.55</v>
      </c>
      <c r="O22" t="str">
        <f>+J32</f>
        <v>MEV</v>
      </c>
      <c r="P22">
        <f>+E32</f>
        <v>2456913.5789999999</v>
      </c>
      <c r="Q22" t="str">
        <f>+F32</f>
        <v>2014 Sep. 13.07900</v>
      </c>
    </row>
    <row r="23" spans="1:17" x14ac:dyDescent="0.25">
      <c r="D23" t="s">
        <v>910</v>
      </c>
      <c r="E23">
        <v>2457235.71618</v>
      </c>
      <c r="F23" t="s">
        <v>912</v>
      </c>
      <c r="G23">
        <v>11.723000000000001</v>
      </c>
      <c r="H23">
        <v>6.0999999999999999E-2</v>
      </c>
      <c r="I23" t="s">
        <v>18</v>
      </c>
      <c r="J23" t="s">
        <v>361</v>
      </c>
      <c r="K23" t="s">
        <v>20</v>
      </c>
      <c r="M23" t="str">
        <f>+I35</f>
        <v>V</v>
      </c>
      <c r="N23">
        <f>+G35</f>
        <v>11.925000000000001</v>
      </c>
      <c r="O23" t="str">
        <f>+J35</f>
        <v>MZK</v>
      </c>
      <c r="P23">
        <f>+E35</f>
        <v>2456879.7225899999</v>
      </c>
      <c r="Q23" t="str">
        <f>+F35</f>
        <v>2014 Aug. 10.22259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I</v>
      </c>
      <c r="N24">
        <f>+G38</f>
        <v>11.73</v>
      </c>
      <c r="O24" t="str">
        <f>+J38</f>
        <v>GCO</v>
      </c>
      <c r="P24">
        <f>+E38</f>
        <v>2456875.4867199999</v>
      </c>
      <c r="Q24" t="str">
        <f>+F38</f>
        <v>2014 Aug. 05.98672</v>
      </c>
    </row>
    <row r="25" spans="1:17" x14ac:dyDescent="0.25">
      <c r="A25" t="s">
        <v>27</v>
      </c>
      <c r="B25" t="s">
        <v>913</v>
      </c>
      <c r="C25" t="s">
        <v>67</v>
      </c>
      <c r="D25" t="s">
        <v>914</v>
      </c>
      <c r="E25" t="s">
        <v>31</v>
      </c>
      <c r="F25" t="s">
        <v>31</v>
      </c>
      <c r="M25" t="str">
        <f>+I41</f>
        <v>R</v>
      </c>
      <c r="N25">
        <f>+G41</f>
        <v>11.086</v>
      </c>
      <c r="O25" t="str">
        <f>+J41</f>
        <v>GCO</v>
      </c>
      <c r="P25">
        <f>+E41</f>
        <v>2456875.4817499998</v>
      </c>
      <c r="Q25" t="str">
        <f>+F41</f>
        <v>2014 Aug. 05.98175</v>
      </c>
    </row>
    <row r="26" spans="1:17" x14ac:dyDescent="0.25">
      <c r="D26" t="s">
        <v>910</v>
      </c>
      <c r="E26">
        <v>2456933.5279999999</v>
      </c>
      <c r="F26" t="s">
        <v>915</v>
      </c>
      <c r="G26">
        <v>11.5</v>
      </c>
      <c r="H26">
        <v>0.05</v>
      </c>
      <c r="I26" t="s">
        <v>697</v>
      </c>
      <c r="J26" t="s">
        <v>66</v>
      </c>
      <c r="K26" t="s">
        <v>20</v>
      </c>
      <c r="M26" t="str">
        <f>+I44</f>
        <v>V</v>
      </c>
      <c r="N26">
        <f>+G44</f>
        <v>11.632999999999999</v>
      </c>
      <c r="O26" t="str">
        <f>+J44</f>
        <v>GCO</v>
      </c>
      <c r="P26">
        <f>+E44</f>
        <v>2456875.4734399999</v>
      </c>
      <c r="Q26" t="str">
        <f>+F44</f>
        <v>2014 Aug. 05.97344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27</v>
      </c>
      <c r="B28" t="s">
        <v>31</v>
      </c>
      <c r="C28" t="s">
        <v>67</v>
      </c>
      <c r="D28" t="s">
        <v>68</v>
      </c>
      <c r="E28" t="s">
        <v>31</v>
      </c>
      <c r="F28" t="s">
        <v>69</v>
      </c>
    </row>
    <row r="29" spans="1:17" x14ac:dyDescent="0.25">
      <c r="D29" t="s">
        <v>910</v>
      </c>
      <c r="E29">
        <v>2456914.5819999999</v>
      </c>
      <c r="F29" t="s">
        <v>916</v>
      </c>
      <c r="G29">
        <v>11.52</v>
      </c>
      <c r="H29">
        <v>0.05</v>
      </c>
      <c r="I29" t="s">
        <v>697</v>
      </c>
      <c r="J29" t="s">
        <v>66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27</v>
      </c>
      <c r="B31" t="s">
        <v>31</v>
      </c>
      <c r="C31" t="s">
        <v>67</v>
      </c>
      <c r="D31" t="s">
        <v>68</v>
      </c>
      <c r="E31" t="s">
        <v>31</v>
      </c>
      <c r="F31" t="s">
        <v>69</v>
      </c>
    </row>
    <row r="32" spans="1:17" x14ac:dyDescent="0.25">
      <c r="D32" t="s">
        <v>910</v>
      </c>
      <c r="E32">
        <v>2456913.5789999999</v>
      </c>
      <c r="F32" t="s">
        <v>917</v>
      </c>
      <c r="G32">
        <v>11.55</v>
      </c>
      <c r="H32">
        <v>0.05</v>
      </c>
      <c r="I32" t="s">
        <v>697</v>
      </c>
      <c r="J32" t="s">
        <v>66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27</v>
      </c>
      <c r="B34" t="s">
        <v>31</v>
      </c>
      <c r="C34" t="s">
        <v>67</v>
      </c>
      <c r="D34" t="s">
        <v>68</v>
      </c>
      <c r="E34" t="s">
        <v>31</v>
      </c>
      <c r="F34" t="s">
        <v>69</v>
      </c>
    </row>
    <row r="35" spans="1:11" x14ac:dyDescent="0.25">
      <c r="D35" t="s">
        <v>910</v>
      </c>
      <c r="E35">
        <v>2456879.7225899999</v>
      </c>
      <c r="F35" t="s">
        <v>918</v>
      </c>
      <c r="G35">
        <v>11.925000000000001</v>
      </c>
      <c r="H35">
        <v>5.8999999999999997E-2</v>
      </c>
      <c r="I35" t="s">
        <v>18</v>
      </c>
      <c r="J35" t="s">
        <v>361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27</v>
      </c>
      <c r="B37" t="s">
        <v>919</v>
      </c>
      <c r="C37" t="s">
        <v>67</v>
      </c>
      <c r="D37" t="s">
        <v>914</v>
      </c>
      <c r="E37" t="s">
        <v>31</v>
      </c>
      <c r="F37" t="s">
        <v>31</v>
      </c>
    </row>
    <row r="38" spans="1:11" x14ac:dyDescent="0.25">
      <c r="D38" t="s">
        <v>910</v>
      </c>
      <c r="E38">
        <v>2456875.4867199999</v>
      </c>
      <c r="F38" t="s">
        <v>920</v>
      </c>
      <c r="G38">
        <v>11.73</v>
      </c>
      <c r="H38">
        <v>1.7000000000000001E-2</v>
      </c>
      <c r="I38" t="s">
        <v>249</v>
      </c>
      <c r="J38" t="s">
        <v>470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471</v>
      </c>
      <c r="B40" t="s">
        <v>921</v>
      </c>
      <c r="C40" t="s">
        <v>29</v>
      </c>
      <c r="D40" t="s">
        <v>922</v>
      </c>
      <c r="E40" t="s">
        <v>31</v>
      </c>
      <c r="F40" t="s">
        <v>872</v>
      </c>
    </row>
    <row r="41" spans="1:11" x14ac:dyDescent="0.25">
      <c r="D41" t="s">
        <v>910</v>
      </c>
      <c r="E41">
        <v>2456875.4817499998</v>
      </c>
      <c r="F41" t="s">
        <v>923</v>
      </c>
      <c r="G41">
        <v>11.086</v>
      </c>
      <c r="H41">
        <v>1.2E-2</v>
      </c>
      <c r="I41" t="s">
        <v>250</v>
      </c>
      <c r="J41" t="s">
        <v>470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471</v>
      </c>
      <c r="B43" t="s">
        <v>924</v>
      </c>
      <c r="C43" t="s">
        <v>29</v>
      </c>
      <c r="D43" t="s">
        <v>922</v>
      </c>
      <c r="E43" t="s">
        <v>31</v>
      </c>
      <c r="F43" t="s">
        <v>872</v>
      </c>
    </row>
    <row r="44" spans="1:11" x14ac:dyDescent="0.25">
      <c r="D44" t="s">
        <v>910</v>
      </c>
      <c r="E44">
        <v>2456875.4734399999</v>
      </c>
      <c r="F44" t="s">
        <v>925</v>
      </c>
      <c r="G44">
        <v>11.632999999999999</v>
      </c>
      <c r="H44">
        <v>2.4E-2</v>
      </c>
      <c r="I44" t="s">
        <v>18</v>
      </c>
      <c r="J44" t="s">
        <v>470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471</v>
      </c>
      <c r="B46" t="s">
        <v>926</v>
      </c>
      <c r="C46" t="s">
        <v>29</v>
      </c>
      <c r="D46" t="s">
        <v>922</v>
      </c>
      <c r="E46" t="s">
        <v>31</v>
      </c>
      <c r="F46" t="s">
        <v>927</v>
      </c>
    </row>
    <row r="47" spans="1:11" x14ac:dyDescent="0.25">
      <c r="D47" t="s">
        <v>910</v>
      </c>
      <c r="E47">
        <v>2456875.46172</v>
      </c>
      <c r="F47" t="s">
        <v>928</v>
      </c>
      <c r="G47">
        <v>12.167</v>
      </c>
      <c r="H47">
        <v>1.6E-2</v>
      </c>
      <c r="I47" t="s">
        <v>34</v>
      </c>
      <c r="J47" t="s">
        <v>470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471</v>
      </c>
      <c r="B49" t="s">
        <v>929</v>
      </c>
      <c r="C49" t="s">
        <v>29</v>
      </c>
      <c r="D49" t="s">
        <v>922</v>
      </c>
      <c r="E49" t="s">
        <v>31</v>
      </c>
      <c r="F49" t="s">
        <v>880</v>
      </c>
    </row>
    <row r="50" spans="1:11" x14ac:dyDescent="0.25">
      <c r="D50" t="s">
        <v>910</v>
      </c>
      <c r="E50">
        <v>2456850.69154</v>
      </c>
      <c r="F50" t="s">
        <v>930</v>
      </c>
      <c r="G50">
        <v>11.920999999999999</v>
      </c>
      <c r="H50">
        <v>6.6000000000000003E-2</v>
      </c>
      <c r="I50" t="s">
        <v>18</v>
      </c>
      <c r="J50" t="s">
        <v>361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27</v>
      </c>
      <c r="B52" t="s">
        <v>931</v>
      </c>
      <c r="C52" t="s">
        <v>67</v>
      </c>
      <c r="D52" t="s">
        <v>914</v>
      </c>
      <c r="E52" t="s">
        <v>31</v>
      </c>
      <c r="F52" t="s">
        <v>31</v>
      </c>
    </row>
    <row r="53" spans="1:11" x14ac:dyDescent="0.25">
      <c r="D53" t="s">
        <v>910</v>
      </c>
      <c r="E53">
        <v>2456844.5720600002</v>
      </c>
      <c r="F53" t="s">
        <v>932</v>
      </c>
      <c r="G53">
        <v>11.670999999999999</v>
      </c>
      <c r="H53">
        <v>1.6E-2</v>
      </c>
      <c r="I53" t="s">
        <v>249</v>
      </c>
      <c r="J53" t="s">
        <v>470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471</v>
      </c>
      <c r="B55" t="s">
        <v>933</v>
      </c>
      <c r="C55" t="s">
        <v>29</v>
      </c>
      <c r="D55" t="s">
        <v>922</v>
      </c>
      <c r="E55" t="s">
        <v>31</v>
      </c>
      <c r="F55" t="s">
        <v>872</v>
      </c>
    </row>
    <row r="56" spans="1:11" x14ac:dyDescent="0.25">
      <c r="D56" t="s">
        <v>910</v>
      </c>
      <c r="E56">
        <v>2456844.5653900001</v>
      </c>
      <c r="F56" t="s">
        <v>934</v>
      </c>
      <c r="G56">
        <v>11.101000000000001</v>
      </c>
      <c r="H56">
        <v>1.2999999999999999E-2</v>
      </c>
      <c r="I56" t="s">
        <v>250</v>
      </c>
      <c r="J56" t="s">
        <v>470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471</v>
      </c>
      <c r="B58" t="s">
        <v>935</v>
      </c>
      <c r="C58" t="s">
        <v>29</v>
      </c>
      <c r="D58" t="s">
        <v>922</v>
      </c>
      <c r="E58" t="s">
        <v>31</v>
      </c>
      <c r="F58" t="s">
        <v>872</v>
      </c>
    </row>
    <row r="59" spans="1:11" x14ac:dyDescent="0.25">
      <c r="D59" t="s">
        <v>910</v>
      </c>
      <c r="E59">
        <v>2456844.5552699999</v>
      </c>
      <c r="F59" t="s">
        <v>936</v>
      </c>
      <c r="G59">
        <v>11.645</v>
      </c>
      <c r="H59">
        <v>1.6E-2</v>
      </c>
      <c r="I59" t="s">
        <v>18</v>
      </c>
      <c r="J59" t="s">
        <v>470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471</v>
      </c>
      <c r="B61" t="s">
        <v>937</v>
      </c>
      <c r="C61" t="s">
        <v>29</v>
      </c>
      <c r="D61" t="s">
        <v>922</v>
      </c>
      <c r="E61" t="s">
        <v>31</v>
      </c>
      <c r="F61" t="s">
        <v>927</v>
      </c>
    </row>
    <row r="62" spans="1:11" x14ac:dyDescent="0.25">
      <c r="D62" t="s">
        <v>910</v>
      </c>
      <c r="E62">
        <v>2456844.5428900002</v>
      </c>
      <c r="F62" t="s">
        <v>938</v>
      </c>
      <c r="G62">
        <v>12.172000000000001</v>
      </c>
      <c r="H62">
        <v>1.9E-2</v>
      </c>
      <c r="I62" t="s">
        <v>34</v>
      </c>
      <c r="J62" t="s">
        <v>470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471</v>
      </c>
      <c r="B64" t="s">
        <v>939</v>
      </c>
      <c r="C64" t="s">
        <v>29</v>
      </c>
      <c r="D64" t="s">
        <v>922</v>
      </c>
      <c r="E64" t="s">
        <v>31</v>
      </c>
      <c r="F64" t="s">
        <v>880</v>
      </c>
    </row>
    <row r="65" spans="1:11" x14ac:dyDescent="0.25">
      <c r="D65" t="s">
        <v>910</v>
      </c>
      <c r="E65">
        <v>2456566.59179</v>
      </c>
      <c r="F65" t="s">
        <v>940</v>
      </c>
      <c r="G65">
        <v>11.917999999999999</v>
      </c>
      <c r="H65">
        <v>5.8999999999999997E-2</v>
      </c>
      <c r="I65" t="s">
        <v>18</v>
      </c>
      <c r="J65" t="s">
        <v>361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27</v>
      </c>
      <c r="B67" t="s">
        <v>941</v>
      </c>
      <c r="C67" t="s">
        <v>67</v>
      </c>
      <c r="D67" t="s">
        <v>914</v>
      </c>
      <c r="E67" t="s">
        <v>31</v>
      </c>
      <c r="F67" t="s">
        <v>31</v>
      </c>
    </row>
    <row r="68" spans="1:11" x14ac:dyDescent="0.25">
      <c r="D68" t="s">
        <v>910</v>
      </c>
      <c r="E68">
        <v>2456559.3479900002</v>
      </c>
      <c r="F68" t="s">
        <v>942</v>
      </c>
      <c r="G68">
        <v>11.878</v>
      </c>
      <c r="H68">
        <v>1.7999999999999999E-2</v>
      </c>
      <c r="I68" t="s">
        <v>249</v>
      </c>
      <c r="J68" t="s">
        <v>470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471</v>
      </c>
      <c r="B70" t="s">
        <v>933</v>
      </c>
      <c r="C70" t="s">
        <v>29</v>
      </c>
      <c r="D70" t="s">
        <v>922</v>
      </c>
      <c r="E70" t="s">
        <v>31</v>
      </c>
      <c r="F70" t="s">
        <v>905</v>
      </c>
    </row>
    <row r="71" spans="1:11" x14ac:dyDescent="0.25">
      <c r="D71" t="s">
        <v>910</v>
      </c>
      <c r="E71">
        <v>2456559.3415199998</v>
      </c>
      <c r="F71" t="s">
        <v>943</v>
      </c>
      <c r="G71">
        <v>11.067</v>
      </c>
      <c r="H71">
        <v>1.2999999999999999E-2</v>
      </c>
      <c r="I71" t="s">
        <v>250</v>
      </c>
      <c r="J71" t="s">
        <v>470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471</v>
      </c>
      <c r="B73" t="s">
        <v>924</v>
      </c>
      <c r="C73" t="s">
        <v>29</v>
      </c>
      <c r="D73" t="s">
        <v>922</v>
      </c>
      <c r="E73" t="s">
        <v>31</v>
      </c>
      <c r="F73" t="s">
        <v>905</v>
      </c>
    </row>
    <row r="74" spans="1:11" x14ac:dyDescent="0.25">
      <c r="D74" t="s">
        <v>910</v>
      </c>
      <c r="E74">
        <v>2456559.3336200002</v>
      </c>
      <c r="F74" t="s">
        <v>944</v>
      </c>
      <c r="G74">
        <v>11.632999999999999</v>
      </c>
      <c r="H74">
        <v>1.2E-2</v>
      </c>
      <c r="I74" t="s">
        <v>18</v>
      </c>
      <c r="J74" t="s">
        <v>470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471</v>
      </c>
      <c r="B76" t="s">
        <v>945</v>
      </c>
      <c r="C76" t="s">
        <v>29</v>
      </c>
      <c r="D76" t="s">
        <v>922</v>
      </c>
      <c r="E76" t="s">
        <v>31</v>
      </c>
      <c r="F76" t="s">
        <v>946</v>
      </c>
    </row>
    <row r="77" spans="1:11" x14ac:dyDescent="0.25">
      <c r="D77" t="s">
        <v>910</v>
      </c>
      <c r="E77">
        <v>2456559.3212199998</v>
      </c>
      <c r="F77" t="s">
        <v>947</v>
      </c>
      <c r="G77">
        <v>12.148999999999999</v>
      </c>
      <c r="H77">
        <v>1.4999999999999999E-2</v>
      </c>
      <c r="I77" t="s">
        <v>34</v>
      </c>
      <c r="J77" t="s">
        <v>470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471</v>
      </c>
      <c r="B79" t="s">
        <v>948</v>
      </c>
      <c r="C79" t="s">
        <v>29</v>
      </c>
      <c r="D79" t="s">
        <v>922</v>
      </c>
      <c r="E79" t="s">
        <v>31</v>
      </c>
      <c r="F79" t="s">
        <v>907</v>
      </c>
    </row>
    <row r="80" spans="1:11" x14ac:dyDescent="0.25">
      <c r="D80" t="s">
        <v>910</v>
      </c>
      <c r="E80">
        <v>2456545.3736299998</v>
      </c>
      <c r="F80" t="s">
        <v>949</v>
      </c>
      <c r="G80">
        <v>11.862</v>
      </c>
      <c r="H80">
        <v>1.0999999999999999E-2</v>
      </c>
      <c r="I80" t="s">
        <v>249</v>
      </c>
      <c r="J80" t="s">
        <v>470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471</v>
      </c>
      <c r="B82" t="s">
        <v>950</v>
      </c>
      <c r="C82" t="s">
        <v>29</v>
      </c>
      <c r="D82" t="s">
        <v>922</v>
      </c>
      <c r="E82" t="s">
        <v>31</v>
      </c>
      <c r="F82" t="s">
        <v>951</v>
      </c>
    </row>
    <row r="83" spans="1:11" x14ac:dyDescent="0.25">
      <c r="D83" t="s">
        <v>910</v>
      </c>
      <c r="E83">
        <v>2456545.3694099998</v>
      </c>
      <c r="F83" t="s">
        <v>952</v>
      </c>
      <c r="G83">
        <v>11.148999999999999</v>
      </c>
      <c r="H83">
        <v>3.6999999999999998E-2</v>
      </c>
      <c r="I83" t="s">
        <v>250</v>
      </c>
      <c r="J83" t="s">
        <v>470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471</v>
      </c>
      <c r="B85" t="s">
        <v>953</v>
      </c>
      <c r="C85" t="s">
        <v>29</v>
      </c>
      <c r="D85" t="s">
        <v>922</v>
      </c>
      <c r="E85" t="s">
        <v>31</v>
      </c>
      <c r="F85" t="s">
        <v>954</v>
      </c>
    </row>
    <row r="86" spans="1:11" x14ac:dyDescent="0.25">
      <c r="D86" t="s">
        <v>910</v>
      </c>
      <c r="E86">
        <v>2456545.3639099998</v>
      </c>
      <c r="F86" t="s">
        <v>955</v>
      </c>
      <c r="G86">
        <v>11.61</v>
      </c>
      <c r="H86">
        <v>7.0000000000000001E-3</v>
      </c>
      <c r="I86" t="s">
        <v>18</v>
      </c>
      <c r="J86" t="s">
        <v>470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471</v>
      </c>
      <c r="B88" t="s">
        <v>956</v>
      </c>
      <c r="C88" t="s">
        <v>29</v>
      </c>
      <c r="D88" t="s">
        <v>922</v>
      </c>
      <c r="E88" t="s">
        <v>31</v>
      </c>
      <c r="F88" t="s">
        <v>951</v>
      </c>
    </row>
    <row r="89" spans="1:11" x14ac:dyDescent="0.25">
      <c r="D89" t="s">
        <v>910</v>
      </c>
      <c r="E89">
        <v>2456545.3545400002</v>
      </c>
      <c r="F89" t="s">
        <v>957</v>
      </c>
      <c r="G89">
        <v>12.159000000000001</v>
      </c>
      <c r="H89">
        <v>8.9999999999999993E-3</v>
      </c>
      <c r="I89" t="s">
        <v>34</v>
      </c>
      <c r="J89" t="s">
        <v>470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471</v>
      </c>
      <c r="B91" t="s">
        <v>958</v>
      </c>
      <c r="C91" t="s">
        <v>29</v>
      </c>
      <c r="D91" t="s">
        <v>922</v>
      </c>
      <c r="E91" t="s">
        <v>31</v>
      </c>
      <c r="F91" t="s">
        <v>959</v>
      </c>
    </row>
    <row r="92" spans="1:11" x14ac:dyDescent="0.25">
      <c r="A92" t="s">
        <v>960</v>
      </c>
    </row>
  </sheetData>
  <hyperlinks>
    <hyperlink ref="L1" r:id="rId1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4"/>
  <dimension ref="A1:Q92"/>
  <sheetViews>
    <sheetView workbookViewId="0"/>
  </sheetViews>
  <sheetFormatPr baseColWidth="10" defaultRowHeight="15" x14ac:dyDescent="0.25"/>
  <cols>
    <col min="1" max="1" width="18.85546875" bestFit="1" customWidth="1"/>
    <col min="2" max="2" width="18.140625" customWidth="1"/>
    <col min="3" max="3" width="12.28515625" bestFit="1" customWidth="1"/>
    <col min="4" max="4" width="9.85546875" customWidth="1"/>
    <col min="5" max="5" width="15.5703125" bestFit="1" customWidth="1"/>
    <col min="6" max="6" width="17.710937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1307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2806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1308</v>
      </c>
      <c r="E17">
        <v>2457697.7742400002</v>
      </c>
      <c r="F17" t="s">
        <v>2807</v>
      </c>
      <c r="G17">
        <v>7.024</v>
      </c>
      <c r="H17">
        <v>2E-3</v>
      </c>
      <c r="I17" t="s">
        <v>18</v>
      </c>
      <c r="J17" t="s">
        <v>72</v>
      </c>
      <c r="K17" t="s">
        <v>20</v>
      </c>
      <c r="M17" t="str">
        <f>+I17</f>
        <v>V</v>
      </c>
      <c r="N17">
        <f>+G17</f>
        <v>7.024</v>
      </c>
      <c r="O17" t="str">
        <f>+J17</f>
        <v>SBL</v>
      </c>
      <c r="P17">
        <f>+E17</f>
        <v>2457697.7742400002</v>
      </c>
      <c r="Q17" t="str">
        <f>+F17</f>
        <v>2016 Nov. 05.27424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B</v>
      </c>
      <c r="N18">
        <f>+G20</f>
        <v>8.6440000000000001</v>
      </c>
      <c r="O18" t="str">
        <f>+J20</f>
        <v>SBL</v>
      </c>
      <c r="P18">
        <f>+E20</f>
        <v>2457697.7731300001</v>
      </c>
      <c r="Q18" t="str">
        <f>+F20</f>
        <v>2016 Nov. 05.27313</v>
      </c>
    </row>
    <row r="19" spans="1:17" x14ac:dyDescent="0.25">
      <c r="A19" t="s">
        <v>27</v>
      </c>
      <c r="B19" t="s">
        <v>1340</v>
      </c>
      <c r="C19" t="s">
        <v>67</v>
      </c>
      <c r="D19">
        <v>161105</v>
      </c>
      <c r="E19" t="s">
        <v>31</v>
      </c>
      <c r="F19" t="s">
        <v>31</v>
      </c>
      <c r="M19" t="str">
        <f>+I23</f>
        <v>V</v>
      </c>
      <c r="N19">
        <f>+G23</f>
        <v>6.9969999999999999</v>
      </c>
      <c r="O19" t="str">
        <f>+J23</f>
        <v>SBL</v>
      </c>
      <c r="P19">
        <f>+E23</f>
        <v>2457686.81189</v>
      </c>
      <c r="Q19" t="str">
        <f>+F23</f>
        <v>2016 Oct. 25.31189</v>
      </c>
    </row>
    <row r="20" spans="1:17" x14ac:dyDescent="0.25">
      <c r="D20" t="s">
        <v>1308</v>
      </c>
      <c r="E20">
        <v>2457697.7731300001</v>
      </c>
      <c r="F20" t="s">
        <v>2808</v>
      </c>
      <c r="G20">
        <v>8.6440000000000001</v>
      </c>
      <c r="H20">
        <v>6.0000000000000001E-3</v>
      </c>
      <c r="I20" t="s">
        <v>34</v>
      </c>
      <c r="J20" t="s">
        <v>72</v>
      </c>
      <c r="K20" t="s">
        <v>20</v>
      </c>
      <c r="M20" t="str">
        <f>+I26</f>
        <v>B</v>
      </c>
      <c r="N20">
        <f>+G26</f>
        <v>8.6509999999999998</v>
      </c>
      <c r="O20" t="str">
        <f>+J26</f>
        <v>SBL</v>
      </c>
      <c r="P20">
        <f>+E26</f>
        <v>2457686.8107799999</v>
      </c>
      <c r="Q20" t="str">
        <f>+F26</f>
        <v>2016 Oct. 25.31078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6.9630000000000001</v>
      </c>
      <c r="O21" t="str">
        <f>+J29</f>
        <v>SBL</v>
      </c>
      <c r="P21">
        <f>+E29</f>
        <v>2457681.8163800002</v>
      </c>
      <c r="Q21" t="str">
        <f>+F29</f>
        <v>2016 Oct. 20.31638</v>
      </c>
    </row>
    <row r="22" spans="1:17" x14ac:dyDescent="0.25">
      <c r="A22" t="s">
        <v>2809</v>
      </c>
      <c r="B22" t="s">
        <v>2810</v>
      </c>
      <c r="C22" t="s">
        <v>67</v>
      </c>
      <c r="D22">
        <v>161105</v>
      </c>
      <c r="E22" t="s">
        <v>31</v>
      </c>
      <c r="F22" t="s">
        <v>31</v>
      </c>
      <c r="M22" t="str">
        <f>+I32</f>
        <v>B</v>
      </c>
      <c r="N22">
        <f>+G32</f>
        <v>8.6940000000000008</v>
      </c>
      <c r="O22" t="str">
        <f>+J32</f>
        <v>SBL</v>
      </c>
      <c r="P22">
        <f>+E32</f>
        <v>2457681.8152299998</v>
      </c>
      <c r="Q22" t="str">
        <f>+F32</f>
        <v>2016 Oct. 20.31523</v>
      </c>
    </row>
    <row r="23" spans="1:17" x14ac:dyDescent="0.25">
      <c r="D23" t="s">
        <v>1308</v>
      </c>
      <c r="E23">
        <v>2457686.81189</v>
      </c>
      <c r="F23" t="s">
        <v>2811</v>
      </c>
      <c r="G23">
        <v>6.9969999999999999</v>
      </c>
      <c r="H23">
        <v>2E-3</v>
      </c>
      <c r="I23" t="s">
        <v>18</v>
      </c>
      <c r="J23" t="s">
        <v>72</v>
      </c>
      <c r="K23" t="s">
        <v>20</v>
      </c>
      <c r="M23" t="str">
        <f>+I35</f>
        <v>V</v>
      </c>
      <c r="N23">
        <f>+G35</f>
        <v>6.8710000000000004</v>
      </c>
      <c r="O23" t="str">
        <f>+J35</f>
        <v>SBL</v>
      </c>
      <c r="P23">
        <f>+E35</f>
        <v>2457677.8248000001</v>
      </c>
      <c r="Q23" t="str">
        <f>+F35</f>
        <v>2016 Oct. 16.32480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V</v>
      </c>
      <c r="N24">
        <f>+G38</f>
        <v>6.8789999999999996</v>
      </c>
      <c r="O24" t="str">
        <f>+J38</f>
        <v>SBL</v>
      </c>
      <c r="P24">
        <f>+E38</f>
        <v>2457676.8209600002</v>
      </c>
      <c r="Q24" t="str">
        <f>+F38</f>
        <v>2016 Oct. 15.32096</v>
      </c>
    </row>
    <row r="25" spans="1:17" x14ac:dyDescent="0.25">
      <c r="A25" t="s">
        <v>27</v>
      </c>
      <c r="B25" t="s">
        <v>2812</v>
      </c>
      <c r="C25" t="s">
        <v>67</v>
      </c>
      <c r="D25">
        <v>161105</v>
      </c>
      <c r="E25" t="s">
        <v>31</v>
      </c>
      <c r="F25" t="s">
        <v>31</v>
      </c>
      <c r="M25" t="str">
        <f>+I41</f>
        <v>B</v>
      </c>
      <c r="N25">
        <f>+G41</f>
        <v>8.4930000000000003</v>
      </c>
      <c r="O25" t="str">
        <f>+J41</f>
        <v>SBL</v>
      </c>
      <c r="P25">
        <f>+E41</f>
        <v>2457676.82015</v>
      </c>
      <c r="Q25" t="str">
        <f>+F41</f>
        <v>2016 Oct. 15.32015</v>
      </c>
    </row>
    <row r="26" spans="1:17" x14ac:dyDescent="0.25">
      <c r="D26" t="s">
        <v>1308</v>
      </c>
      <c r="E26">
        <v>2457686.8107799999</v>
      </c>
      <c r="F26" t="s">
        <v>2813</v>
      </c>
      <c r="G26">
        <v>8.6509999999999998</v>
      </c>
      <c r="H26">
        <v>5.0000000000000001E-3</v>
      </c>
      <c r="I26" t="s">
        <v>34</v>
      </c>
      <c r="J26" t="s">
        <v>72</v>
      </c>
      <c r="K26" t="s">
        <v>20</v>
      </c>
      <c r="M26" t="str">
        <f>+I44</f>
        <v>V</v>
      </c>
      <c r="N26">
        <f>+G44</f>
        <v>6.907</v>
      </c>
      <c r="O26" t="str">
        <f>+J44</f>
        <v>SBL</v>
      </c>
      <c r="P26">
        <f>+E44</f>
        <v>2457675.8254900002</v>
      </c>
      <c r="Q26" t="str">
        <f>+F44</f>
        <v>2016 Oct. 14.32549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2814</v>
      </c>
      <c r="B28" t="s">
        <v>2815</v>
      </c>
      <c r="C28" t="s">
        <v>67</v>
      </c>
      <c r="D28">
        <v>161105</v>
      </c>
      <c r="E28" t="s">
        <v>31</v>
      </c>
      <c r="F28" t="s">
        <v>31</v>
      </c>
    </row>
    <row r="29" spans="1:17" x14ac:dyDescent="0.25">
      <c r="D29" t="s">
        <v>1308</v>
      </c>
      <c r="E29">
        <v>2457681.8163800002</v>
      </c>
      <c r="F29" t="s">
        <v>2816</v>
      </c>
      <c r="G29">
        <v>6.9630000000000001</v>
      </c>
      <c r="H29">
        <v>2E-3</v>
      </c>
      <c r="I29" t="s">
        <v>18</v>
      </c>
      <c r="J29" t="s">
        <v>72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27</v>
      </c>
      <c r="B31" t="s">
        <v>2817</v>
      </c>
      <c r="C31" t="s">
        <v>67</v>
      </c>
      <c r="D31">
        <v>161105</v>
      </c>
      <c r="E31" t="s">
        <v>31</v>
      </c>
      <c r="F31" t="s">
        <v>31</v>
      </c>
    </row>
    <row r="32" spans="1:17" x14ac:dyDescent="0.25">
      <c r="D32" t="s">
        <v>1308</v>
      </c>
      <c r="E32">
        <v>2457681.8152299998</v>
      </c>
      <c r="F32" t="s">
        <v>2818</v>
      </c>
      <c r="G32">
        <v>8.6940000000000008</v>
      </c>
      <c r="H32">
        <v>7.0000000000000001E-3</v>
      </c>
      <c r="I32" t="s">
        <v>34</v>
      </c>
      <c r="J32" t="s">
        <v>72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2819</v>
      </c>
      <c r="B34" t="s">
        <v>2820</v>
      </c>
      <c r="C34" t="s">
        <v>67</v>
      </c>
      <c r="D34">
        <v>161105</v>
      </c>
      <c r="E34" t="s">
        <v>31</v>
      </c>
      <c r="F34" t="s">
        <v>31</v>
      </c>
    </row>
    <row r="35" spans="1:11" x14ac:dyDescent="0.25">
      <c r="D35" t="s">
        <v>1308</v>
      </c>
      <c r="E35">
        <v>2457677.8248000001</v>
      </c>
      <c r="F35" t="s">
        <v>2821</v>
      </c>
      <c r="G35">
        <v>6.8710000000000004</v>
      </c>
      <c r="H35">
        <v>5.0000000000000001E-3</v>
      </c>
      <c r="I35" t="s">
        <v>18</v>
      </c>
      <c r="J35" t="s">
        <v>72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27</v>
      </c>
      <c r="B37" t="s">
        <v>2822</v>
      </c>
      <c r="C37" t="s">
        <v>67</v>
      </c>
      <c r="D37">
        <v>161105</v>
      </c>
      <c r="E37" t="s">
        <v>31</v>
      </c>
      <c r="F37" t="s">
        <v>31</v>
      </c>
    </row>
    <row r="38" spans="1:11" x14ac:dyDescent="0.25">
      <c r="D38" t="s">
        <v>1308</v>
      </c>
      <c r="E38">
        <v>2457676.8209600002</v>
      </c>
      <c r="F38" t="s">
        <v>2823</v>
      </c>
      <c r="G38">
        <v>6.8789999999999996</v>
      </c>
      <c r="H38">
        <v>4.0000000000000001E-3</v>
      </c>
      <c r="I38" t="s">
        <v>18</v>
      </c>
      <c r="J38" t="s">
        <v>72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27</v>
      </c>
      <c r="B40" t="s">
        <v>2824</v>
      </c>
      <c r="C40" t="s">
        <v>67</v>
      </c>
      <c r="D40">
        <v>161016</v>
      </c>
      <c r="E40" t="s">
        <v>31</v>
      </c>
      <c r="F40" t="s">
        <v>31</v>
      </c>
    </row>
    <row r="41" spans="1:11" x14ac:dyDescent="0.25">
      <c r="D41" t="s">
        <v>1308</v>
      </c>
      <c r="E41">
        <v>2457676.82015</v>
      </c>
      <c r="F41" t="s">
        <v>2825</v>
      </c>
      <c r="G41">
        <v>8.4930000000000003</v>
      </c>
      <c r="H41">
        <v>1.2999999999999999E-2</v>
      </c>
      <c r="I41" t="s">
        <v>34</v>
      </c>
      <c r="J41" t="s">
        <v>72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2826</v>
      </c>
      <c r="B43" t="s">
        <v>2827</v>
      </c>
      <c r="C43" t="s">
        <v>67</v>
      </c>
      <c r="D43">
        <v>161016</v>
      </c>
      <c r="E43" t="s">
        <v>31</v>
      </c>
      <c r="F43" t="s">
        <v>31</v>
      </c>
    </row>
    <row r="44" spans="1:11" x14ac:dyDescent="0.25">
      <c r="D44" t="s">
        <v>1308</v>
      </c>
      <c r="E44">
        <v>2457675.8254900002</v>
      </c>
      <c r="F44" t="s">
        <v>2828</v>
      </c>
      <c r="G44">
        <v>6.907</v>
      </c>
      <c r="H44">
        <v>2E-3</v>
      </c>
      <c r="I44" t="s">
        <v>18</v>
      </c>
      <c r="J44" t="s">
        <v>72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27</v>
      </c>
      <c r="B46" t="s">
        <v>1339</v>
      </c>
      <c r="C46" t="s">
        <v>67</v>
      </c>
      <c r="D46">
        <v>161016</v>
      </c>
      <c r="E46" t="s">
        <v>31</v>
      </c>
      <c r="F46" t="s">
        <v>31</v>
      </c>
    </row>
    <row r="47" spans="1:11" x14ac:dyDescent="0.25">
      <c r="D47" t="s">
        <v>1308</v>
      </c>
      <c r="E47">
        <v>2457675.8246499998</v>
      </c>
      <c r="F47" t="s">
        <v>2829</v>
      </c>
      <c r="G47">
        <v>8.5399999999999991</v>
      </c>
      <c r="H47">
        <v>5.0000000000000001E-3</v>
      </c>
      <c r="I47" t="s">
        <v>34</v>
      </c>
      <c r="J47" t="s">
        <v>72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2830</v>
      </c>
      <c r="B49" t="s">
        <v>2831</v>
      </c>
      <c r="C49" t="s">
        <v>67</v>
      </c>
      <c r="D49">
        <v>161016</v>
      </c>
      <c r="E49" t="s">
        <v>31</v>
      </c>
      <c r="F49" t="s">
        <v>31</v>
      </c>
    </row>
    <row r="50" spans="1:11" x14ac:dyDescent="0.25">
      <c r="D50" t="s">
        <v>1308</v>
      </c>
      <c r="E50">
        <v>2457672.8410899998</v>
      </c>
      <c r="F50" t="s">
        <v>2832</v>
      </c>
      <c r="G50">
        <v>6.9409999999999998</v>
      </c>
      <c r="H50">
        <v>2E-3</v>
      </c>
      <c r="I50" t="s">
        <v>18</v>
      </c>
      <c r="J50" t="s">
        <v>72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27</v>
      </c>
      <c r="B52" t="s">
        <v>2833</v>
      </c>
      <c r="C52" t="s">
        <v>67</v>
      </c>
      <c r="D52">
        <v>161016</v>
      </c>
      <c r="E52" t="s">
        <v>31</v>
      </c>
      <c r="F52" t="s">
        <v>31</v>
      </c>
    </row>
    <row r="53" spans="1:11" x14ac:dyDescent="0.25">
      <c r="D53" t="s">
        <v>1308</v>
      </c>
      <c r="E53">
        <v>2457672.8395400001</v>
      </c>
      <c r="F53" t="s">
        <v>2834</v>
      </c>
      <c r="G53">
        <v>8.5820000000000007</v>
      </c>
      <c r="H53">
        <v>6.0000000000000001E-3</v>
      </c>
      <c r="I53" t="s">
        <v>34</v>
      </c>
      <c r="J53" t="s">
        <v>72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2835</v>
      </c>
      <c r="B55" t="s">
        <v>2836</v>
      </c>
      <c r="C55" t="s">
        <v>67</v>
      </c>
      <c r="D55">
        <v>161016</v>
      </c>
      <c r="E55" t="s">
        <v>31</v>
      </c>
      <c r="F55" t="s">
        <v>31</v>
      </c>
    </row>
    <row r="56" spans="1:11" x14ac:dyDescent="0.25">
      <c r="D56" t="s">
        <v>1308</v>
      </c>
      <c r="E56">
        <v>2457377.6658999999</v>
      </c>
      <c r="F56" t="s">
        <v>1309</v>
      </c>
      <c r="G56">
        <v>8.6069999999999993</v>
      </c>
      <c r="H56">
        <v>4.0000000000000001E-3</v>
      </c>
      <c r="I56" t="s">
        <v>34</v>
      </c>
      <c r="J56" t="s">
        <v>72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1310</v>
      </c>
      <c r="B58" t="s">
        <v>1311</v>
      </c>
      <c r="C58" t="s">
        <v>67</v>
      </c>
      <c r="D58">
        <v>151229</v>
      </c>
      <c r="E58" t="s">
        <v>31</v>
      </c>
      <c r="F58" t="s">
        <v>31</v>
      </c>
    </row>
    <row r="59" spans="1:11" x14ac:dyDescent="0.25">
      <c r="D59" t="s">
        <v>1308</v>
      </c>
      <c r="E59">
        <v>2457376.6308800001</v>
      </c>
      <c r="F59" t="s">
        <v>1312</v>
      </c>
      <c r="G59">
        <v>6.968</v>
      </c>
      <c r="H59">
        <v>2E-3</v>
      </c>
      <c r="I59" t="s">
        <v>18</v>
      </c>
      <c r="J59" t="s">
        <v>72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27</v>
      </c>
      <c r="B61" t="s">
        <v>1313</v>
      </c>
      <c r="C61" t="s">
        <v>67</v>
      </c>
      <c r="D61">
        <v>151229</v>
      </c>
      <c r="E61" t="s">
        <v>31</v>
      </c>
      <c r="F61" t="s">
        <v>31</v>
      </c>
    </row>
    <row r="62" spans="1:11" x14ac:dyDescent="0.25">
      <c r="D62" t="s">
        <v>1308</v>
      </c>
      <c r="E62">
        <v>2457376.6299000001</v>
      </c>
      <c r="F62" t="s">
        <v>1314</v>
      </c>
      <c r="G62">
        <v>8.58</v>
      </c>
      <c r="H62">
        <v>5.0000000000000001E-3</v>
      </c>
      <c r="I62" t="s">
        <v>34</v>
      </c>
      <c r="J62" t="s">
        <v>72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1315</v>
      </c>
      <c r="B64" t="s">
        <v>1316</v>
      </c>
      <c r="C64" t="s">
        <v>67</v>
      </c>
      <c r="D64">
        <v>151229</v>
      </c>
      <c r="E64" t="s">
        <v>31</v>
      </c>
      <c r="F64" t="s">
        <v>31</v>
      </c>
    </row>
    <row r="65" spans="1:11" x14ac:dyDescent="0.25">
      <c r="D65" t="s">
        <v>1308</v>
      </c>
      <c r="E65">
        <v>2457372.6438099998</v>
      </c>
      <c r="F65" t="s">
        <v>1317</v>
      </c>
      <c r="G65">
        <v>6.9169999999999998</v>
      </c>
      <c r="H65">
        <v>2E-3</v>
      </c>
      <c r="I65" t="s">
        <v>18</v>
      </c>
      <c r="J65" t="s">
        <v>72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27</v>
      </c>
      <c r="B67" t="s">
        <v>1318</v>
      </c>
      <c r="C67" t="s">
        <v>67</v>
      </c>
      <c r="D67">
        <v>151229</v>
      </c>
      <c r="E67" t="s">
        <v>31</v>
      </c>
      <c r="F67" t="s">
        <v>31</v>
      </c>
    </row>
    <row r="68" spans="1:11" x14ac:dyDescent="0.25">
      <c r="D68" t="s">
        <v>1308</v>
      </c>
      <c r="E68">
        <v>2457372.6427099998</v>
      </c>
      <c r="F68" t="s">
        <v>1319</v>
      </c>
      <c r="G68">
        <v>8.6110000000000007</v>
      </c>
      <c r="H68">
        <v>4.0000000000000001E-3</v>
      </c>
      <c r="I68" t="s">
        <v>34</v>
      </c>
      <c r="J68" t="s">
        <v>72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1320</v>
      </c>
      <c r="B70" t="s">
        <v>1321</v>
      </c>
      <c r="C70" t="s">
        <v>67</v>
      </c>
      <c r="D70">
        <v>151229</v>
      </c>
      <c r="E70" t="s">
        <v>31</v>
      </c>
      <c r="F70" t="s">
        <v>31</v>
      </c>
    </row>
    <row r="71" spans="1:11" x14ac:dyDescent="0.25">
      <c r="D71" t="s">
        <v>1308</v>
      </c>
      <c r="E71">
        <v>2457368.65662</v>
      </c>
      <c r="F71" t="s">
        <v>1322</v>
      </c>
      <c r="G71">
        <v>6.8840000000000003</v>
      </c>
      <c r="H71">
        <v>2E-3</v>
      </c>
      <c r="I71" t="s">
        <v>18</v>
      </c>
      <c r="J71" t="s">
        <v>72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27</v>
      </c>
      <c r="B73" t="s">
        <v>1323</v>
      </c>
      <c r="C73" t="s">
        <v>67</v>
      </c>
      <c r="D73">
        <v>151213</v>
      </c>
      <c r="E73" t="s">
        <v>31</v>
      </c>
      <c r="F73" t="s">
        <v>31</v>
      </c>
    </row>
    <row r="74" spans="1:11" x14ac:dyDescent="0.25">
      <c r="D74" t="s">
        <v>1308</v>
      </c>
      <c r="E74">
        <v>2457368.6555400002</v>
      </c>
      <c r="F74" t="s">
        <v>1324</v>
      </c>
      <c r="G74">
        <v>8.5570000000000004</v>
      </c>
      <c r="H74">
        <v>5.0000000000000001E-3</v>
      </c>
      <c r="I74" t="s">
        <v>34</v>
      </c>
      <c r="J74" t="s">
        <v>72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1325</v>
      </c>
      <c r="B76" t="s">
        <v>1326</v>
      </c>
      <c r="C76" t="s">
        <v>67</v>
      </c>
      <c r="D76">
        <v>151213</v>
      </c>
      <c r="E76" t="s">
        <v>31</v>
      </c>
      <c r="F76" t="s">
        <v>31</v>
      </c>
    </row>
    <row r="77" spans="1:11" x14ac:dyDescent="0.25">
      <c r="D77" t="s">
        <v>1308</v>
      </c>
      <c r="E77">
        <v>2457363.6610300001</v>
      </c>
      <c r="F77" t="s">
        <v>1327</v>
      </c>
      <c r="G77">
        <v>6.9080000000000004</v>
      </c>
      <c r="H77">
        <v>5.0000000000000001E-3</v>
      </c>
      <c r="I77" t="s">
        <v>18</v>
      </c>
      <c r="J77" t="s">
        <v>72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27</v>
      </c>
      <c r="B79" t="s">
        <v>1328</v>
      </c>
      <c r="C79" t="s">
        <v>67</v>
      </c>
      <c r="D79">
        <v>151213</v>
      </c>
      <c r="E79" t="s">
        <v>31</v>
      </c>
      <c r="F79" t="s">
        <v>31</v>
      </c>
    </row>
    <row r="80" spans="1:11" x14ac:dyDescent="0.25">
      <c r="D80" t="s">
        <v>1308</v>
      </c>
      <c r="E80">
        <v>2457363.6600100002</v>
      </c>
      <c r="F80" t="s">
        <v>1329</v>
      </c>
      <c r="G80">
        <v>8.5</v>
      </c>
      <c r="H80">
        <v>1.4E-2</v>
      </c>
      <c r="I80" t="s">
        <v>34</v>
      </c>
      <c r="J80" t="s">
        <v>72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1330</v>
      </c>
      <c r="B82" t="s">
        <v>1331</v>
      </c>
      <c r="C82" t="s">
        <v>67</v>
      </c>
      <c r="D82">
        <v>151213</v>
      </c>
      <c r="E82" t="s">
        <v>31</v>
      </c>
      <c r="F82" t="s">
        <v>31</v>
      </c>
    </row>
    <row r="83" spans="1:11" x14ac:dyDescent="0.25">
      <c r="D83" t="s">
        <v>1308</v>
      </c>
      <c r="E83">
        <v>2457362.6716200002</v>
      </c>
      <c r="F83" t="s">
        <v>1332</v>
      </c>
      <c r="G83">
        <v>6.9189999999999996</v>
      </c>
      <c r="H83">
        <v>2E-3</v>
      </c>
      <c r="I83" t="s">
        <v>18</v>
      </c>
      <c r="J83" t="s">
        <v>72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27</v>
      </c>
      <c r="B85" t="s">
        <v>1333</v>
      </c>
      <c r="C85" t="s">
        <v>67</v>
      </c>
      <c r="D85">
        <v>151213</v>
      </c>
      <c r="E85" t="s">
        <v>31</v>
      </c>
      <c r="F85" t="s">
        <v>31</v>
      </c>
    </row>
    <row r="86" spans="1:11" x14ac:dyDescent="0.25">
      <c r="D86" t="s">
        <v>1308</v>
      </c>
      <c r="E86">
        <v>2457362.6705700001</v>
      </c>
      <c r="F86" t="s">
        <v>1334</v>
      </c>
      <c r="G86">
        <v>8.5609999999999999</v>
      </c>
      <c r="H86">
        <v>4.0000000000000001E-3</v>
      </c>
      <c r="I86" t="s">
        <v>34</v>
      </c>
      <c r="J86" t="s">
        <v>72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1335</v>
      </c>
      <c r="B88" t="s">
        <v>1336</v>
      </c>
      <c r="C88" t="s">
        <v>67</v>
      </c>
      <c r="D88">
        <v>151213</v>
      </c>
      <c r="E88" t="s">
        <v>31</v>
      </c>
      <c r="F88" t="s">
        <v>31</v>
      </c>
    </row>
    <row r="89" spans="1:11" x14ac:dyDescent="0.25">
      <c r="D89" t="s">
        <v>1308</v>
      </c>
      <c r="E89">
        <v>2457361.6762299999</v>
      </c>
      <c r="F89" t="s">
        <v>1337</v>
      </c>
      <c r="G89">
        <v>6.9029999999999996</v>
      </c>
      <c r="H89">
        <v>2E-3</v>
      </c>
      <c r="I89" t="s">
        <v>18</v>
      </c>
      <c r="J89" t="s">
        <v>72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27</v>
      </c>
      <c r="B91" t="s">
        <v>1338</v>
      </c>
      <c r="C91" t="s">
        <v>67</v>
      </c>
      <c r="D91">
        <v>151213</v>
      </c>
      <c r="E91" t="s">
        <v>31</v>
      </c>
      <c r="F91" t="s">
        <v>31</v>
      </c>
    </row>
    <row r="92" spans="1:11" x14ac:dyDescent="0.25">
      <c r="A92" t="s">
        <v>855</v>
      </c>
    </row>
  </sheetData>
  <hyperlinks>
    <hyperlink ref="L1" r:id="rId1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5"/>
  <dimension ref="A1:Q92"/>
  <sheetViews>
    <sheetView workbookViewId="0"/>
  </sheetViews>
  <sheetFormatPr baseColWidth="10" defaultRowHeight="15" x14ac:dyDescent="0.25"/>
  <cols>
    <col min="1" max="2" width="20" bestFit="1" customWidth="1"/>
    <col min="3" max="3" width="12.28515625" bestFit="1" customWidth="1"/>
    <col min="4" max="4" width="15.140625" customWidth="1"/>
    <col min="5" max="5" width="15.5703125" bestFit="1" customWidth="1"/>
    <col min="6" max="6" width="41.57031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1030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2009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1031</v>
      </c>
      <c r="E17">
        <v>2457615.4585799999</v>
      </c>
      <c r="F17" t="s">
        <v>2010</v>
      </c>
      <c r="G17">
        <v>13.384</v>
      </c>
      <c r="H17">
        <v>1.2999999999999999E-2</v>
      </c>
      <c r="I17" t="s">
        <v>18</v>
      </c>
      <c r="J17" t="s">
        <v>19</v>
      </c>
      <c r="K17" t="s">
        <v>20</v>
      </c>
      <c r="M17" t="str">
        <f>+I17</f>
        <v>V</v>
      </c>
      <c r="N17">
        <f>+G17</f>
        <v>13.384</v>
      </c>
      <c r="O17" t="str">
        <f>+J17</f>
        <v>BDG</v>
      </c>
      <c r="P17">
        <f>+E17</f>
        <v>2457615.4585799999</v>
      </c>
      <c r="Q17" t="str">
        <f>+F17</f>
        <v>2016 Aug. 14.95858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B</v>
      </c>
      <c r="N18">
        <f>+G20</f>
        <v>14.026999999999999</v>
      </c>
      <c r="O18" t="str">
        <f>+J20</f>
        <v>BDG</v>
      </c>
      <c r="P18">
        <f>+E20</f>
        <v>2457615.4580100002</v>
      </c>
      <c r="Q18" t="str">
        <f>+F20</f>
        <v>2016 Aug. 14.95801</v>
      </c>
    </row>
    <row r="19" spans="1:17" x14ac:dyDescent="0.25">
      <c r="A19" t="s">
        <v>27</v>
      </c>
      <c r="B19" t="s">
        <v>2011</v>
      </c>
      <c r="C19" t="s">
        <v>29</v>
      </c>
      <c r="D19" t="s">
        <v>1063</v>
      </c>
      <c r="E19" t="s">
        <v>31</v>
      </c>
      <c r="F19" t="s">
        <v>1064</v>
      </c>
      <c r="M19" t="str">
        <f>+I23</f>
        <v>V</v>
      </c>
      <c r="N19">
        <f>+G23</f>
        <v>13.377000000000001</v>
      </c>
      <c r="O19" t="str">
        <f>+J23</f>
        <v>BDG</v>
      </c>
      <c r="P19">
        <f>+E23</f>
        <v>2457612.52373</v>
      </c>
      <c r="Q19" t="str">
        <f>+F23</f>
        <v>2016 Aug. 12.02373</v>
      </c>
    </row>
    <row r="20" spans="1:17" x14ac:dyDescent="0.25">
      <c r="D20" t="s">
        <v>1031</v>
      </c>
      <c r="E20">
        <v>2457615.4580100002</v>
      </c>
      <c r="F20" t="s">
        <v>2012</v>
      </c>
      <c r="G20">
        <v>14.026999999999999</v>
      </c>
      <c r="H20">
        <v>1.0999999999999999E-2</v>
      </c>
      <c r="I20" t="s">
        <v>34</v>
      </c>
      <c r="J20" t="s">
        <v>19</v>
      </c>
      <c r="K20" t="s">
        <v>20</v>
      </c>
      <c r="M20" t="str">
        <f>+I26</f>
        <v>B</v>
      </c>
      <c r="N20">
        <f>+G26</f>
        <v>14.04</v>
      </c>
      <c r="O20" t="str">
        <f>+J26</f>
        <v>BDG</v>
      </c>
      <c r="P20">
        <f>+E26</f>
        <v>2457612.5231599999</v>
      </c>
      <c r="Q20" t="str">
        <f>+F26</f>
        <v>2016 Aug. 12.02316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13.388</v>
      </c>
      <c r="O21" t="str">
        <f>+J29</f>
        <v>BDG</v>
      </c>
      <c r="P21">
        <f>+E29</f>
        <v>2457605.40686</v>
      </c>
      <c r="Q21" t="str">
        <f>+F29</f>
        <v>2016 Aug. 04.90686</v>
      </c>
    </row>
    <row r="22" spans="1:17" x14ac:dyDescent="0.25">
      <c r="A22" t="s">
        <v>27</v>
      </c>
      <c r="B22" t="s">
        <v>2013</v>
      </c>
      <c r="C22" t="s">
        <v>29</v>
      </c>
      <c r="D22" t="s">
        <v>1063</v>
      </c>
      <c r="E22" t="s">
        <v>31</v>
      </c>
      <c r="F22" t="s">
        <v>1064</v>
      </c>
      <c r="M22" t="str">
        <f>+I32</f>
        <v>B</v>
      </c>
      <c r="N22">
        <f>+G32</f>
        <v>14.042</v>
      </c>
      <c r="O22" t="str">
        <f>+J32</f>
        <v>BDG</v>
      </c>
      <c r="P22">
        <f>+E32</f>
        <v>2457605.4062899998</v>
      </c>
      <c r="Q22" t="str">
        <f>+F32</f>
        <v>2016 Aug. 04.90629</v>
      </c>
    </row>
    <row r="23" spans="1:17" x14ac:dyDescent="0.25">
      <c r="D23" t="s">
        <v>1031</v>
      </c>
      <c r="E23">
        <v>2457612.52373</v>
      </c>
      <c r="F23" t="s">
        <v>2014</v>
      </c>
      <c r="G23">
        <v>13.377000000000001</v>
      </c>
      <c r="H23">
        <v>0.01</v>
      </c>
      <c r="I23" t="s">
        <v>18</v>
      </c>
      <c r="J23" t="s">
        <v>19</v>
      </c>
      <c r="K23" t="s">
        <v>20</v>
      </c>
      <c r="M23" t="str">
        <f>+I35</f>
        <v>V</v>
      </c>
      <c r="N23">
        <f>+G35</f>
        <v>13.48</v>
      </c>
      <c r="O23" t="str">
        <f>+J35</f>
        <v>OCN</v>
      </c>
      <c r="P23">
        <f>+E35</f>
        <v>2457549.9413999999</v>
      </c>
      <c r="Q23" t="str">
        <f>+F35</f>
        <v>2016 Jun. 10.44140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B</v>
      </c>
      <c r="N24">
        <f>+G38</f>
        <v>14.21</v>
      </c>
      <c r="O24" t="str">
        <f>+J38</f>
        <v>OCN</v>
      </c>
      <c r="P24">
        <f>+E38</f>
        <v>2457549.94</v>
      </c>
      <c r="Q24" t="str">
        <f>+F38</f>
        <v>2016 Jun. 10.44000</v>
      </c>
    </row>
    <row r="25" spans="1:17" x14ac:dyDescent="0.25">
      <c r="A25" t="s">
        <v>27</v>
      </c>
      <c r="B25" t="s">
        <v>2015</v>
      </c>
      <c r="C25" t="s">
        <v>29</v>
      </c>
      <c r="D25" t="s">
        <v>1063</v>
      </c>
      <c r="E25" t="s">
        <v>31</v>
      </c>
      <c r="F25" t="s">
        <v>1064</v>
      </c>
      <c r="M25" t="str">
        <f>+I41</f>
        <v>U</v>
      </c>
      <c r="N25">
        <f>+G41</f>
        <v>14.08</v>
      </c>
      <c r="O25" t="str">
        <f>+J41</f>
        <v>OCN</v>
      </c>
      <c r="P25">
        <f>+E41</f>
        <v>2457549.9389</v>
      </c>
      <c r="Q25" t="str">
        <f>+F41</f>
        <v>2016 Jun. 10.43890</v>
      </c>
    </row>
    <row r="26" spans="1:17" x14ac:dyDescent="0.25">
      <c r="D26" t="s">
        <v>1031</v>
      </c>
      <c r="E26">
        <v>2457612.5231599999</v>
      </c>
      <c r="F26" t="s">
        <v>2016</v>
      </c>
      <c r="G26">
        <v>14.04</v>
      </c>
      <c r="H26">
        <v>1.2999999999999999E-2</v>
      </c>
      <c r="I26" t="s">
        <v>34</v>
      </c>
      <c r="J26" t="s">
        <v>19</v>
      </c>
      <c r="K26" t="s">
        <v>20</v>
      </c>
      <c r="M26" t="str">
        <f>+I44</f>
        <v>I</v>
      </c>
      <c r="N26">
        <f>+G44</f>
        <v>11.077999999999999</v>
      </c>
      <c r="O26" t="str">
        <f>+J44</f>
        <v>SJAR</v>
      </c>
      <c r="P26">
        <f>+E44</f>
        <v>2457331.25263</v>
      </c>
      <c r="Q26" t="str">
        <f>+F44</f>
        <v>2015 Nov. 04.75263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27</v>
      </c>
      <c r="B28" t="s">
        <v>1073</v>
      </c>
      <c r="C28" t="s">
        <v>29</v>
      </c>
      <c r="D28" t="s">
        <v>1063</v>
      </c>
      <c r="E28" t="s">
        <v>31</v>
      </c>
      <c r="F28" t="s">
        <v>1064</v>
      </c>
    </row>
    <row r="29" spans="1:17" x14ac:dyDescent="0.25">
      <c r="D29" t="s">
        <v>1031</v>
      </c>
      <c r="E29">
        <v>2457605.40686</v>
      </c>
      <c r="F29" t="s">
        <v>2017</v>
      </c>
      <c r="G29">
        <v>13.388</v>
      </c>
      <c r="H29">
        <v>1.2999999999999999E-2</v>
      </c>
      <c r="I29" t="s">
        <v>18</v>
      </c>
      <c r="J29" t="s">
        <v>19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27</v>
      </c>
      <c r="B31" t="s">
        <v>2018</v>
      </c>
      <c r="C31" t="s">
        <v>29</v>
      </c>
      <c r="D31" t="s">
        <v>1063</v>
      </c>
      <c r="E31" t="s">
        <v>31</v>
      </c>
      <c r="F31" t="s">
        <v>2019</v>
      </c>
    </row>
    <row r="32" spans="1:17" x14ac:dyDescent="0.25">
      <c r="D32" t="s">
        <v>1031</v>
      </c>
      <c r="E32">
        <v>2457605.4062899998</v>
      </c>
      <c r="F32" t="s">
        <v>2020</v>
      </c>
      <c r="G32">
        <v>14.042</v>
      </c>
      <c r="H32">
        <v>1.0999999999999999E-2</v>
      </c>
      <c r="I32" t="s">
        <v>34</v>
      </c>
      <c r="J32" t="s">
        <v>19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27</v>
      </c>
      <c r="B34" t="s">
        <v>2021</v>
      </c>
      <c r="C34" t="s">
        <v>29</v>
      </c>
      <c r="D34" t="s">
        <v>1063</v>
      </c>
      <c r="E34" t="s">
        <v>31</v>
      </c>
      <c r="F34" t="s">
        <v>2019</v>
      </c>
    </row>
    <row r="35" spans="1:11" x14ac:dyDescent="0.25">
      <c r="D35" t="s">
        <v>1031</v>
      </c>
      <c r="E35">
        <v>2457549.9413999999</v>
      </c>
      <c r="F35" t="s">
        <v>1032</v>
      </c>
      <c r="G35">
        <v>13.48</v>
      </c>
      <c r="H35">
        <v>0.01</v>
      </c>
      <c r="I35" t="s">
        <v>18</v>
      </c>
      <c r="J35" t="s">
        <v>260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1033</v>
      </c>
      <c r="B37" t="s">
        <v>1034</v>
      </c>
      <c r="C37" t="s">
        <v>67</v>
      </c>
      <c r="D37" t="s">
        <v>1035</v>
      </c>
      <c r="E37" t="s">
        <v>31</v>
      </c>
      <c r="F37" t="s">
        <v>1036</v>
      </c>
    </row>
    <row r="38" spans="1:11" x14ac:dyDescent="0.25">
      <c r="D38" t="s">
        <v>1031</v>
      </c>
      <c r="E38">
        <v>2457549.94</v>
      </c>
      <c r="F38" t="s">
        <v>1037</v>
      </c>
      <c r="G38">
        <v>14.21</v>
      </c>
      <c r="H38">
        <v>0.02</v>
      </c>
      <c r="I38" t="s">
        <v>34</v>
      </c>
      <c r="J38" t="s">
        <v>260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1038</v>
      </c>
      <c r="B40" t="s">
        <v>1039</v>
      </c>
      <c r="C40" t="s">
        <v>67</v>
      </c>
      <c r="D40" t="s">
        <v>1035</v>
      </c>
      <c r="E40" t="s">
        <v>31</v>
      </c>
      <c r="F40" t="s">
        <v>1040</v>
      </c>
    </row>
    <row r="41" spans="1:11" x14ac:dyDescent="0.25">
      <c r="D41" t="s">
        <v>1031</v>
      </c>
      <c r="E41">
        <v>2457549.9389</v>
      </c>
      <c r="F41" t="s">
        <v>1041</v>
      </c>
      <c r="G41">
        <v>14.08</v>
      </c>
      <c r="H41">
        <v>0.14000000000000001</v>
      </c>
      <c r="I41" t="s">
        <v>396</v>
      </c>
      <c r="J41" t="s">
        <v>260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1042</v>
      </c>
      <c r="B43" t="s">
        <v>1043</v>
      </c>
      <c r="C43" t="s">
        <v>67</v>
      </c>
      <c r="D43" t="s">
        <v>1035</v>
      </c>
      <c r="E43" t="s">
        <v>31</v>
      </c>
      <c r="F43" t="s">
        <v>399</v>
      </c>
    </row>
    <row r="44" spans="1:11" x14ac:dyDescent="0.25">
      <c r="D44" t="s">
        <v>1031</v>
      </c>
      <c r="E44">
        <v>2457331.25263</v>
      </c>
      <c r="F44" t="s">
        <v>1044</v>
      </c>
      <c r="G44">
        <v>11.077999999999999</v>
      </c>
      <c r="H44">
        <v>1.2E-2</v>
      </c>
      <c r="I44" t="s">
        <v>249</v>
      </c>
      <c r="J44" t="s">
        <v>1045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27</v>
      </c>
      <c r="B46" t="s">
        <v>1046</v>
      </c>
      <c r="C46" t="s">
        <v>67</v>
      </c>
      <c r="D46" t="s">
        <v>1047</v>
      </c>
      <c r="E46" t="s">
        <v>31</v>
      </c>
      <c r="F46" t="s">
        <v>31</v>
      </c>
    </row>
    <row r="47" spans="1:11" x14ac:dyDescent="0.25">
      <c r="D47" t="s">
        <v>1031</v>
      </c>
      <c r="E47">
        <v>2457331.2511800001</v>
      </c>
      <c r="F47" t="s">
        <v>1048</v>
      </c>
      <c r="G47">
        <v>15.22</v>
      </c>
      <c r="H47">
        <v>0.112</v>
      </c>
      <c r="I47" t="s">
        <v>34</v>
      </c>
      <c r="J47" t="s">
        <v>1045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27</v>
      </c>
      <c r="B49" t="s">
        <v>1049</v>
      </c>
      <c r="C49" t="s">
        <v>67</v>
      </c>
      <c r="D49" t="s">
        <v>1047</v>
      </c>
      <c r="E49" t="s">
        <v>31</v>
      </c>
      <c r="F49" t="s">
        <v>31</v>
      </c>
    </row>
    <row r="50" spans="1:11" x14ac:dyDescent="0.25">
      <c r="D50" t="s">
        <v>1031</v>
      </c>
      <c r="E50">
        <v>2457331.2497200002</v>
      </c>
      <c r="F50" t="s">
        <v>1050</v>
      </c>
      <c r="G50">
        <v>12.583</v>
      </c>
      <c r="H50">
        <v>7.0000000000000001E-3</v>
      </c>
      <c r="I50" t="s">
        <v>250</v>
      </c>
      <c r="J50" t="s">
        <v>1045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27</v>
      </c>
      <c r="B52" t="s">
        <v>1051</v>
      </c>
      <c r="C52" t="s">
        <v>67</v>
      </c>
      <c r="D52" t="s">
        <v>1047</v>
      </c>
      <c r="E52" t="s">
        <v>31</v>
      </c>
      <c r="F52" t="s">
        <v>31</v>
      </c>
    </row>
    <row r="53" spans="1:11" x14ac:dyDescent="0.25">
      <c r="D53" t="s">
        <v>1031</v>
      </c>
      <c r="E53">
        <v>2457331.2482599998</v>
      </c>
      <c r="F53" t="s">
        <v>1052</v>
      </c>
      <c r="G53">
        <v>14.42</v>
      </c>
      <c r="H53">
        <v>2.7E-2</v>
      </c>
      <c r="I53" t="s">
        <v>18</v>
      </c>
      <c r="J53" t="s">
        <v>1045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27</v>
      </c>
      <c r="B55" t="s">
        <v>1053</v>
      </c>
      <c r="C55" t="s">
        <v>67</v>
      </c>
      <c r="D55" t="s">
        <v>1047</v>
      </c>
      <c r="E55" t="s">
        <v>31</v>
      </c>
      <c r="F55" t="s">
        <v>31</v>
      </c>
    </row>
    <row r="56" spans="1:11" x14ac:dyDescent="0.25">
      <c r="D56" t="s">
        <v>1031</v>
      </c>
      <c r="E56">
        <v>2457329.6507199998</v>
      </c>
      <c r="F56" t="s">
        <v>1054</v>
      </c>
      <c r="G56">
        <v>14.395</v>
      </c>
      <c r="H56">
        <v>0.12</v>
      </c>
      <c r="I56" t="s">
        <v>18</v>
      </c>
      <c r="J56" t="s">
        <v>1055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27</v>
      </c>
      <c r="B58" t="s">
        <v>1056</v>
      </c>
      <c r="C58" t="s">
        <v>67</v>
      </c>
      <c r="D58" t="s">
        <v>1057</v>
      </c>
      <c r="E58" t="s">
        <v>31</v>
      </c>
      <c r="F58" t="s">
        <v>31</v>
      </c>
    </row>
    <row r="59" spans="1:11" x14ac:dyDescent="0.25">
      <c r="D59" t="s">
        <v>1031</v>
      </c>
      <c r="E59">
        <v>2457301.4936899999</v>
      </c>
      <c r="F59" t="s">
        <v>1058</v>
      </c>
      <c r="G59">
        <v>14.262</v>
      </c>
      <c r="H59">
        <v>3.7999999999999999E-2</v>
      </c>
      <c r="I59" t="s">
        <v>18</v>
      </c>
      <c r="J59" t="s">
        <v>1055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27</v>
      </c>
      <c r="B61" t="s">
        <v>1059</v>
      </c>
      <c r="C61" t="s">
        <v>67</v>
      </c>
      <c r="D61" t="s">
        <v>1060</v>
      </c>
      <c r="E61" t="s">
        <v>31</v>
      </c>
      <c r="F61" t="s">
        <v>31</v>
      </c>
    </row>
    <row r="62" spans="1:11" x14ac:dyDescent="0.25">
      <c r="D62" t="s">
        <v>1031</v>
      </c>
      <c r="E62">
        <v>2457292.44753</v>
      </c>
      <c r="F62" t="s">
        <v>1061</v>
      </c>
      <c r="G62">
        <v>14.276</v>
      </c>
      <c r="H62">
        <v>1.2999999999999999E-2</v>
      </c>
      <c r="I62" t="s">
        <v>18</v>
      </c>
      <c r="J62" t="s">
        <v>19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27</v>
      </c>
      <c r="B64" t="s">
        <v>1062</v>
      </c>
      <c r="C64" t="s">
        <v>29</v>
      </c>
      <c r="D64" t="s">
        <v>1063</v>
      </c>
      <c r="E64" t="s">
        <v>31</v>
      </c>
      <c r="F64" t="s">
        <v>1064</v>
      </c>
    </row>
    <row r="65" spans="1:11" x14ac:dyDescent="0.25">
      <c r="D65" t="s">
        <v>1031</v>
      </c>
      <c r="E65">
        <v>2457292.4467799999</v>
      </c>
      <c r="F65" t="s">
        <v>1065</v>
      </c>
      <c r="G65">
        <v>14.976000000000001</v>
      </c>
      <c r="H65">
        <v>2.5000000000000001E-2</v>
      </c>
      <c r="I65" t="s">
        <v>34</v>
      </c>
      <c r="J65" t="s">
        <v>19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27</v>
      </c>
      <c r="B67" t="s">
        <v>1066</v>
      </c>
      <c r="C67" t="s">
        <v>29</v>
      </c>
      <c r="D67" t="s">
        <v>1063</v>
      </c>
      <c r="E67" t="s">
        <v>31</v>
      </c>
      <c r="F67" t="s">
        <v>1064</v>
      </c>
    </row>
    <row r="68" spans="1:11" x14ac:dyDescent="0.25">
      <c r="D68" t="s">
        <v>1031</v>
      </c>
      <c r="E68">
        <v>2457282.5052999998</v>
      </c>
      <c r="F68" t="s">
        <v>1067</v>
      </c>
      <c r="G68">
        <v>14.287000000000001</v>
      </c>
      <c r="H68">
        <v>0.1</v>
      </c>
      <c r="I68" t="s">
        <v>18</v>
      </c>
      <c r="J68" t="s">
        <v>1055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1068</v>
      </c>
      <c r="C70" t="s">
        <v>67</v>
      </c>
      <c r="D70" t="s">
        <v>1069</v>
      </c>
      <c r="E70" t="s">
        <v>31</v>
      </c>
      <c r="F70" t="s">
        <v>31</v>
      </c>
    </row>
    <row r="71" spans="1:11" x14ac:dyDescent="0.25">
      <c r="D71" t="s">
        <v>1031</v>
      </c>
      <c r="E71">
        <v>2457243.5589399999</v>
      </c>
      <c r="F71" t="s">
        <v>1070</v>
      </c>
      <c r="G71">
        <v>14.124000000000001</v>
      </c>
      <c r="H71">
        <v>0.01</v>
      </c>
      <c r="I71" t="s">
        <v>18</v>
      </c>
      <c r="J71" t="s">
        <v>19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27</v>
      </c>
      <c r="B73" t="s">
        <v>1071</v>
      </c>
      <c r="C73" t="s">
        <v>29</v>
      </c>
      <c r="D73" t="s">
        <v>1063</v>
      </c>
      <c r="E73" t="s">
        <v>31</v>
      </c>
      <c r="F73" t="s">
        <v>1064</v>
      </c>
    </row>
    <row r="74" spans="1:11" x14ac:dyDescent="0.25">
      <c r="D74" t="s">
        <v>1031</v>
      </c>
      <c r="E74">
        <v>2457243.5581999999</v>
      </c>
      <c r="F74" t="s">
        <v>1072</v>
      </c>
      <c r="G74">
        <v>14.759</v>
      </c>
      <c r="H74">
        <v>8.9999999999999993E-3</v>
      </c>
      <c r="I74" t="s">
        <v>34</v>
      </c>
      <c r="J74" t="s">
        <v>19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27</v>
      </c>
      <c r="B76" t="s">
        <v>1073</v>
      </c>
      <c r="C76" t="s">
        <v>29</v>
      </c>
      <c r="D76" t="s">
        <v>1063</v>
      </c>
      <c r="E76" t="s">
        <v>31</v>
      </c>
      <c r="F76" t="s">
        <v>1064</v>
      </c>
    </row>
    <row r="77" spans="1:11" x14ac:dyDescent="0.25">
      <c r="D77" t="s">
        <v>1031</v>
      </c>
      <c r="E77">
        <v>2457239.83867</v>
      </c>
      <c r="F77" t="s">
        <v>1074</v>
      </c>
      <c r="G77">
        <v>14.172000000000001</v>
      </c>
      <c r="H77">
        <v>0.112</v>
      </c>
      <c r="I77" t="s">
        <v>18</v>
      </c>
      <c r="J77" t="s">
        <v>1055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27</v>
      </c>
      <c r="B79" t="s">
        <v>1075</v>
      </c>
      <c r="C79" t="s">
        <v>67</v>
      </c>
      <c r="D79" t="s">
        <v>1076</v>
      </c>
      <c r="E79" t="s">
        <v>31</v>
      </c>
      <c r="F79" t="s">
        <v>31</v>
      </c>
    </row>
    <row r="80" spans="1:11" x14ac:dyDescent="0.25">
      <c r="D80" t="s">
        <v>1031</v>
      </c>
      <c r="E80">
        <v>2457185.69863</v>
      </c>
      <c r="F80" t="s">
        <v>1077</v>
      </c>
      <c r="G80">
        <v>13.779</v>
      </c>
      <c r="H80">
        <v>3.2000000000000001E-2</v>
      </c>
      <c r="I80" t="s">
        <v>18</v>
      </c>
      <c r="J80" t="s">
        <v>1055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27</v>
      </c>
      <c r="B82" t="s">
        <v>1078</v>
      </c>
      <c r="C82" t="s">
        <v>67</v>
      </c>
      <c r="D82" t="s">
        <v>1079</v>
      </c>
      <c r="E82" t="s">
        <v>31</v>
      </c>
      <c r="F82" t="s">
        <v>31</v>
      </c>
    </row>
    <row r="83" spans="1:11" x14ac:dyDescent="0.25">
      <c r="D83" t="s">
        <v>1031</v>
      </c>
      <c r="E83">
        <v>2456940.4689199999</v>
      </c>
      <c r="F83" t="s">
        <v>1080</v>
      </c>
      <c r="G83">
        <v>13.259</v>
      </c>
      <c r="H83">
        <v>7.8E-2</v>
      </c>
      <c r="I83" t="s">
        <v>18</v>
      </c>
      <c r="J83" t="s">
        <v>1081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27</v>
      </c>
      <c r="B85" t="s">
        <v>1082</v>
      </c>
      <c r="C85" t="s">
        <v>67</v>
      </c>
      <c r="D85" t="s">
        <v>1083</v>
      </c>
      <c r="E85" t="s">
        <v>31</v>
      </c>
      <c r="F85" t="s">
        <v>1084</v>
      </c>
    </row>
    <row r="86" spans="1:11" x14ac:dyDescent="0.25">
      <c r="D86" t="s">
        <v>1031</v>
      </c>
      <c r="E86">
        <v>2456927.3172800001</v>
      </c>
      <c r="F86" t="s">
        <v>1085</v>
      </c>
      <c r="G86">
        <v>10.859</v>
      </c>
      <c r="H86">
        <v>9.4E-2</v>
      </c>
      <c r="I86" t="s">
        <v>249</v>
      </c>
      <c r="J86" t="s">
        <v>1086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1087</v>
      </c>
      <c r="B88" t="s">
        <v>1088</v>
      </c>
      <c r="C88" t="s">
        <v>67</v>
      </c>
      <c r="D88" t="s">
        <v>1089</v>
      </c>
      <c r="E88" t="s">
        <v>31</v>
      </c>
      <c r="F88" t="s">
        <v>31</v>
      </c>
    </row>
    <row r="89" spans="1:11" x14ac:dyDescent="0.25">
      <c r="D89" t="s">
        <v>1031</v>
      </c>
      <c r="E89">
        <v>2456927.3162039998</v>
      </c>
      <c r="F89" t="s">
        <v>1090</v>
      </c>
      <c r="G89">
        <v>13.68</v>
      </c>
      <c r="H89">
        <v>0.182</v>
      </c>
      <c r="I89" t="s">
        <v>34</v>
      </c>
      <c r="J89" t="s">
        <v>1086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1091</v>
      </c>
      <c r="B91" t="s">
        <v>1092</v>
      </c>
      <c r="C91" t="s">
        <v>67</v>
      </c>
      <c r="D91" t="s">
        <v>1089</v>
      </c>
      <c r="E91" t="s">
        <v>31</v>
      </c>
      <c r="F91" t="s">
        <v>31</v>
      </c>
    </row>
    <row r="92" spans="1:11" x14ac:dyDescent="0.25">
      <c r="A92" t="s">
        <v>1093</v>
      </c>
    </row>
  </sheetData>
  <hyperlinks>
    <hyperlink ref="L1" r:id="rId1"/>
  </hyperlink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6"/>
  <dimension ref="A1:Q92"/>
  <sheetViews>
    <sheetView workbookViewId="0">
      <selection activeCell="M13" sqref="M13"/>
    </sheetView>
  </sheetViews>
  <sheetFormatPr baseColWidth="10" defaultRowHeight="15" x14ac:dyDescent="0.25"/>
  <cols>
    <col min="1" max="1" width="19" customWidth="1"/>
    <col min="3" max="3" width="12.28515625" customWidth="1"/>
    <col min="4" max="4" width="10.28515625" customWidth="1"/>
    <col min="5" max="5" width="15.5703125" customWidth="1"/>
    <col min="6" max="6" width="17.8554687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0" x14ac:dyDescent="0.25">
      <c r="A1" t="s">
        <v>0</v>
      </c>
    </row>
    <row r="3" spans="1:10" x14ac:dyDescent="0.25">
      <c r="A3" t="s">
        <v>1</v>
      </c>
    </row>
    <row r="4" spans="1:10" x14ac:dyDescent="0.25">
      <c r="A4" t="s">
        <v>2</v>
      </c>
    </row>
    <row r="5" spans="1:10" x14ac:dyDescent="0.25">
      <c r="A5" t="s">
        <v>3</v>
      </c>
    </row>
    <row r="6" spans="1:10" x14ac:dyDescent="0.25">
      <c r="A6" t="s">
        <v>4</v>
      </c>
    </row>
    <row r="8" spans="1:10" x14ac:dyDescent="0.25">
      <c r="A8" t="s">
        <v>5</v>
      </c>
    </row>
    <row r="10" spans="1:10" x14ac:dyDescent="0.25">
      <c r="A10" t="s">
        <v>321</v>
      </c>
    </row>
    <row r="12" spans="1:10" x14ac:dyDescent="0.25">
      <c r="A12" t="s">
        <v>6</v>
      </c>
    </row>
    <row r="13" spans="1:10" x14ac:dyDescent="0.25">
      <c r="A13" t="s">
        <v>7</v>
      </c>
    </row>
    <row r="14" spans="1:10" x14ac:dyDescent="0.25">
      <c r="A14" t="s">
        <v>8</v>
      </c>
    </row>
    <row r="16" spans="1:10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322</v>
      </c>
      <c r="E17">
        <v>2457538.963</v>
      </c>
      <c r="F17" t="s">
        <v>323</v>
      </c>
      <c r="G17">
        <v>9.4499999999999993</v>
      </c>
      <c r="H17" t="s">
        <v>31</v>
      </c>
      <c r="I17" t="s">
        <v>249</v>
      </c>
      <c r="J17" t="s">
        <v>324</v>
      </c>
      <c r="K17" t="s">
        <v>20</v>
      </c>
      <c r="M17" t="str">
        <f>+I17</f>
        <v>I</v>
      </c>
      <c r="N17">
        <f>+G17</f>
        <v>9.4499999999999993</v>
      </c>
      <c r="O17" t="str">
        <f>+J17</f>
        <v>PYG</v>
      </c>
      <c r="P17">
        <f>+E17</f>
        <v>2457538.963</v>
      </c>
      <c r="Q17" t="str">
        <f>+F17</f>
        <v>2016 May. 30.46300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B</v>
      </c>
      <c r="N18">
        <f>+G20</f>
        <v>13.792</v>
      </c>
      <c r="O18" t="str">
        <f>+J20</f>
        <v>PYG</v>
      </c>
      <c r="P18">
        <f>+E20</f>
        <v>2457538.96</v>
      </c>
      <c r="Q18" t="str">
        <f>+F20</f>
        <v>2016 May. 30.46000</v>
      </c>
    </row>
    <row r="19" spans="1:17" x14ac:dyDescent="0.25">
      <c r="A19" t="s">
        <v>325</v>
      </c>
      <c r="B19" t="s">
        <v>31</v>
      </c>
      <c r="C19" t="s">
        <v>67</v>
      </c>
      <c r="D19" t="s">
        <v>326</v>
      </c>
      <c r="E19" t="s">
        <v>31</v>
      </c>
      <c r="F19" t="s">
        <v>327</v>
      </c>
      <c r="M19" t="str">
        <f>+I23</f>
        <v>V</v>
      </c>
      <c r="N19">
        <f>+G23</f>
        <v>11.752000000000001</v>
      </c>
      <c r="O19" t="str">
        <f>+J23</f>
        <v>PYG</v>
      </c>
      <c r="P19">
        <f>+E23</f>
        <v>2457538.9569999999</v>
      </c>
      <c r="Q19" t="str">
        <f>+F23</f>
        <v>2016 May. 30.45700</v>
      </c>
    </row>
    <row r="20" spans="1:17" x14ac:dyDescent="0.25">
      <c r="D20" t="s">
        <v>322</v>
      </c>
      <c r="E20">
        <v>2457538.96</v>
      </c>
      <c r="F20" t="s">
        <v>328</v>
      </c>
      <c r="G20">
        <v>13.792</v>
      </c>
      <c r="H20" t="s">
        <v>31</v>
      </c>
      <c r="I20" t="s">
        <v>34</v>
      </c>
      <c r="J20" t="s">
        <v>324</v>
      </c>
      <c r="K20" t="s">
        <v>20</v>
      </c>
      <c r="M20" t="str">
        <f>+I26</f>
        <v>I</v>
      </c>
      <c r="N20">
        <f>+G26</f>
        <v>10.537000000000001</v>
      </c>
      <c r="O20" t="str">
        <f>+J26</f>
        <v>PYG</v>
      </c>
      <c r="P20">
        <f>+E26</f>
        <v>2457436.0010000002</v>
      </c>
      <c r="Q20" t="str">
        <f>+F26</f>
        <v>2016 Feb. 17.50100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12.282</v>
      </c>
      <c r="O21" t="str">
        <f>+J29</f>
        <v>PYG</v>
      </c>
      <c r="P21">
        <f>+E29</f>
        <v>2457435.9929999998</v>
      </c>
      <c r="Q21" t="str">
        <f>+F29</f>
        <v>2016 Feb. 17.49300</v>
      </c>
    </row>
    <row r="22" spans="1:17" x14ac:dyDescent="0.25">
      <c r="A22" t="s">
        <v>329</v>
      </c>
      <c r="B22" t="s">
        <v>31</v>
      </c>
      <c r="C22" t="s">
        <v>67</v>
      </c>
      <c r="D22" t="s">
        <v>326</v>
      </c>
      <c r="E22" t="s">
        <v>31</v>
      </c>
      <c r="F22" t="s">
        <v>327</v>
      </c>
      <c r="M22" t="str">
        <f>+I32</f>
        <v>B</v>
      </c>
      <c r="N22">
        <f>+G32</f>
        <v>13.006</v>
      </c>
      <c r="O22" t="str">
        <f>+J32</f>
        <v>PYG</v>
      </c>
      <c r="P22">
        <f>+E32</f>
        <v>2457435.9920000001</v>
      </c>
      <c r="Q22" t="str">
        <f>+F32</f>
        <v>2016 Feb. 17.49200</v>
      </c>
    </row>
    <row r="23" spans="1:17" x14ac:dyDescent="0.25">
      <c r="D23" t="s">
        <v>322</v>
      </c>
      <c r="E23">
        <v>2457538.9569999999</v>
      </c>
      <c r="F23" t="s">
        <v>330</v>
      </c>
      <c r="G23">
        <v>11.752000000000001</v>
      </c>
      <c r="H23" t="s">
        <v>31</v>
      </c>
      <c r="I23" t="s">
        <v>18</v>
      </c>
      <c r="J23" t="s">
        <v>324</v>
      </c>
      <c r="K23" t="s">
        <v>20</v>
      </c>
      <c r="M23" t="str">
        <f>+I35</f>
        <v>V</v>
      </c>
      <c r="N23">
        <f>+G35</f>
        <v>12.281000000000001</v>
      </c>
      <c r="O23" t="str">
        <f>+J35</f>
        <v>PYG</v>
      </c>
      <c r="P23">
        <f>+E35</f>
        <v>2457435.003</v>
      </c>
      <c r="Q23" t="str">
        <f>+F35</f>
        <v>2016 Feb. 16.50300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I</v>
      </c>
      <c r="N24">
        <f>+G38</f>
        <v>10.535</v>
      </c>
      <c r="O24" t="str">
        <f>+J38</f>
        <v>PYG</v>
      </c>
      <c r="P24">
        <f>+E38</f>
        <v>2457435</v>
      </c>
      <c r="Q24" t="str">
        <f>+F38</f>
        <v>2016 Feb. 16.50000</v>
      </c>
    </row>
    <row r="25" spans="1:17" x14ac:dyDescent="0.25">
      <c r="A25" t="s">
        <v>331</v>
      </c>
      <c r="B25" t="s">
        <v>31</v>
      </c>
      <c r="C25" t="s">
        <v>67</v>
      </c>
      <c r="D25" t="s">
        <v>326</v>
      </c>
      <c r="E25" t="s">
        <v>31</v>
      </c>
      <c r="F25" t="s">
        <v>327</v>
      </c>
      <c r="M25" t="str">
        <f>+I41</f>
        <v>B</v>
      </c>
      <c r="N25">
        <f>+G41</f>
        <v>12.948</v>
      </c>
      <c r="O25" t="str">
        <f>+J41</f>
        <v>PYG</v>
      </c>
      <c r="P25">
        <f>+E41</f>
        <v>2457434.9939999999</v>
      </c>
      <c r="Q25" t="str">
        <f>+F41</f>
        <v>2016 Feb. 16.49400</v>
      </c>
    </row>
    <row r="26" spans="1:17" x14ac:dyDescent="0.25">
      <c r="D26" t="s">
        <v>322</v>
      </c>
      <c r="E26">
        <v>2457436.0010000002</v>
      </c>
      <c r="F26" t="s">
        <v>332</v>
      </c>
      <c r="G26">
        <v>10.537000000000001</v>
      </c>
      <c r="H26" t="s">
        <v>31</v>
      </c>
      <c r="I26" t="s">
        <v>249</v>
      </c>
      <c r="J26" t="s">
        <v>324</v>
      </c>
      <c r="K26" t="s">
        <v>20</v>
      </c>
      <c r="M26" t="str">
        <f>+I44</f>
        <v>V</v>
      </c>
      <c r="N26">
        <f>+G44</f>
        <v>12.358000000000001</v>
      </c>
      <c r="O26" t="str">
        <f>+J44</f>
        <v>PYG</v>
      </c>
      <c r="P26">
        <f>+E44</f>
        <v>2457429.0129999998</v>
      </c>
      <c r="Q26" t="str">
        <f>+F44</f>
        <v>2016 Feb. 10.51300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333</v>
      </c>
      <c r="B28" t="s">
        <v>31</v>
      </c>
      <c r="C28" t="s">
        <v>67</v>
      </c>
      <c r="D28" t="s">
        <v>326</v>
      </c>
      <c r="E28" t="s">
        <v>31</v>
      </c>
      <c r="F28" t="s">
        <v>334</v>
      </c>
    </row>
    <row r="29" spans="1:17" x14ac:dyDescent="0.25">
      <c r="D29" t="s">
        <v>322</v>
      </c>
      <c r="E29">
        <v>2457435.9929999998</v>
      </c>
      <c r="F29" t="s">
        <v>335</v>
      </c>
      <c r="G29">
        <v>12.282</v>
      </c>
      <c r="H29" t="s">
        <v>31</v>
      </c>
      <c r="I29" t="s">
        <v>18</v>
      </c>
      <c r="J29" t="s">
        <v>324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336</v>
      </c>
      <c r="B31" t="s">
        <v>31</v>
      </c>
      <c r="C31" t="s">
        <v>67</v>
      </c>
      <c r="D31" t="s">
        <v>326</v>
      </c>
      <c r="E31" t="s">
        <v>31</v>
      </c>
      <c r="F31" t="s">
        <v>334</v>
      </c>
    </row>
    <row r="32" spans="1:17" x14ac:dyDescent="0.25">
      <c r="D32" t="s">
        <v>322</v>
      </c>
      <c r="E32">
        <v>2457435.9920000001</v>
      </c>
      <c r="F32" t="s">
        <v>337</v>
      </c>
      <c r="G32">
        <v>13.006</v>
      </c>
      <c r="H32" t="s">
        <v>31</v>
      </c>
      <c r="I32" t="s">
        <v>34</v>
      </c>
      <c r="J32" t="s">
        <v>324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338</v>
      </c>
      <c r="B34" t="s">
        <v>31</v>
      </c>
      <c r="C34" t="s">
        <v>67</v>
      </c>
      <c r="D34" t="s">
        <v>326</v>
      </c>
      <c r="E34" t="s">
        <v>31</v>
      </c>
      <c r="F34" t="s">
        <v>334</v>
      </c>
    </row>
    <row r="35" spans="1:11" x14ac:dyDescent="0.25">
      <c r="D35" t="s">
        <v>322</v>
      </c>
      <c r="E35">
        <v>2457435.003</v>
      </c>
      <c r="F35" t="s">
        <v>339</v>
      </c>
      <c r="G35">
        <v>12.281000000000001</v>
      </c>
      <c r="H35" t="s">
        <v>31</v>
      </c>
      <c r="I35" t="s">
        <v>18</v>
      </c>
      <c r="J35" t="s">
        <v>324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336</v>
      </c>
      <c r="B37" t="s">
        <v>31</v>
      </c>
      <c r="C37" t="s">
        <v>67</v>
      </c>
      <c r="D37" t="s">
        <v>326</v>
      </c>
      <c r="E37" t="s">
        <v>31</v>
      </c>
      <c r="F37" t="s">
        <v>334</v>
      </c>
    </row>
    <row r="38" spans="1:11" x14ac:dyDescent="0.25">
      <c r="D38" t="s">
        <v>322</v>
      </c>
      <c r="E38">
        <v>2457435</v>
      </c>
      <c r="F38" t="s">
        <v>340</v>
      </c>
      <c r="G38">
        <v>10.535</v>
      </c>
      <c r="H38" t="s">
        <v>31</v>
      </c>
      <c r="I38" t="s">
        <v>249</v>
      </c>
      <c r="J38" t="s">
        <v>324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333</v>
      </c>
      <c r="B40" t="s">
        <v>31</v>
      </c>
      <c r="C40" t="s">
        <v>67</v>
      </c>
      <c r="D40" t="s">
        <v>326</v>
      </c>
      <c r="E40" t="s">
        <v>31</v>
      </c>
      <c r="F40" t="s">
        <v>334</v>
      </c>
    </row>
    <row r="41" spans="1:11" x14ac:dyDescent="0.25">
      <c r="D41" t="s">
        <v>322</v>
      </c>
      <c r="E41">
        <v>2457434.9939999999</v>
      </c>
      <c r="F41" t="s">
        <v>341</v>
      </c>
      <c r="G41">
        <v>12.948</v>
      </c>
      <c r="H41" t="s">
        <v>31</v>
      </c>
      <c r="I41" t="s">
        <v>34</v>
      </c>
      <c r="J41" t="s">
        <v>324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338</v>
      </c>
      <c r="B43" t="s">
        <v>31</v>
      </c>
      <c r="C43" t="s">
        <v>67</v>
      </c>
      <c r="D43" t="s">
        <v>326</v>
      </c>
      <c r="E43" t="s">
        <v>31</v>
      </c>
      <c r="F43" t="s">
        <v>334</v>
      </c>
    </row>
    <row r="44" spans="1:11" x14ac:dyDescent="0.25">
      <c r="D44" t="s">
        <v>322</v>
      </c>
      <c r="E44">
        <v>2457429.0129999998</v>
      </c>
      <c r="F44" t="s">
        <v>342</v>
      </c>
      <c r="G44">
        <v>12.358000000000001</v>
      </c>
      <c r="H44" t="s">
        <v>31</v>
      </c>
      <c r="I44" t="s">
        <v>18</v>
      </c>
      <c r="J44" t="s">
        <v>324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336</v>
      </c>
      <c r="B46" t="s">
        <v>31</v>
      </c>
      <c r="C46" t="s">
        <v>67</v>
      </c>
      <c r="D46" t="s">
        <v>326</v>
      </c>
      <c r="E46" t="s">
        <v>31</v>
      </c>
      <c r="F46" t="s">
        <v>334</v>
      </c>
    </row>
    <row r="47" spans="1:11" x14ac:dyDescent="0.25">
      <c r="D47" t="s">
        <v>322</v>
      </c>
      <c r="E47">
        <v>2457429.0129999998</v>
      </c>
      <c r="F47" t="s">
        <v>342</v>
      </c>
      <c r="G47">
        <v>10.728999999999999</v>
      </c>
      <c r="H47" t="s">
        <v>31</v>
      </c>
      <c r="I47" t="s">
        <v>249</v>
      </c>
      <c r="J47" t="s">
        <v>324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333</v>
      </c>
      <c r="B49" t="s">
        <v>31</v>
      </c>
      <c r="C49" t="s">
        <v>67</v>
      </c>
      <c r="D49" t="s">
        <v>326</v>
      </c>
      <c r="E49" t="s">
        <v>31</v>
      </c>
      <c r="F49" t="s">
        <v>334</v>
      </c>
    </row>
    <row r="50" spans="1:11" x14ac:dyDescent="0.25">
      <c r="D50" t="s">
        <v>322</v>
      </c>
      <c r="E50">
        <v>2457428.5</v>
      </c>
      <c r="F50" t="s">
        <v>343</v>
      </c>
      <c r="G50">
        <v>12.967000000000001</v>
      </c>
      <c r="H50" t="s">
        <v>31</v>
      </c>
      <c r="I50" t="s">
        <v>34</v>
      </c>
      <c r="J50" t="s">
        <v>324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338</v>
      </c>
      <c r="B52" t="s">
        <v>31</v>
      </c>
      <c r="C52" t="s">
        <v>67</v>
      </c>
      <c r="D52" t="s">
        <v>326</v>
      </c>
      <c r="E52" t="s">
        <v>31</v>
      </c>
      <c r="F52" t="s">
        <v>334</v>
      </c>
    </row>
    <row r="53" spans="1:11" x14ac:dyDescent="0.25">
      <c r="D53" t="s">
        <v>322</v>
      </c>
      <c r="E53">
        <v>2457418.0490000001</v>
      </c>
      <c r="F53" t="s">
        <v>344</v>
      </c>
      <c r="G53">
        <v>12.406000000000001</v>
      </c>
      <c r="H53" t="s">
        <v>31</v>
      </c>
      <c r="I53" t="s">
        <v>18</v>
      </c>
      <c r="J53" t="s">
        <v>324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336</v>
      </c>
      <c r="B55" t="s">
        <v>31</v>
      </c>
      <c r="C55" t="s">
        <v>67</v>
      </c>
      <c r="D55" t="s">
        <v>326</v>
      </c>
      <c r="E55" t="s">
        <v>31</v>
      </c>
      <c r="F55" t="s">
        <v>334</v>
      </c>
    </row>
    <row r="56" spans="1:11" x14ac:dyDescent="0.25">
      <c r="D56" t="s">
        <v>322</v>
      </c>
      <c r="E56">
        <v>2457418.0460000001</v>
      </c>
      <c r="F56" t="s">
        <v>345</v>
      </c>
      <c r="G56">
        <v>10.749000000000001</v>
      </c>
      <c r="H56" t="s">
        <v>31</v>
      </c>
      <c r="I56" t="s">
        <v>249</v>
      </c>
      <c r="J56" t="s">
        <v>324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346</v>
      </c>
      <c r="B58" t="s">
        <v>31</v>
      </c>
      <c r="C58" t="s">
        <v>67</v>
      </c>
      <c r="D58" t="s">
        <v>326</v>
      </c>
      <c r="E58" t="s">
        <v>31</v>
      </c>
      <c r="F58" t="s">
        <v>334</v>
      </c>
    </row>
    <row r="59" spans="1:11" x14ac:dyDescent="0.25">
      <c r="D59" t="s">
        <v>322</v>
      </c>
      <c r="E59">
        <v>2457418.0440000002</v>
      </c>
      <c r="F59" t="s">
        <v>347</v>
      </c>
      <c r="G59">
        <v>13.077999999999999</v>
      </c>
      <c r="H59" t="s">
        <v>31</v>
      </c>
      <c r="I59" t="s">
        <v>34</v>
      </c>
      <c r="J59" t="s">
        <v>324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348</v>
      </c>
      <c r="B61" t="s">
        <v>31</v>
      </c>
      <c r="C61" t="s">
        <v>67</v>
      </c>
      <c r="D61" t="s">
        <v>326</v>
      </c>
      <c r="E61" t="s">
        <v>31</v>
      </c>
      <c r="F61" t="s">
        <v>334</v>
      </c>
    </row>
    <row r="62" spans="1:11" x14ac:dyDescent="0.25">
      <c r="D62" t="s">
        <v>322</v>
      </c>
      <c r="E62">
        <v>2457417.054</v>
      </c>
      <c r="F62" t="s">
        <v>349</v>
      </c>
      <c r="G62">
        <v>10.6</v>
      </c>
      <c r="H62" t="s">
        <v>31</v>
      </c>
      <c r="I62" t="s">
        <v>249</v>
      </c>
      <c r="J62" t="s">
        <v>324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350</v>
      </c>
      <c r="B64" t="s">
        <v>31</v>
      </c>
      <c r="C64" t="s">
        <v>67</v>
      </c>
      <c r="D64" t="s">
        <v>326</v>
      </c>
      <c r="E64" t="s">
        <v>31</v>
      </c>
      <c r="F64" t="s">
        <v>334</v>
      </c>
    </row>
    <row r="65" spans="1:11" x14ac:dyDescent="0.25">
      <c r="D65" t="s">
        <v>322</v>
      </c>
      <c r="E65">
        <v>2457417.0529999998</v>
      </c>
      <c r="F65" t="s">
        <v>351</v>
      </c>
      <c r="G65">
        <v>12.127000000000001</v>
      </c>
      <c r="H65" t="s">
        <v>31</v>
      </c>
      <c r="I65" t="s">
        <v>18</v>
      </c>
      <c r="J65" t="s">
        <v>324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336</v>
      </c>
      <c r="B67" t="s">
        <v>31</v>
      </c>
      <c r="C67" t="s">
        <v>67</v>
      </c>
      <c r="D67" t="s">
        <v>326</v>
      </c>
      <c r="E67" t="s">
        <v>31</v>
      </c>
      <c r="F67" t="s">
        <v>334</v>
      </c>
    </row>
    <row r="68" spans="1:11" x14ac:dyDescent="0.25">
      <c r="D68" t="s">
        <v>322</v>
      </c>
      <c r="E68">
        <v>2457417.0520000001</v>
      </c>
      <c r="F68" t="s">
        <v>352</v>
      </c>
      <c r="G68">
        <v>12.933999999999999</v>
      </c>
      <c r="H68" t="s">
        <v>31</v>
      </c>
      <c r="I68" t="s">
        <v>34</v>
      </c>
      <c r="J68" t="s">
        <v>324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353</v>
      </c>
      <c r="B70" t="s">
        <v>31</v>
      </c>
      <c r="C70" t="s">
        <v>67</v>
      </c>
      <c r="D70" t="s">
        <v>326</v>
      </c>
      <c r="E70" t="s">
        <v>31</v>
      </c>
      <c r="F70" t="s">
        <v>334</v>
      </c>
    </row>
    <row r="71" spans="1:11" x14ac:dyDescent="0.25">
      <c r="D71" t="s">
        <v>322</v>
      </c>
      <c r="E71">
        <v>2457416.0550000002</v>
      </c>
      <c r="F71" t="s">
        <v>354</v>
      </c>
      <c r="G71">
        <v>10.786</v>
      </c>
      <c r="H71" t="s">
        <v>31</v>
      </c>
      <c r="I71" t="s">
        <v>249</v>
      </c>
      <c r="J71" t="s">
        <v>324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333</v>
      </c>
      <c r="B73" t="s">
        <v>31</v>
      </c>
      <c r="C73" t="s">
        <v>67</v>
      </c>
      <c r="D73" t="s">
        <v>326</v>
      </c>
      <c r="E73" t="s">
        <v>31</v>
      </c>
      <c r="F73" t="s">
        <v>334</v>
      </c>
    </row>
    <row r="74" spans="1:11" x14ac:dyDescent="0.25">
      <c r="D74" t="s">
        <v>322</v>
      </c>
      <c r="E74">
        <v>2457416.0490000001</v>
      </c>
      <c r="F74" t="s">
        <v>355</v>
      </c>
      <c r="G74">
        <v>13.134</v>
      </c>
      <c r="H74" t="s">
        <v>31</v>
      </c>
      <c r="I74" t="s">
        <v>34</v>
      </c>
      <c r="J74" t="s">
        <v>324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356</v>
      </c>
      <c r="B76" t="s">
        <v>31</v>
      </c>
      <c r="C76" t="s">
        <v>67</v>
      </c>
      <c r="D76" t="s">
        <v>326</v>
      </c>
      <c r="E76" t="s">
        <v>31</v>
      </c>
      <c r="F76" t="s">
        <v>334</v>
      </c>
    </row>
    <row r="77" spans="1:11" x14ac:dyDescent="0.25">
      <c r="D77" t="s">
        <v>322</v>
      </c>
      <c r="E77">
        <v>2457416.0419999999</v>
      </c>
      <c r="F77" t="s">
        <v>357</v>
      </c>
      <c r="G77">
        <v>12.407</v>
      </c>
      <c r="H77" t="s">
        <v>31</v>
      </c>
      <c r="I77" t="s">
        <v>18</v>
      </c>
      <c r="J77" t="s">
        <v>324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336</v>
      </c>
      <c r="B79" t="s">
        <v>31</v>
      </c>
      <c r="C79" t="s">
        <v>67</v>
      </c>
      <c r="D79" t="s">
        <v>326</v>
      </c>
      <c r="E79" t="s">
        <v>31</v>
      </c>
      <c r="F79" t="s">
        <v>334</v>
      </c>
    </row>
    <row r="80" spans="1:11" x14ac:dyDescent="0.25">
      <c r="D80" t="s">
        <v>322</v>
      </c>
      <c r="E80">
        <v>2457415.0559999999</v>
      </c>
      <c r="F80" t="s">
        <v>358</v>
      </c>
      <c r="G80">
        <v>12.441000000000001</v>
      </c>
      <c r="H80" t="s">
        <v>31</v>
      </c>
      <c r="I80" t="s">
        <v>18</v>
      </c>
      <c r="J80" t="s">
        <v>324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336</v>
      </c>
      <c r="B82" t="s">
        <v>31</v>
      </c>
      <c r="C82" t="s">
        <v>67</v>
      </c>
      <c r="D82" t="s">
        <v>326</v>
      </c>
      <c r="E82" t="s">
        <v>31</v>
      </c>
      <c r="F82" t="s">
        <v>334</v>
      </c>
    </row>
    <row r="83" spans="1:11" x14ac:dyDescent="0.25">
      <c r="D83" t="s">
        <v>322</v>
      </c>
      <c r="E83">
        <v>2457415.0559999999</v>
      </c>
      <c r="F83" t="s">
        <v>358</v>
      </c>
      <c r="G83">
        <v>10.702999999999999</v>
      </c>
      <c r="H83" t="s">
        <v>31</v>
      </c>
      <c r="I83" t="s">
        <v>249</v>
      </c>
      <c r="J83" t="s">
        <v>324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359</v>
      </c>
      <c r="B85" t="s">
        <v>31</v>
      </c>
      <c r="C85" t="s">
        <v>67</v>
      </c>
      <c r="D85" t="s">
        <v>326</v>
      </c>
      <c r="E85" t="s">
        <v>31</v>
      </c>
      <c r="F85" t="s">
        <v>334</v>
      </c>
    </row>
    <row r="86" spans="1:11" x14ac:dyDescent="0.25">
      <c r="D86" t="s">
        <v>322</v>
      </c>
      <c r="E86">
        <v>2457235.66824</v>
      </c>
      <c r="F86" t="s">
        <v>360</v>
      </c>
      <c r="G86">
        <v>12.231</v>
      </c>
      <c r="H86">
        <v>4.5999999999999999E-2</v>
      </c>
      <c r="I86" t="s">
        <v>18</v>
      </c>
      <c r="J86" t="s">
        <v>361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27</v>
      </c>
      <c r="B88" t="s">
        <v>362</v>
      </c>
      <c r="C88" t="s">
        <v>67</v>
      </c>
      <c r="D88" t="s">
        <v>363</v>
      </c>
      <c r="E88" t="s">
        <v>31</v>
      </c>
      <c r="F88" t="s">
        <v>31</v>
      </c>
    </row>
    <row r="89" spans="1:11" x14ac:dyDescent="0.25">
      <c r="D89" t="s">
        <v>322</v>
      </c>
      <c r="E89">
        <v>2457214.8470000001</v>
      </c>
      <c r="F89" t="s">
        <v>364</v>
      </c>
      <c r="G89">
        <v>12.345000000000001</v>
      </c>
      <c r="H89" t="s">
        <v>31</v>
      </c>
      <c r="I89" t="s">
        <v>18</v>
      </c>
      <c r="J89" t="s">
        <v>324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331</v>
      </c>
      <c r="B91" t="s">
        <v>31</v>
      </c>
      <c r="C91" t="s">
        <v>67</v>
      </c>
      <c r="D91" t="s">
        <v>326</v>
      </c>
      <c r="E91" t="s">
        <v>31</v>
      </c>
      <c r="F91" t="s">
        <v>327</v>
      </c>
    </row>
    <row r="92" spans="1:11" x14ac:dyDescent="0.25">
      <c r="A92" t="s">
        <v>365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7"/>
  <dimension ref="A1:Q92"/>
  <sheetViews>
    <sheetView workbookViewId="0"/>
  </sheetViews>
  <sheetFormatPr baseColWidth="10" defaultRowHeight="15" x14ac:dyDescent="0.25"/>
  <cols>
    <col min="1" max="1" width="10.140625" customWidth="1"/>
    <col min="2" max="2" width="19.42578125" customWidth="1"/>
    <col min="3" max="3" width="12.28515625" bestFit="1" customWidth="1"/>
    <col min="4" max="4" width="8.42578125" customWidth="1"/>
    <col min="5" max="5" width="15.5703125" bestFit="1" customWidth="1"/>
    <col min="6" max="6" width="23.425781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1710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2837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1711</v>
      </c>
      <c r="E17">
        <v>2457691.27</v>
      </c>
      <c r="F17" t="s">
        <v>2838</v>
      </c>
      <c r="G17">
        <v>12.95</v>
      </c>
      <c r="H17">
        <v>0.05</v>
      </c>
      <c r="I17" t="s">
        <v>65</v>
      </c>
      <c r="J17" t="s">
        <v>66</v>
      </c>
      <c r="K17" t="s">
        <v>20</v>
      </c>
      <c r="M17" t="str">
        <f>+I17</f>
        <v>TG</v>
      </c>
      <c r="N17">
        <f>+G17</f>
        <v>12.95</v>
      </c>
      <c r="O17" t="str">
        <f>+J17</f>
        <v>MEV</v>
      </c>
      <c r="P17">
        <f>+E17</f>
        <v>2457691.27</v>
      </c>
      <c r="Q17" t="str">
        <f>+F17</f>
        <v>2016 Oct. 29.77000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TG</v>
      </c>
      <c r="N18">
        <f>+G20</f>
        <v>12.94</v>
      </c>
      <c r="O18" t="str">
        <f>+J20</f>
        <v>MEV</v>
      </c>
      <c r="P18">
        <f>+E20</f>
        <v>2457690.2710000002</v>
      </c>
      <c r="Q18" t="str">
        <f>+F20</f>
        <v>2016 Oct. 28.77100</v>
      </c>
    </row>
    <row r="19" spans="1:17" x14ac:dyDescent="0.25">
      <c r="A19" t="s">
        <v>27</v>
      </c>
      <c r="B19" t="s">
        <v>31</v>
      </c>
      <c r="C19" t="s">
        <v>67</v>
      </c>
      <c r="D19" t="s">
        <v>68</v>
      </c>
      <c r="E19" t="s">
        <v>31</v>
      </c>
      <c r="F19" t="s">
        <v>69</v>
      </c>
      <c r="M19" t="str">
        <f>+I23</f>
        <v>TG</v>
      </c>
      <c r="N19">
        <f>+G23</f>
        <v>12.85</v>
      </c>
      <c r="O19" t="str">
        <f>+J23</f>
        <v>MEV</v>
      </c>
      <c r="P19">
        <f>+E23</f>
        <v>2457683.2960000001</v>
      </c>
      <c r="Q19" t="str">
        <f>+F23</f>
        <v>2016 Oct. 21.79600</v>
      </c>
    </row>
    <row r="20" spans="1:17" x14ac:dyDescent="0.25">
      <c r="D20" t="s">
        <v>1711</v>
      </c>
      <c r="E20">
        <v>2457690.2710000002</v>
      </c>
      <c r="F20" t="s">
        <v>2839</v>
      </c>
      <c r="G20">
        <v>12.94</v>
      </c>
      <c r="H20">
        <v>0.05</v>
      </c>
      <c r="I20" t="s">
        <v>65</v>
      </c>
      <c r="J20" t="s">
        <v>66</v>
      </c>
      <c r="K20" t="s">
        <v>20</v>
      </c>
      <c r="M20" t="str">
        <f>+I26</f>
        <v>V</v>
      </c>
      <c r="N20">
        <f>+G26</f>
        <v>13.12</v>
      </c>
      <c r="O20" t="str">
        <f>+J26</f>
        <v>BOA</v>
      </c>
      <c r="P20">
        <f>+E26</f>
        <v>2457655.2790000001</v>
      </c>
      <c r="Q20" t="str">
        <f>+F26</f>
        <v>2016 Sep. 23.77900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TG</v>
      </c>
      <c r="N21">
        <f>+G29</f>
        <v>12.94</v>
      </c>
      <c r="O21" t="str">
        <f>+J29</f>
        <v>MEV</v>
      </c>
      <c r="P21">
        <f>+E29</f>
        <v>2457641.35</v>
      </c>
      <c r="Q21" t="str">
        <f>+F29</f>
        <v>2016 Sep. 09.85000</v>
      </c>
    </row>
    <row r="22" spans="1:17" x14ac:dyDescent="0.25">
      <c r="A22" t="s">
        <v>27</v>
      </c>
      <c r="B22" t="s">
        <v>31</v>
      </c>
      <c r="C22" t="s">
        <v>67</v>
      </c>
      <c r="D22" t="s">
        <v>68</v>
      </c>
      <c r="E22" t="s">
        <v>31</v>
      </c>
      <c r="F22" t="s">
        <v>69</v>
      </c>
      <c r="M22" t="str">
        <f>+I32</f>
        <v>TG</v>
      </c>
      <c r="N22">
        <f>+G32</f>
        <v>12.95</v>
      </c>
      <c r="O22" t="str">
        <f>+J32</f>
        <v>MEV</v>
      </c>
      <c r="P22">
        <f>+E32</f>
        <v>2457640.3539999998</v>
      </c>
      <c r="Q22" t="str">
        <f>+F32</f>
        <v>2016 Sep. 08.85400</v>
      </c>
    </row>
    <row r="23" spans="1:17" x14ac:dyDescent="0.25">
      <c r="D23" t="s">
        <v>1711</v>
      </c>
      <c r="E23">
        <v>2457683.2960000001</v>
      </c>
      <c r="F23" t="s">
        <v>2840</v>
      </c>
      <c r="G23">
        <v>12.85</v>
      </c>
      <c r="H23">
        <v>0.05</v>
      </c>
      <c r="I23" t="s">
        <v>65</v>
      </c>
      <c r="J23" t="s">
        <v>66</v>
      </c>
      <c r="K23" t="s">
        <v>20</v>
      </c>
      <c r="M23" t="str">
        <f>+I35</f>
        <v>V</v>
      </c>
      <c r="N23">
        <f>+G35</f>
        <v>12.94</v>
      </c>
      <c r="O23" t="str">
        <f>+J35</f>
        <v>BOA</v>
      </c>
      <c r="P23">
        <f>+E35</f>
        <v>2457640.3130000001</v>
      </c>
      <c r="Q23" t="str">
        <f>+F35</f>
        <v>2016 Sep. 08.81300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I</v>
      </c>
      <c r="N24">
        <f>+G38</f>
        <v>10.452999999999999</v>
      </c>
      <c r="O24" t="str">
        <f>+J38</f>
        <v>SJAR</v>
      </c>
      <c r="P24">
        <f>+E38</f>
        <v>2457640.2832900002</v>
      </c>
      <c r="Q24" t="str">
        <f>+F38</f>
        <v>2016 Sep. 08.78329</v>
      </c>
    </row>
    <row r="25" spans="1:17" x14ac:dyDescent="0.25">
      <c r="A25" t="s">
        <v>27</v>
      </c>
      <c r="B25" t="s">
        <v>31</v>
      </c>
      <c r="C25" t="s">
        <v>67</v>
      </c>
      <c r="D25" t="s">
        <v>68</v>
      </c>
      <c r="E25" t="s">
        <v>31</v>
      </c>
      <c r="F25" t="s">
        <v>69</v>
      </c>
      <c r="M25" t="str">
        <f>+I41</f>
        <v>B</v>
      </c>
      <c r="N25">
        <f>+G41</f>
        <v>14.218</v>
      </c>
      <c r="O25" t="str">
        <f>+J41</f>
        <v>SJAR</v>
      </c>
      <c r="P25">
        <f>+E41</f>
        <v>2457640.2828700002</v>
      </c>
      <c r="Q25" t="str">
        <f>+F41</f>
        <v>2016 Sep. 08.78287</v>
      </c>
    </row>
    <row r="26" spans="1:17" x14ac:dyDescent="0.25">
      <c r="D26" t="s">
        <v>1711</v>
      </c>
      <c r="E26">
        <v>2457655.2790000001</v>
      </c>
      <c r="F26" t="s">
        <v>2841</v>
      </c>
      <c r="G26">
        <v>13.12</v>
      </c>
      <c r="H26" t="s">
        <v>31</v>
      </c>
      <c r="I26" t="s">
        <v>18</v>
      </c>
      <c r="J26" t="s">
        <v>372</v>
      </c>
      <c r="K26" t="s">
        <v>20</v>
      </c>
      <c r="M26" t="str">
        <f>+I44</f>
        <v>R</v>
      </c>
      <c r="N26">
        <f>+G44</f>
        <v>11.843</v>
      </c>
      <c r="O26" t="str">
        <f>+J44</f>
        <v>SJAR</v>
      </c>
      <c r="P26">
        <f>+E44</f>
        <v>2457640.2824499998</v>
      </c>
      <c r="Q26" t="str">
        <f>+F44</f>
        <v>2016 Sep. 08.78245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373</v>
      </c>
      <c r="B28" t="s">
        <v>31</v>
      </c>
      <c r="C28" t="s">
        <v>67</v>
      </c>
      <c r="E28" t="s">
        <v>31</v>
      </c>
      <c r="F28" t="s">
        <v>31</v>
      </c>
    </row>
    <row r="29" spans="1:17" x14ac:dyDescent="0.25">
      <c r="D29" t="s">
        <v>1711</v>
      </c>
      <c r="E29">
        <v>2457641.35</v>
      </c>
      <c r="F29" t="s">
        <v>2170</v>
      </c>
      <c r="G29">
        <v>12.94</v>
      </c>
      <c r="H29">
        <v>0.05</v>
      </c>
      <c r="I29" t="s">
        <v>65</v>
      </c>
      <c r="J29" t="s">
        <v>66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27</v>
      </c>
      <c r="B31" t="s">
        <v>31</v>
      </c>
      <c r="C31" t="s">
        <v>67</v>
      </c>
      <c r="D31" t="s">
        <v>68</v>
      </c>
      <c r="E31" t="s">
        <v>31</v>
      </c>
      <c r="F31" t="s">
        <v>69</v>
      </c>
    </row>
    <row r="32" spans="1:17" x14ac:dyDescent="0.25">
      <c r="D32" t="s">
        <v>1711</v>
      </c>
      <c r="E32">
        <v>2457640.3539999998</v>
      </c>
      <c r="F32" t="s">
        <v>2171</v>
      </c>
      <c r="G32">
        <v>12.95</v>
      </c>
      <c r="H32">
        <v>0.05</v>
      </c>
      <c r="I32" t="s">
        <v>65</v>
      </c>
      <c r="J32" t="s">
        <v>66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27</v>
      </c>
      <c r="B34" t="s">
        <v>31</v>
      </c>
      <c r="C34" t="s">
        <v>67</v>
      </c>
      <c r="D34" t="s">
        <v>68</v>
      </c>
      <c r="E34" t="s">
        <v>31</v>
      </c>
      <c r="F34" t="s">
        <v>69</v>
      </c>
    </row>
    <row r="35" spans="1:11" x14ac:dyDescent="0.25">
      <c r="D35" t="s">
        <v>1711</v>
      </c>
      <c r="E35">
        <v>2457640.3130000001</v>
      </c>
      <c r="F35" t="s">
        <v>2842</v>
      </c>
      <c r="G35">
        <v>12.94</v>
      </c>
      <c r="H35" t="s">
        <v>31</v>
      </c>
      <c r="I35" t="s">
        <v>18</v>
      </c>
      <c r="J35" t="s">
        <v>372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373</v>
      </c>
      <c r="B37" t="s">
        <v>31</v>
      </c>
      <c r="C37" t="s">
        <v>67</v>
      </c>
      <c r="E37" t="s">
        <v>31</v>
      </c>
      <c r="F37" t="s">
        <v>31</v>
      </c>
    </row>
    <row r="38" spans="1:11" x14ac:dyDescent="0.25">
      <c r="D38" t="s">
        <v>1711</v>
      </c>
      <c r="E38">
        <v>2457640.2832900002</v>
      </c>
      <c r="F38" t="s">
        <v>2172</v>
      </c>
      <c r="G38">
        <v>10.452999999999999</v>
      </c>
      <c r="H38">
        <v>0.01</v>
      </c>
      <c r="I38" t="s">
        <v>249</v>
      </c>
      <c r="J38" t="s">
        <v>1045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27</v>
      </c>
      <c r="B40" t="s">
        <v>2173</v>
      </c>
      <c r="C40" t="s">
        <v>67</v>
      </c>
      <c r="D40" t="s">
        <v>2174</v>
      </c>
      <c r="E40" t="s">
        <v>31</v>
      </c>
      <c r="F40" t="s">
        <v>31</v>
      </c>
    </row>
    <row r="41" spans="1:11" x14ac:dyDescent="0.25">
      <c r="D41" t="s">
        <v>1711</v>
      </c>
      <c r="E41">
        <v>2457640.2828700002</v>
      </c>
      <c r="F41" t="s">
        <v>2175</v>
      </c>
      <c r="G41">
        <v>14.218</v>
      </c>
      <c r="H41">
        <v>8.2000000000000003E-2</v>
      </c>
      <c r="I41" t="s">
        <v>34</v>
      </c>
      <c r="J41" t="s">
        <v>1045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27</v>
      </c>
      <c r="B43" t="s">
        <v>2176</v>
      </c>
      <c r="C43" t="s">
        <v>67</v>
      </c>
      <c r="D43" t="s">
        <v>2174</v>
      </c>
      <c r="E43" t="s">
        <v>31</v>
      </c>
      <c r="F43" t="s">
        <v>31</v>
      </c>
    </row>
    <row r="44" spans="1:11" x14ac:dyDescent="0.25">
      <c r="D44" t="s">
        <v>1711</v>
      </c>
      <c r="E44">
        <v>2457640.2824499998</v>
      </c>
      <c r="F44" t="s">
        <v>2177</v>
      </c>
      <c r="G44">
        <v>11.843</v>
      </c>
      <c r="H44">
        <v>6.0000000000000001E-3</v>
      </c>
      <c r="I44" t="s">
        <v>250</v>
      </c>
      <c r="J44" t="s">
        <v>1045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27</v>
      </c>
      <c r="B46" t="s">
        <v>2178</v>
      </c>
      <c r="C46" t="s">
        <v>67</v>
      </c>
      <c r="D46" t="s">
        <v>2174</v>
      </c>
      <c r="E46" t="s">
        <v>31</v>
      </c>
      <c r="F46" t="s">
        <v>31</v>
      </c>
    </row>
    <row r="47" spans="1:11" x14ac:dyDescent="0.25">
      <c r="D47" t="s">
        <v>1711</v>
      </c>
      <c r="E47">
        <v>2457640.28204</v>
      </c>
      <c r="F47" t="s">
        <v>2179</v>
      </c>
      <c r="G47">
        <v>13</v>
      </c>
      <c r="H47">
        <v>1.2999999999999999E-2</v>
      </c>
      <c r="I47" t="s">
        <v>18</v>
      </c>
      <c r="J47" t="s">
        <v>1045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27</v>
      </c>
      <c r="B49" t="s">
        <v>2180</v>
      </c>
      <c r="C49" t="s">
        <v>67</v>
      </c>
      <c r="D49" t="s">
        <v>2174</v>
      </c>
      <c r="E49" t="s">
        <v>31</v>
      </c>
      <c r="F49" t="s">
        <v>31</v>
      </c>
    </row>
    <row r="50" spans="1:11" x14ac:dyDescent="0.25">
      <c r="D50" t="s">
        <v>1711</v>
      </c>
      <c r="E50">
        <v>2457639.3820000002</v>
      </c>
      <c r="F50" t="s">
        <v>2181</v>
      </c>
      <c r="G50">
        <v>12.95</v>
      </c>
      <c r="H50">
        <v>0.05</v>
      </c>
      <c r="I50" t="s">
        <v>65</v>
      </c>
      <c r="J50" t="s">
        <v>66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27</v>
      </c>
      <c r="B52" t="s">
        <v>31</v>
      </c>
      <c r="C52" t="s">
        <v>67</v>
      </c>
      <c r="D52" t="s">
        <v>68</v>
      </c>
      <c r="E52" t="s">
        <v>31</v>
      </c>
      <c r="F52" t="s">
        <v>69</v>
      </c>
    </row>
    <row r="53" spans="1:11" x14ac:dyDescent="0.25">
      <c r="D53" t="s">
        <v>1711</v>
      </c>
      <c r="E53">
        <v>2457638.31</v>
      </c>
      <c r="F53" t="s">
        <v>2843</v>
      </c>
      <c r="G53">
        <v>12.89</v>
      </c>
      <c r="H53" t="s">
        <v>31</v>
      </c>
      <c r="I53" t="s">
        <v>18</v>
      </c>
      <c r="J53" t="s">
        <v>372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373</v>
      </c>
      <c r="B55" t="s">
        <v>31</v>
      </c>
      <c r="C55" t="s">
        <v>67</v>
      </c>
      <c r="E55" t="s">
        <v>31</v>
      </c>
      <c r="F55" t="s">
        <v>31</v>
      </c>
    </row>
    <row r="56" spans="1:11" x14ac:dyDescent="0.25">
      <c r="D56" t="s">
        <v>1711</v>
      </c>
      <c r="E56">
        <v>2457634.3650000002</v>
      </c>
      <c r="F56" t="s">
        <v>2182</v>
      </c>
      <c r="G56">
        <v>12.94</v>
      </c>
      <c r="H56">
        <v>0.05</v>
      </c>
      <c r="I56" t="s">
        <v>65</v>
      </c>
      <c r="J56" t="s">
        <v>66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27</v>
      </c>
      <c r="B58" t="s">
        <v>31</v>
      </c>
      <c r="C58" t="s">
        <v>67</v>
      </c>
      <c r="D58" t="s">
        <v>68</v>
      </c>
      <c r="E58" t="s">
        <v>31</v>
      </c>
      <c r="F58" t="s">
        <v>69</v>
      </c>
    </row>
    <row r="59" spans="1:11" x14ac:dyDescent="0.25">
      <c r="D59" t="s">
        <v>1711</v>
      </c>
      <c r="E59">
        <v>2457631.327</v>
      </c>
      <c r="F59" t="s">
        <v>2273</v>
      </c>
      <c r="G59">
        <v>12.88</v>
      </c>
      <c r="H59" t="s">
        <v>31</v>
      </c>
      <c r="I59" t="s">
        <v>18</v>
      </c>
      <c r="J59" t="s">
        <v>372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373</v>
      </c>
      <c r="B61" t="s">
        <v>31</v>
      </c>
      <c r="C61" t="s">
        <v>67</v>
      </c>
      <c r="E61" t="s">
        <v>31</v>
      </c>
      <c r="F61" t="s">
        <v>31</v>
      </c>
    </row>
    <row r="62" spans="1:11" x14ac:dyDescent="0.25">
      <c r="D62" t="s">
        <v>1711</v>
      </c>
      <c r="E62">
        <v>2457630.3309999998</v>
      </c>
      <c r="F62" t="s">
        <v>2274</v>
      </c>
      <c r="G62">
        <v>12.87</v>
      </c>
      <c r="H62" t="s">
        <v>31</v>
      </c>
      <c r="I62" t="s">
        <v>18</v>
      </c>
      <c r="J62" t="s">
        <v>372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373</v>
      </c>
      <c r="B64" t="s">
        <v>31</v>
      </c>
      <c r="C64" t="s">
        <v>67</v>
      </c>
      <c r="E64" t="s">
        <v>31</v>
      </c>
      <c r="F64" t="s">
        <v>31</v>
      </c>
    </row>
    <row r="65" spans="1:11" x14ac:dyDescent="0.25">
      <c r="D65" t="s">
        <v>1711</v>
      </c>
      <c r="E65">
        <v>2457629.3960000002</v>
      </c>
      <c r="F65" t="s">
        <v>2183</v>
      </c>
      <c r="G65">
        <v>12.91</v>
      </c>
      <c r="H65">
        <v>0.05</v>
      </c>
      <c r="I65" t="s">
        <v>65</v>
      </c>
      <c r="J65" t="s">
        <v>66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27</v>
      </c>
      <c r="B67" t="s">
        <v>31</v>
      </c>
      <c r="C67" t="s">
        <v>67</v>
      </c>
      <c r="D67" t="s">
        <v>68</v>
      </c>
      <c r="E67" t="s">
        <v>31</v>
      </c>
      <c r="F67" t="s">
        <v>69</v>
      </c>
    </row>
    <row r="68" spans="1:11" x14ac:dyDescent="0.25">
      <c r="D68" t="s">
        <v>1711</v>
      </c>
      <c r="E68">
        <v>2457625.3659999999</v>
      </c>
      <c r="F68" t="s">
        <v>2184</v>
      </c>
      <c r="G68">
        <v>12.87</v>
      </c>
      <c r="H68">
        <v>0.05</v>
      </c>
      <c r="I68" t="s">
        <v>65</v>
      </c>
      <c r="J68" t="s">
        <v>66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27</v>
      </c>
      <c r="B70" t="s">
        <v>31</v>
      </c>
      <c r="C70" t="s">
        <v>67</v>
      </c>
      <c r="D70" t="s">
        <v>68</v>
      </c>
      <c r="E70" t="s">
        <v>31</v>
      </c>
      <c r="F70" t="s">
        <v>69</v>
      </c>
    </row>
    <row r="71" spans="1:11" x14ac:dyDescent="0.25">
      <c r="D71" t="s">
        <v>1711</v>
      </c>
      <c r="E71">
        <v>2457624.3590000002</v>
      </c>
      <c r="F71" t="s">
        <v>2185</v>
      </c>
      <c r="G71">
        <v>12.86</v>
      </c>
      <c r="H71">
        <v>0.05</v>
      </c>
      <c r="I71" t="s">
        <v>65</v>
      </c>
      <c r="J71" t="s">
        <v>66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27</v>
      </c>
      <c r="B73" t="s">
        <v>31</v>
      </c>
      <c r="C73" t="s">
        <v>67</v>
      </c>
      <c r="D73" t="s">
        <v>68</v>
      </c>
      <c r="E73" t="s">
        <v>31</v>
      </c>
      <c r="F73" t="s">
        <v>69</v>
      </c>
    </row>
    <row r="74" spans="1:11" x14ac:dyDescent="0.25">
      <c r="D74" t="s">
        <v>1711</v>
      </c>
      <c r="E74">
        <v>2457624.3470000001</v>
      </c>
      <c r="F74" t="s">
        <v>2275</v>
      </c>
      <c r="G74">
        <v>12.82</v>
      </c>
      <c r="H74" t="s">
        <v>31</v>
      </c>
      <c r="I74" t="s">
        <v>18</v>
      </c>
      <c r="J74" t="s">
        <v>372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373</v>
      </c>
      <c r="B76" t="s">
        <v>31</v>
      </c>
      <c r="C76" t="s">
        <v>67</v>
      </c>
      <c r="E76" t="s">
        <v>31</v>
      </c>
      <c r="F76" t="s">
        <v>31</v>
      </c>
    </row>
    <row r="77" spans="1:11" x14ac:dyDescent="0.25">
      <c r="D77" t="s">
        <v>1711</v>
      </c>
      <c r="E77">
        <v>2457623.375</v>
      </c>
      <c r="F77" t="s">
        <v>2022</v>
      </c>
      <c r="G77">
        <v>12.87</v>
      </c>
      <c r="H77">
        <v>0.05</v>
      </c>
      <c r="I77" t="s">
        <v>65</v>
      </c>
      <c r="J77" t="s">
        <v>66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27</v>
      </c>
      <c r="B79" t="s">
        <v>31</v>
      </c>
      <c r="C79" t="s">
        <v>67</v>
      </c>
      <c r="D79" t="s">
        <v>68</v>
      </c>
      <c r="E79" t="s">
        <v>31</v>
      </c>
      <c r="F79" t="s">
        <v>69</v>
      </c>
    </row>
    <row r="80" spans="1:11" x14ac:dyDescent="0.25">
      <c r="D80" t="s">
        <v>1711</v>
      </c>
      <c r="E80">
        <v>2457621.34662</v>
      </c>
      <c r="F80" t="s">
        <v>2186</v>
      </c>
      <c r="G80">
        <v>10.509</v>
      </c>
      <c r="H80">
        <v>7.0000000000000001E-3</v>
      </c>
      <c r="I80" t="s">
        <v>249</v>
      </c>
      <c r="J80" t="s">
        <v>1045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27</v>
      </c>
      <c r="B82" t="s">
        <v>2187</v>
      </c>
      <c r="C82" t="s">
        <v>67</v>
      </c>
      <c r="D82" t="s">
        <v>2174</v>
      </c>
      <c r="E82" t="s">
        <v>31</v>
      </c>
      <c r="F82" t="s">
        <v>31</v>
      </c>
    </row>
    <row r="83" spans="1:11" x14ac:dyDescent="0.25">
      <c r="D83" t="s">
        <v>1711</v>
      </c>
      <c r="E83">
        <v>2457621.3458599998</v>
      </c>
      <c r="F83" t="s">
        <v>2188</v>
      </c>
      <c r="G83">
        <v>14.304</v>
      </c>
      <c r="H83">
        <v>4.1000000000000002E-2</v>
      </c>
      <c r="I83" t="s">
        <v>34</v>
      </c>
      <c r="J83" t="s">
        <v>1045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27</v>
      </c>
      <c r="B85" t="s">
        <v>2189</v>
      </c>
      <c r="C85" t="s">
        <v>67</v>
      </c>
      <c r="D85" t="s">
        <v>2174</v>
      </c>
      <c r="E85" t="s">
        <v>31</v>
      </c>
      <c r="F85" t="s">
        <v>31</v>
      </c>
    </row>
    <row r="86" spans="1:11" x14ac:dyDescent="0.25">
      <c r="D86" t="s">
        <v>1711</v>
      </c>
      <c r="E86">
        <v>2457621.34509</v>
      </c>
      <c r="F86" t="s">
        <v>2190</v>
      </c>
      <c r="G86">
        <v>11.778</v>
      </c>
      <c r="H86">
        <v>4.0000000000000001E-3</v>
      </c>
      <c r="I86" t="s">
        <v>250</v>
      </c>
      <c r="J86" t="s">
        <v>1045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27</v>
      </c>
      <c r="B88" t="s">
        <v>2191</v>
      </c>
      <c r="C88" t="s">
        <v>67</v>
      </c>
      <c r="D88" t="s">
        <v>2174</v>
      </c>
      <c r="E88" t="s">
        <v>31</v>
      </c>
      <c r="F88" t="s">
        <v>31</v>
      </c>
    </row>
    <row r="89" spans="1:11" x14ac:dyDescent="0.25">
      <c r="D89" t="s">
        <v>1711</v>
      </c>
      <c r="E89">
        <v>2457621.3443300002</v>
      </c>
      <c r="F89" t="s">
        <v>2192</v>
      </c>
      <c r="G89">
        <v>12.919</v>
      </c>
      <c r="H89">
        <v>8.0000000000000002E-3</v>
      </c>
      <c r="I89" t="s">
        <v>18</v>
      </c>
      <c r="J89" t="s">
        <v>1045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27</v>
      </c>
      <c r="B91" t="s">
        <v>2193</v>
      </c>
      <c r="C91" t="s">
        <v>67</v>
      </c>
      <c r="D91" t="s">
        <v>2174</v>
      </c>
      <c r="E91" t="s">
        <v>31</v>
      </c>
      <c r="F91" t="s">
        <v>31</v>
      </c>
    </row>
    <row r="92" spans="1:11" x14ac:dyDescent="0.25">
      <c r="A92" t="s">
        <v>2194</v>
      </c>
    </row>
  </sheetData>
  <hyperlinks>
    <hyperlink ref="L1" r:id="rId1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8"/>
  <dimension ref="A1:Q92"/>
  <sheetViews>
    <sheetView workbookViewId="0">
      <selection sqref="A1:XFD1048576"/>
    </sheetView>
  </sheetViews>
  <sheetFormatPr baseColWidth="10" defaultRowHeight="15" x14ac:dyDescent="0.25"/>
  <cols>
    <col min="1" max="1" width="18.42578125" customWidth="1"/>
    <col min="2" max="2" width="19.42578125" customWidth="1"/>
    <col min="3" max="3" width="12.28515625" bestFit="1" customWidth="1"/>
    <col min="4" max="4" width="17.7109375" customWidth="1"/>
    <col min="5" max="5" width="15.5703125" bestFit="1" customWidth="1"/>
    <col min="6" max="6" width="38.28515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1203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2844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1204</v>
      </c>
      <c r="E17">
        <v>2457696.7391599999</v>
      </c>
      <c r="F17" t="s">
        <v>2845</v>
      </c>
      <c r="G17">
        <v>10.085000000000001</v>
      </c>
      <c r="H17">
        <v>7.0000000000000001E-3</v>
      </c>
      <c r="I17" t="s">
        <v>18</v>
      </c>
      <c r="J17" t="s">
        <v>252</v>
      </c>
      <c r="K17" t="s">
        <v>20</v>
      </c>
      <c r="M17" t="str">
        <f>+I17</f>
        <v>V</v>
      </c>
      <c r="N17">
        <f>+G17</f>
        <v>10.085000000000001</v>
      </c>
      <c r="O17" t="str">
        <f>+J17</f>
        <v>DKS</v>
      </c>
      <c r="P17">
        <f>+E17</f>
        <v>2457696.7391599999</v>
      </c>
      <c r="Q17" t="str">
        <f>+F17</f>
        <v>2016 Nov. 04.23916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B</v>
      </c>
      <c r="N18">
        <f>+G20</f>
        <v>10.869</v>
      </c>
      <c r="O18" t="str">
        <f>+J20</f>
        <v>DKS</v>
      </c>
      <c r="P18">
        <f>+E20</f>
        <v>2457696.7372099999</v>
      </c>
      <c r="Q18" t="str">
        <f>+F20</f>
        <v>2016 Nov. 04.23721</v>
      </c>
    </row>
    <row r="19" spans="1:17" x14ac:dyDescent="0.25">
      <c r="A19" t="s">
        <v>1205</v>
      </c>
      <c r="B19" t="s">
        <v>2846</v>
      </c>
      <c r="C19" t="s">
        <v>29</v>
      </c>
      <c r="D19" t="s">
        <v>1206</v>
      </c>
      <c r="E19" t="s">
        <v>31</v>
      </c>
      <c r="F19" t="s">
        <v>253</v>
      </c>
      <c r="M19" t="str">
        <f>+I23</f>
        <v>V</v>
      </c>
      <c r="N19">
        <f>+G23</f>
        <v>10.089</v>
      </c>
      <c r="O19" t="str">
        <f>+J23</f>
        <v>DKS</v>
      </c>
      <c r="P19">
        <f>+E23</f>
        <v>2457695.6103300001</v>
      </c>
      <c r="Q19" t="str">
        <f>+F23</f>
        <v>2016 Nov. 03.11033</v>
      </c>
    </row>
    <row r="20" spans="1:17" x14ac:dyDescent="0.25">
      <c r="D20" t="s">
        <v>1204</v>
      </c>
      <c r="E20">
        <v>2457696.7372099999</v>
      </c>
      <c r="F20" t="s">
        <v>2847</v>
      </c>
      <c r="G20">
        <v>10.869</v>
      </c>
      <c r="H20">
        <v>3.0000000000000001E-3</v>
      </c>
      <c r="I20" t="s">
        <v>34</v>
      </c>
      <c r="J20" t="s">
        <v>252</v>
      </c>
      <c r="K20" t="s">
        <v>20</v>
      </c>
      <c r="M20" t="str">
        <f>+I26</f>
        <v>B</v>
      </c>
      <c r="N20">
        <f>+G26</f>
        <v>10.878</v>
      </c>
      <c r="O20" t="str">
        <f>+J26</f>
        <v>DKS</v>
      </c>
      <c r="P20">
        <f>+E26</f>
        <v>2457695.6083900002</v>
      </c>
      <c r="Q20" t="str">
        <f>+F26</f>
        <v>2016 Nov. 03.10839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V</v>
      </c>
      <c r="N21">
        <f>+G29</f>
        <v>10.068</v>
      </c>
      <c r="O21" t="str">
        <f>+J29</f>
        <v>DKS</v>
      </c>
      <c r="P21">
        <f>+E29</f>
        <v>2457694.7430099999</v>
      </c>
      <c r="Q21" t="str">
        <f>+F29</f>
        <v>2016 Nov. 02.24301</v>
      </c>
    </row>
    <row r="22" spans="1:17" x14ac:dyDescent="0.25">
      <c r="A22" t="s">
        <v>1207</v>
      </c>
      <c r="B22" t="s">
        <v>2848</v>
      </c>
      <c r="C22" t="s">
        <v>29</v>
      </c>
      <c r="D22" t="s">
        <v>1208</v>
      </c>
      <c r="E22" t="s">
        <v>31</v>
      </c>
      <c r="F22" t="s">
        <v>253</v>
      </c>
      <c r="M22" t="str">
        <f>+I32</f>
        <v>B</v>
      </c>
      <c r="N22">
        <f>+G32</f>
        <v>10.856</v>
      </c>
      <c r="O22" t="str">
        <f>+J32</f>
        <v>DKS</v>
      </c>
      <c r="P22">
        <f>+E32</f>
        <v>2457694.74107</v>
      </c>
      <c r="Q22" t="str">
        <f>+F32</f>
        <v>2016 Nov. 02.24107</v>
      </c>
    </row>
    <row r="23" spans="1:17" x14ac:dyDescent="0.25">
      <c r="D23" t="s">
        <v>1204</v>
      </c>
      <c r="E23">
        <v>2457695.6103300001</v>
      </c>
      <c r="F23" t="s">
        <v>2849</v>
      </c>
      <c r="G23">
        <v>10.089</v>
      </c>
      <c r="H23">
        <v>4.0000000000000001E-3</v>
      </c>
      <c r="I23" t="s">
        <v>18</v>
      </c>
      <c r="J23" t="s">
        <v>252</v>
      </c>
      <c r="K23" t="s">
        <v>20</v>
      </c>
      <c r="M23" t="str">
        <f>+I35</f>
        <v>TG</v>
      </c>
      <c r="N23">
        <f>+G35</f>
        <v>10.07</v>
      </c>
      <c r="O23" t="str">
        <f>+J35</f>
        <v>MEV</v>
      </c>
      <c r="P23">
        <f>+E35</f>
        <v>2457693.5120000001</v>
      </c>
      <c r="Q23" t="str">
        <f>+F35</f>
        <v>2016 Nov. 01.01200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TG</v>
      </c>
      <c r="N24">
        <f>+G38</f>
        <v>10.039999999999999</v>
      </c>
      <c r="O24" t="str">
        <f>+J38</f>
        <v>MEV</v>
      </c>
      <c r="P24">
        <f>+E38</f>
        <v>2457691.4700000002</v>
      </c>
      <c r="Q24" t="str">
        <f>+F38</f>
        <v>2016 Oct. 29.97000</v>
      </c>
    </row>
    <row r="25" spans="1:17" x14ac:dyDescent="0.25">
      <c r="A25" t="s">
        <v>1205</v>
      </c>
      <c r="B25" t="s">
        <v>2850</v>
      </c>
      <c r="C25" t="s">
        <v>29</v>
      </c>
      <c r="D25" t="s">
        <v>1206</v>
      </c>
      <c r="E25" t="s">
        <v>31</v>
      </c>
      <c r="F25" t="s">
        <v>253</v>
      </c>
      <c r="M25" t="str">
        <f>+I41</f>
        <v>TG</v>
      </c>
      <c r="N25">
        <f>+G41</f>
        <v>10.050000000000001</v>
      </c>
      <c r="O25" t="str">
        <f>+J41</f>
        <v>MEV</v>
      </c>
      <c r="P25">
        <f>+E41</f>
        <v>2457690.4610000001</v>
      </c>
      <c r="Q25" t="str">
        <f>+F41</f>
        <v>2016 Oct. 28.96100</v>
      </c>
    </row>
    <row r="26" spans="1:17" x14ac:dyDescent="0.25">
      <c r="D26" t="s">
        <v>1204</v>
      </c>
      <c r="E26">
        <v>2457695.6083900002</v>
      </c>
      <c r="F26" t="s">
        <v>2851</v>
      </c>
      <c r="G26">
        <v>10.878</v>
      </c>
      <c r="H26">
        <v>3.0000000000000001E-3</v>
      </c>
      <c r="I26" t="s">
        <v>34</v>
      </c>
      <c r="J26" t="s">
        <v>252</v>
      </c>
      <c r="K26" t="s">
        <v>20</v>
      </c>
      <c r="M26" t="str">
        <f>+I44</f>
        <v>TG</v>
      </c>
      <c r="N26">
        <f>+G44</f>
        <v>9.8800000000000008</v>
      </c>
      <c r="O26" t="str">
        <f>+J44</f>
        <v>MEV</v>
      </c>
      <c r="P26">
        <f>+E44</f>
        <v>2457683.4840000002</v>
      </c>
      <c r="Q26" t="str">
        <f>+F44</f>
        <v>2016 Oct. 21.98400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1207</v>
      </c>
      <c r="B28" t="s">
        <v>2852</v>
      </c>
      <c r="C28" t="s">
        <v>29</v>
      </c>
      <c r="D28" t="s">
        <v>1208</v>
      </c>
      <c r="E28" t="s">
        <v>31</v>
      </c>
      <c r="F28" t="s">
        <v>253</v>
      </c>
    </row>
    <row r="29" spans="1:17" x14ac:dyDescent="0.25">
      <c r="D29" t="s">
        <v>1204</v>
      </c>
      <c r="E29">
        <v>2457694.7430099999</v>
      </c>
      <c r="F29" t="s">
        <v>2853</v>
      </c>
      <c r="G29">
        <v>10.068</v>
      </c>
      <c r="H29">
        <v>5.0000000000000001E-3</v>
      </c>
      <c r="I29" t="s">
        <v>18</v>
      </c>
      <c r="J29" t="s">
        <v>252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1205</v>
      </c>
      <c r="B31" t="s">
        <v>2277</v>
      </c>
      <c r="C31" t="s">
        <v>29</v>
      </c>
      <c r="D31" t="s">
        <v>1206</v>
      </c>
      <c r="E31" t="s">
        <v>31</v>
      </c>
      <c r="F31" t="s">
        <v>253</v>
      </c>
    </row>
    <row r="32" spans="1:17" x14ac:dyDescent="0.25">
      <c r="D32" t="s">
        <v>1204</v>
      </c>
      <c r="E32">
        <v>2457694.74107</v>
      </c>
      <c r="F32" t="s">
        <v>2854</v>
      </c>
      <c r="G32">
        <v>10.856</v>
      </c>
      <c r="H32">
        <v>4.0000000000000001E-3</v>
      </c>
      <c r="I32" t="s">
        <v>34</v>
      </c>
      <c r="J32" t="s">
        <v>252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1207</v>
      </c>
      <c r="B34" t="s">
        <v>2855</v>
      </c>
      <c r="C34" t="s">
        <v>29</v>
      </c>
      <c r="D34" t="s">
        <v>1208</v>
      </c>
      <c r="E34" t="s">
        <v>31</v>
      </c>
      <c r="F34" t="s">
        <v>253</v>
      </c>
    </row>
    <row r="35" spans="1:11" x14ac:dyDescent="0.25">
      <c r="D35" t="s">
        <v>1204</v>
      </c>
      <c r="E35">
        <v>2457693.5120000001</v>
      </c>
      <c r="F35" t="s">
        <v>2856</v>
      </c>
      <c r="G35">
        <v>10.07</v>
      </c>
      <c r="H35">
        <v>0.05</v>
      </c>
      <c r="I35" t="s">
        <v>65</v>
      </c>
      <c r="J35" t="s">
        <v>66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27</v>
      </c>
      <c r="B37" t="s">
        <v>31</v>
      </c>
      <c r="C37" t="s">
        <v>67</v>
      </c>
      <c r="D37" t="s">
        <v>68</v>
      </c>
      <c r="E37" t="s">
        <v>31</v>
      </c>
      <c r="F37" t="s">
        <v>69</v>
      </c>
    </row>
    <row r="38" spans="1:11" x14ac:dyDescent="0.25">
      <c r="D38" t="s">
        <v>1204</v>
      </c>
      <c r="E38">
        <v>2457691.4700000002</v>
      </c>
      <c r="F38" t="s">
        <v>2857</v>
      </c>
      <c r="G38">
        <v>10.039999999999999</v>
      </c>
      <c r="H38">
        <v>0.05</v>
      </c>
      <c r="I38" t="s">
        <v>65</v>
      </c>
      <c r="J38" t="s">
        <v>66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27</v>
      </c>
      <c r="B40" t="s">
        <v>31</v>
      </c>
      <c r="C40" t="s">
        <v>67</v>
      </c>
      <c r="D40" t="s">
        <v>68</v>
      </c>
      <c r="E40" t="s">
        <v>31</v>
      </c>
      <c r="F40" t="s">
        <v>69</v>
      </c>
    </row>
    <row r="41" spans="1:11" x14ac:dyDescent="0.25">
      <c r="D41" t="s">
        <v>1204</v>
      </c>
      <c r="E41">
        <v>2457690.4610000001</v>
      </c>
      <c r="F41" t="s">
        <v>2858</v>
      </c>
      <c r="G41">
        <v>10.050000000000001</v>
      </c>
      <c r="H41">
        <v>0.05</v>
      </c>
      <c r="I41" t="s">
        <v>65</v>
      </c>
      <c r="J41" t="s">
        <v>66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27</v>
      </c>
      <c r="B43" t="s">
        <v>31</v>
      </c>
      <c r="C43" t="s">
        <v>67</v>
      </c>
      <c r="D43" t="s">
        <v>68</v>
      </c>
      <c r="E43" t="s">
        <v>31</v>
      </c>
      <c r="F43" t="s">
        <v>69</v>
      </c>
    </row>
    <row r="44" spans="1:11" x14ac:dyDescent="0.25">
      <c r="D44" t="s">
        <v>1204</v>
      </c>
      <c r="E44">
        <v>2457683.4840000002</v>
      </c>
      <c r="F44" t="s">
        <v>2859</v>
      </c>
      <c r="G44">
        <v>9.8800000000000008</v>
      </c>
      <c r="H44">
        <v>0.05</v>
      </c>
      <c r="I44" t="s">
        <v>65</v>
      </c>
      <c r="J44" t="s">
        <v>66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27</v>
      </c>
      <c r="B46" t="s">
        <v>31</v>
      </c>
      <c r="C46" t="s">
        <v>67</v>
      </c>
      <c r="D46" t="s">
        <v>68</v>
      </c>
      <c r="E46" t="s">
        <v>31</v>
      </c>
      <c r="F46" t="s">
        <v>69</v>
      </c>
    </row>
    <row r="47" spans="1:11" x14ac:dyDescent="0.25">
      <c r="D47" t="s">
        <v>1204</v>
      </c>
      <c r="E47">
        <v>2457682.8049400002</v>
      </c>
      <c r="F47" t="s">
        <v>2860</v>
      </c>
      <c r="G47">
        <v>10.06</v>
      </c>
      <c r="H47">
        <v>6.0000000000000001E-3</v>
      </c>
      <c r="I47" t="s">
        <v>18</v>
      </c>
      <c r="J47" t="s">
        <v>252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1205</v>
      </c>
      <c r="B49" t="s">
        <v>2861</v>
      </c>
      <c r="C49" t="s">
        <v>29</v>
      </c>
      <c r="D49" t="s">
        <v>1206</v>
      </c>
      <c r="E49" t="s">
        <v>31</v>
      </c>
      <c r="F49" t="s">
        <v>253</v>
      </c>
    </row>
    <row r="50" spans="1:11" x14ac:dyDescent="0.25">
      <c r="D50" t="s">
        <v>1204</v>
      </c>
      <c r="E50">
        <v>2457682.8029999998</v>
      </c>
      <c r="F50" t="s">
        <v>2862</v>
      </c>
      <c r="G50">
        <v>10.875</v>
      </c>
      <c r="H50">
        <v>4.0000000000000001E-3</v>
      </c>
      <c r="I50" t="s">
        <v>34</v>
      </c>
      <c r="J50" t="s">
        <v>252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1207</v>
      </c>
      <c r="B52" t="s">
        <v>2863</v>
      </c>
      <c r="C52" t="s">
        <v>29</v>
      </c>
      <c r="D52" t="s">
        <v>1208</v>
      </c>
      <c r="E52" t="s">
        <v>31</v>
      </c>
      <c r="F52" t="s">
        <v>253</v>
      </c>
    </row>
    <row r="53" spans="1:11" x14ac:dyDescent="0.25">
      <c r="D53" t="s">
        <v>1204</v>
      </c>
      <c r="E53">
        <v>2457680.6492499998</v>
      </c>
      <c r="F53" t="s">
        <v>2864</v>
      </c>
      <c r="G53">
        <v>10</v>
      </c>
      <c r="H53">
        <v>2.1000000000000001E-2</v>
      </c>
      <c r="I53" t="s">
        <v>18</v>
      </c>
      <c r="J53" t="s">
        <v>252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1205</v>
      </c>
      <c r="B55" t="s">
        <v>2865</v>
      </c>
      <c r="C55" t="s">
        <v>29</v>
      </c>
      <c r="D55" t="s">
        <v>1206</v>
      </c>
      <c r="E55" t="s">
        <v>31</v>
      </c>
      <c r="F55" t="s">
        <v>253</v>
      </c>
    </row>
    <row r="56" spans="1:11" x14ac:dyDescent="0.25">
      <c r="D56" t="s">
        <v>1204</v>
      </c>
      <c r="E56">
        <v>2457680.6473300001</v>
      </c>
      <c r="F56" t="s">
        <v>2866</v>
      </c>
      <c r="G56">
        <v>10.819000000000001</v>
      </c>
      <c r="H56">
        <v>1.7999999999999999E-2</v>
      </c>
      <c r="I56" t="s">
        <v>34</v>
      </c>
      <c r="J56" t="s">
        <v>252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1207</v>
      </c>
      <c r="B58" t="s">
        <v>2867</v>
      </c>
      <c r="C58" t="s">
        <v>29</v>
      </c>
      <c r="D58" t="s">
        <v>1208</v>
      </c>
      <c r="E58" t="s">
        <v>31</v>
      </c>
      <c r="F58" t="s">
        <v>253</v>
      </c>
    </row>
    <row r="59" spans="1:11" x14ac:dyDescent="0.25">
      <c r="D59" t="s">
        <v>1204</v>
      </c>
      <c r="E59">
        <v>2457672.6383699998</v>
      </c>
      <c r="F59" t="s">
        <v>2868</v>
      </c>
      <c r="G59">
        <v>10.065</v>
      </c>
      <c r="H59">
        <v>7.0000000000000001E-3</v>
      </c>
      <c r="I59" t="s">
        <v>18</v>
      </c>
      <c r="J59" t="s">
        <v>252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1205</v>
      </c>
      <c r="B61" t="s">
        <v>2869</v>
      </c>
      <c r="C61" t="s">
        <v>29</v>
      </c>
      <c r="D61" t="s">
        <v>1206</v>
      </c>
      <c r="E61" t="s">
        <v>31</v>
      </c>
      <c r="F61" t="s">
        <v>253</v>
      </c>
    </row>
    <row r="62" spans="1:11" x14ac:dyDescent="0.25">
      <c r="D62" t="s">
        <v>1204</v>
      </c>
      <c r="E62">
        <v>2457672.63643</v>
      </c>
      <c r="F62" t="s">
        <v>2870</v>
      </c>
      <c r="G62">
        <v>10.846</v>
      </c>
      <c r="H62">
        <v>6.0000000000000001E-3</v>
      </c>
      <c r="I62" t="s">
        <v>34</v>
      </c>
      <c r="J62" t="s">
        <v>252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1207</v>
      </c>
      <c r="B64" t="s">
        <v>2871</v>
      </c>
      <c r="C64" t="s">
        <v>29</v>
      </c>
      <c r="D64" t="s">
        <v>1208</v>
      </c>
      <c r="E64" t="s">
        <v>31</v>
      </c>
      <c r="F64" t="s">
        <v>253</v>
      </c>
    </row>
    <row r="65" spans="1:11" x14ac:dyDescent="0.25">
      <c r="D65" t="s">
        <v>1204</v>
      </c>
      <c r="E65">
        <v>2457655.7822699999</v>
      </c>
      <c r="F65" t="s">
        <v>2276</v>
      </c>
      <c r="G65">
        <v>10.038</v>
      </c>
      <c r="H65">
        <v>4.0000000000000001E-3</v>
      </c>
      <c r="I65" t="s">
        <v>18</v>
      </c>
      <c r="J65" t="s">
        <v>252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1205</v>
      </c>
      <c r="B67" t="s">
        <v>2277</v>
      </c>
      <c r="C67" t="s">
        <v>29</v>
      </c>
      <c r="D67" t="s">
        <v>1206</v>
      </c>
      <c r="E67" t="s">
        <v>31</v>
      </c>
      <c r="F67" t="s">
        <v>253</v>
      </c>
    </row>
    <row r="68" spans="1:11" x14ac:dyDescent="0.25">
      <c r="D68" t="s">
        <v>1204</v>
      </c>
      <c r="E68">
        <v>2457655.7803699998</v>
      </c>
      <c r="F68" t="s">
        <v>2278</v>
      </c>
      <c r="G68">
        <v>10.782999999999999</v>
      </c>
      <c r="H68">
        <v>4.0000000000000001E-3</v>
      </c>
      <c r="I68" t="s">
        <v>34</v>
      </c>
      <c r="J68" t="s">
        <v>252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1207</v>
      </c>
      <c r="B70" t="s">
        <v>2279</v>
      </c>
      <c r="C70" t="s">
        <v>29</v>
      </c>
      <c r="D70" t="s">
        <v>1208</v>
      </c>
      <c r="E70" t="s">
        <v>31</v>
      </c>
      <c r="F70" t="s">
        <v>253</v>
      </c>
    </row>
    <row r="71" spans="1:11" x14ac:dyDescent="0.25">
      <c r="D71" t="s">
        <v>1204</v>
      </c>
      <c r="E71">
        <v>2457639.9227300002</v>
      </c>
      <c r="F71" t="s">
        <v>2195</v>
      </c>
      <c r="G71">
        <v>9.9649999999999999</v>
      </c>
      <c r="H71">
        <v>5.0000000000000001E-3</v>
      </c>
      <c r="I71" t="s">
        <v>18</v>
      </c>
      <c r="J71" t="s">
        <v>252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1205</v>
      </c>
      <c r="B73" t="s">
        <v>2196</v>
      </c>
      <c r="C73" t="s">
        <v>29</v>
      </c>
      <c r="D73" t="s">
        <v>1206</v>
      </c>
      <c r="E73" t="s">
        <v>31</v>
      </c>
      <c r="F73" t="s">
        <v>253</v>
      </c>
    </row>
    <row r="74" spans="1:11" x14ac:dyDescent="0.25">
      <c r="D74" t="s">
        <v>1204</v>
      </c>
      <c r="E74">
        <v>2457639.9207899999</v>
      </c>
      <c r="F74" t="s">
        <v>2197</v>
      </c>
      <c r="G74">
        <v>10.746</v>
      </c>
      <c r="H74">
        <v>3.0000000000000001E-3</v>
      </c>
      <c r="I74" t="s">
        <v>34</v>
      </c>
      <c r="J74" t="s">
        <v>252</v>
      </c>
      <c r="K74" t="s">
        <v>20</v>
      </c>
    </row>
    <row r="75" spans="1:11" x14ac:dyDescent="0.25">
      <c r="A75" t="s">
        <v>21</v>
      </c>
      <c r="B75" t="s">
        <v>22</v>
      </c>
      <c r="C75" t="s">
        <v>23</v>
      </c>
      <c r="D75" t="s">
        <v>24</v>
      </c>
      <c r="E75" t="s">
        <v>25</v>
      </c>
      <c r="F75" t="s">
        <v>26</v>
      </c>
    </row>
    <row r="76" spans="1:11" x14ac:dyDescent="0.25">
      <c r="A76" t="s">
        <v>1207</v>
      </c>
      <c r="B76" t="s">
        <v>2198</v>
      </c>
      <c r="C76" t="s">
        <v>29</v>
      </c>
      <c r="D76" t="s">
        <v>1208</v>
      </c>
      <c r="E76" t="s">
        <v>31</v>
      </c>
      <c r="F76" t="s">
        <v>253</v>
      </c>
    </row>
    <row r="77" spans="1:11" x14ac:dyDescent="0.25">
      <c r="D77" t="s">
        <v>1204</v>
      </c>
      <c r="E77">
        <v>2457639.5649999999</v>
      </c>
      <c r="F77" t="s">
        <v>2199</v>
      </c>
      <c r="G77">
        <v>9.94</v>
      </c>
      <c r="H77">
        <v>0.05</v>
      </c>
      <c r="I77" t="s">
        <v>65</v>
      </c>
      <c r="J77" t="s">
        <v>66</v>
      </c>
      <c r="K77" t="s">
        <v>20</v>
      </c>
    </row>
    <row r="78" spans="1:11" x14ac:dyDescent="0.25">
      <c r="A78" t="s">
        <v>21</v>
      </c>
      <c r="B78" t="s">
        <v>22</v>
      </c>
      <c r="C78" t="s">
        <v>23</v>
      </c>
      <c r="D78" t="s">
        <v>24</v>
      </c>
      <c r="E78" t="s">
        <v>25</v>
      </c>
      <c r="F78" t="s">
        <v>26</v>
      </c>
    </row>
    <row r="79" spans="1:11" x14ac:dyDescent="0.25">
      <c r="A79" t="s">
        <v>27</v>
      </c>
      <c r="B79" t="s">
        <v>31</v>
      </c>
      <c r="C79" t="s">
        <v>67</v>
      </c>
      <c r="D79" t="s">
        <v>68</v>
      </c>
      <c r="E79" t="s">
        <v>31</v>
      </c>
      <c r="F79" t="s">
        <v>69</v>
      </c>
    </row>
    <row r="80" spans="1:11" x14ac:dyDescent="0.25">
      <c r="D80" t="s">
        <v>1204</v>
      </c>
      <c r="E80">
        <v>2457625.5079999999</v>
      </c>
      <c r="F80" t="s">
        <v>2200</v>
      </c>
      <c r="G80">
        <v>9.9600000000000009</v>
      </c>
      <c r="H80">
        <v>0.05</v>
      </c>
      <c r="I80" t="s">
        <v>65</v>
      </c>
      <c r="J80" t="s">
        <v>66</v>
      </c>
      <c r="K80" t="s">
        <v>20</v>
      </c>
    </row>
    <row r="81" spans="1:11" x14ac:dyDescent="0.25">
      <c r="A81" t="s">
        <v>21</v>
      </c>
      <c r="B81" t="s">
        <v>22</v>
      </c>
      <c r="C81" t="s">
        <v>23</v>
      </c>
      <c r="D81" t="s">
        <v>24</v>
      </c>
      <c r="E81" t="s">
        <v>25</v>
      </c>
      <c r="F81" t="s">
        <v>26</v>
      </c>
    </row>
    <row r="82" spans="1:11" x14ac:dyDescent="0.25">
      <c r="A82" t="s">
        <v>27</v>
      </c>
      <c r="B82" t="s">
        <v>31</v>
      </c>
      <c r="C82" t="s">
        <v>67</v>
      </c>
      <c r="D82" t="s">
        <v>68</v>
      </c>
      <c r="E82" t="s">
        <v>31</v>
      </c>
      <c r="F82" t="s">
        <v>69</v>
      </c>
    </row>
    <row r="83" spans="1:11" x14ac:dyDescent="0.25">
      <c r="D83" t="s">
        <v>1204</v>
      </c>
      <c r="E83">
        <v>2457623.5019999999</v>
      </c>
      <c r="F83" t="s">
        <v>2023</v>
      </c>
      <c r="G83">
        <v>9.99</v>
      </c>
      <c r="H83">
        <v>0.05</v>
      </c>
      <c r="I83" t="s">
        <v>65</v>
      </c>
      <c r="J83" t="s">
        <v>66</v>
      </c>
      <c r="K83" t="s">
        <v>20</v>
      </c>
    </row>
    <row r="84" spans="1:11" x14ac:dyDescent="0.25">
      <c r="A84" t="s">
        <v>21</v>
      </c>
      <c r="B84" t="s">
        <v>22</v>
      </c>
      <c r="C84" t="s">
        <v>23</v>
      </c>
      <c r="D84" t="s">
        <v>24</v>
      </c>
      <c r="E84" t="s">
        <v>25</v>
      </c>
      <c r="F84" t="s">
        <v>26</v>
      </c>
    </row>
    <row r="85" spans="1:11" x14ac:dyDescent="0.25">
      <c r="A85" t="s">
        <v>27</v>
      </c>
      <c r="B85" t="s">
        <v>31</v>
      </c>
      <c r="C85" t="s">
        <v>67</v>
      </c>
      <c r="D85" t="s">
        <v>68</v>
      </c>
      <c r="E85" t="s">
        <v>31</v>
      </c>
      <c r="F85" t="s">
        <v>69</v>
      </c>
    </row>
    <row r="86" spans="1:11" x14ac:dyDescent="0.25">
      <c r="D86" t="s">
        <v>1204</v>
      </c>
      <c r="E86">
        <v>2457613.4819999998</v>
      </c>
      <c r="F86" t="s">
        <v>2024</v>
      </c>
      <c r="G86">
        <v>10.029999999999999</v>
      </c>
      <c r="H86">
        <v>0.05</v>
      </c>
      <c r="I86" t="s">
        <v>65</v>
      </c>
      <c r="J86" t="s">
        <v>66</v>
      </c>
      <c r="K86" t="s">
        <v>20</v>
      </c>
    </row>
    <row r="87" spans="1:11" x14ac:dyDescent="0.25">
      <c r="A87" t="s">
        <v>21</v>
      </c>
      <c r="B87" t="s">
        <v>22</v>
      </c>
      <c r="C87" t="s">
        <v>23</v>
      </c>
      <c r="D87" t="s">
        <v>24</v>
      </c>
      <c r="E87" t="s">
        <v>25</v>
      </c>
      <c r="F87" t="s">
        <v>26</v>
      </c>
    </row>
    <row r="88" spans="1:11" x14ac:dyDescent="0.25">
      <c r="A88" t="s">
        <v>27</v>
      </c>
      <c r="B88" t="s">
        <v>31</v>
      </c>
      <c r="C88" t="s">
        <v>67</v>
      </c>
      <c r="D88" t="s">
        <v>68</v>
      </c>
      <c r="E88" t="s">
        <v>31</v>
      </c>
      <c r="F88" t="s">
        <v>69</v>
      </c>
    </row>
    <row r="89" spans="1:11" x14ac:dyDescent="0.25">
      <c r="D89" t="s">
        <v>1204</v>
      </c>
      <c r="E89">
        <v>2457612.5402099998</v>
      </c>
      <c r="F89" t="s">
        <v>2025</v>
      </c>
      <c r="G89">
        <v>9.9949999999999992</v>
      </c>
      <c r="H89">
        <v>1.7999999999999999E-2</v>
      </c>
      <c r="I89" t="s">
        <v>18</v>
      </c>
      <c r="J89" t="s">
        <v>19</v>
      </c>
      <c r="K89" t="s">
        <v>20</v>
      </c>
    </row>
    <row r="90" spans="1:11" x14ac:dyDescent="0.25">
      <c r="A90" t="s">
        <v>21</v>
      </c>
      <c r="B90" t="s">
        <v>22</v>
      </c>
      <c r="C90" t="s">
        <v>23</v>
      </c>
      <c r="D90" t="s">
        <v>24</v>
      </c>
      <c r="E90" t="s">
        <v>25</v>
      </c>
      <c r="F90" t="s">
        <v>26</v>
      </c>
    </row>
    <row r="91" spans="1:11" x14ac:dyDescent="0.25">
      <c r="A91" t="s">
        <v>2026</v>
      </c>
      <c r="B91" t="s">
        <v>2027</v>
      </c>
      <c r="C91" t="s">
        <v>29</v>
      </c>
      <c r="D91" t="s">
        <v>1209</v>
      </c>
      <c r="E91" t="s">
        <v>31</v>
      </c>
      <c r="F91" t="s">
        <v>1210</v>
      </c>
    </row>
    <row r="92" spans="1:11" x14ac:dyDescent="0.25">
      <c r="A92" t="s">
        <v>2872</v>
      </c>
    </row>
  </sheetData>
  <hyperlinks>
    <hyperlink ref="L1" r:id="rId1"/>
  </hyperlink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9"/>
  <dimension ref="A1:Q73"/>
  <sheetViews>
    <sheetView workbookViewId="0"/>
  </sheetViews>
  <sheetFormatPr baseColWidth="10" defaultRowHeight="15" x14ac:dyDescent="0.25"/>
  <cols>
    <col min="1" max="2" width="24.7109375" customWidth="1"/>
    <col min="3" max="3" width="12.28515625" bestFit="1" customWidth="1"/>
    <col min="4" max="4" width="10.28515625" customWidth="1"/>
    <col min="5" max="5" width="15.5703125" bestFit="1" customWidth="1"/>
    <col min="6" max="6" width="58.28515625" customWidth="1"/>
    <col min="7" max="7" width="10.5703125" customWidth="1"/>
    <col min="8" max="8" width="6" customWidth="1"/>
    <col min="9" max="9" width="5.7109375" customWidth="1"/>
    <col min="10" max="10" width="9.140625" customWidth="1"/>
    <col min="11" max="11" width="8.85546875" customWidth="1"/>
  </cols>
  <sheetData>
    <row r="1" spans="1:12" ht="15.75" x14ac:dyDescent="0.25">
      <c r="A1" t="s">
        <v>0</v>
      </c>
      <c r="L1" s="1" t="s">
        <v>1345</v>
      </c>
    </row>
    <row r="3" spans="1:12" x14ac:dyDescent="0.25">
      <c r="A3" t="s">
        <v>1</v>
      </c>
    </row>
    <row r="4" spans="1:12" x14ac:dyDescent="0.25">
      <c r="A4" t="s">
        <v>2</v>
      </c>
    </row>
    <row r="5" spans="1:12" x14ac:dyDescent="0.25">
      <c r="A5" t="s">
        <v>3</v>
      </c>
    </row>
    <row r="6" spans="1:12" x14ac:dyDescent="0.25">
      <c r="A6" t="s">
        <v>4</v>
      </c>
    </row>
    <row r="8" spans="1:12" x14ac:dyDescent="0.25">
      <c r="A8" t="s">
        <v>5</v>
      </c>
    </row>
    <row r="10" spans="1:12" x14ac:dyDescent="0.25">
      <c r="A10" t="s">
        <v>1346</v>
      </c>
    </row>
    <row r="12" spans="1:12" x14ac:dyDescent="0.25">
      <c r="A12" t="s">
        <v>6</v>
      </c>
    </row>
    <row r="13" spans="1:12" x14ac:dyDescent="0.25">
      <c r="A13" t="s">
        <v>7</v>
      </c>
    </row>
    <row r="14" spans="1:12" x14ac:dyDescent="0.25">
      <c r="A14" t="s">
        <v>8</v>
      </c>
    </row>
    <row r="16" spans="1:12" x14ac:dyDescent="0.25">
      <c r="D16" t="s">
        <v>9</v>
      </c>
      <c r="E16" t="s">
        <v>10</v>
      </c>
      <c r="F16" t="s">
        <v>11</v>
      </c>
      <c r="G16" t="s">
        <v>12</v>
      </c>
      <c r="H16" t="s">
        <v>13</v>
      </c>
      <c r="I16" t="s">
        <v>14</v>
      </c>
      <c r="J16" t="s">
        <v>15</v>
      </c>
    </row>
    <row r="17" spans="1:17" x14ac:dyDescent="0.25">
      <c r="D17" t="s">
        <v>1347</v>
      </c>
      <c r="E17">
        <v>2456713.2860400002</v>
      </c>
      <c r="F17" t="s">
        <v>1348</v>
      </c>
      <c r="G17">
        <v>10.177</v>
      </c>
      <c r="H17">
        <v>6.0000000000000001E-3</v>
      </c>
      <c r="I17" t="s">
        <v>18</v>
      </c>
      <c r="J17" t="s">
        <v>1199</v>
      </c>
      <c r="K17" t="s">
        <v>20</v>
      </c>
      <c r="M17" t="str">
        <f>+I17</f>
        <v>V</v>
      </c>
      <c r="N17">
        <f>+G17</f>
        <v>10.177</v>
      </c>
      <c r="O17" t="str">
        <f>+J17</f>
        <v>HPIA</v>
      </c>
      <c r="P17">
        <f>+E17</f>
        <v>2456713.2860400002</v>
      </c>
      <c r="Q17" t="str">
        <f>+F17</f>
        <v>2014 Feb. 24.78604</v>
      </c>
    </row>
    <row r="18" spans="1:17" x14ac:dyDescent="0.25">
      <c r="A18" t="s">
        <v>21</v>
      </c>
      <c r="B18" t="s">
        <v>22</v>
      </c>
      <c r="C18" t="s">
        <v>23</v>
      </c>
      <c r="D18" t="s">
        <v>24</v>
      </c>
      <c r="E18" t="s">
        <v>25</v>
      </c>
      <c r="F18" t="s">
        <v>26</v>
      </c>
      <c r="M18" t="str">
        <f>+I20</f>
        <v>V</v>
      </c>
      <c r="N18">
        <f>+G20</f>
        <v>10.35</v>
      </c>
      <c r="O18" t="str">
        <f>+J20</f>
        <v>OCN</v>
      </c>
      <c r="P18">
        <f>+E20</f>
        <v>2456401.3709999998</v>
      </c>
      <c r="Q18" t="str">
        <f>+F20</f>
        <v>2013 Apr. 18.87100</v>
      </c>
    </row>
    <row r="19" spans="1:17" x14ac:dyDescent="0.25">
      <c r="A19" t="s">
        <v>27</v>
      </c>
      <c r="B19" t="s">
        <v>1349</v>
      </c>
      <c r="C19" t="s">
        <v>67</v>
      </c>
      <c r="D19" t="s">
        <v>1350</v>
      </c>
      <c r="E19" t="s">
        <v>31</v>
      </c>
      <c r="F19" t="s">
        <v>31</v>
      </c>
      <c r="M19" t="str">
        <f>+I23</f>
        <v>V</v>
      </c>
      <c r="N19">
        <f>+G23</f>
        <v>10.132999999999999</v>
      </c>
      <c r="O19" t="str">
        <f>+J23</f>
        <v>MMN</v>
      </c>
      <c r="P19">
        <f>+E23</f>
        <v>2454407.6664</v>
      </c>
      <c r="Q19" t="str">
        <f>+F23</f>
        <v>2007 Nov. 03.16640</v>
      </c>
    </row>
    <row r="20" spans="1:17" x14ac:dyDescent="0.25">
      <c r="D20" t="s">
        <v>1347</v>
      </c>
      <c r="E20">
        <v>2456401.3709999998</v>
      </c>
      <c r="F20" t="s">
        <v>1351</v>
      </c>
      <c r="G20">
        <v>10.35</v>
      </c>
      <c r="H20">
        <v>7.0000000000000007E-2</v>
      </c>
      <c r="I20" t="s">
        <v>18</v>
      </c>
      <c r="J20" t="s">
        <v>260</v>
      </c>
      <c r="K20" t="s">
        <v>20</v>
      </c>
      <c r="M20" t="str">
        <f>+I26</f>
        <v>I</v>
      </c>
      <c r="N20">
        <f>+G26</f>
        <v>6.28</v>
      </c>
      <c r="O20" t="str">
        <f>+J26</f>
        <v>GCO</v>
      </c>
      <c r="P20">
        <f>+E26</f>
        <v>2453795.3193000001</v>
      </c>
      <c r="Q20" t="str">
        <f>+F26</f>
        <v>2006 Feb. 28.81930</v>
      </c>
    </row>
    <row r="21" spans="1:17" x14ac:dyDescent="0.25">
      <c r="A21" t="s">
        <v>21</v>
      </c>
      <c r="B21" t="s">
        <v>22</v>
      </c>
      <c r="C21" t="s">
        <v>23</v>
      </c>
      <c r="D21" t="s">
        <v>24</v>
      </c>
      <c r="E21" t="s">
        <v>25</v>
      </c>
      <c r="F21" t="s">
        <v>26</v>
      </c>
      <c r="M21" t="str">
        <f>+I29</f>
        <v>B</v>
      </c>
      <c r="N21">
        <f>+G29</f>
        <v>11.33</v>
      </c>
      <c r="O21" t="str">
        <f>+J29</f>
        <v>GCO</v>
      </c>
      <c r="P21">
        <f>+E29</f>
        <v>2453795.3163999999</v>
      </c>
      <c r="Q21" t="str">
        <f>+F29</f>
        <v>2006 Feb. 28.81640</v>
      </c>
    </row>
    <row r="22" spans="1:17" x14ac:dyDescent="0.25">
      <c r="A22" t="s">
        <v>1352</v>
      </c>
      <c r="B22" t="s">
        <v>1353</v>
      </c>
      <c r="C22" t="s">
        <v>67</v>
      </c>
      <c r="D22" t="s">
        <v>1354</v>
      </c>
      <c r="E22" t="s">
        <v>31</v>
      </c>
      <c r="F22" t="s">
        <v>31</v>
      </c>
      <c r="M22" t="str">
        <f>+I32</f>
        <v>R</v>
      </c>
      <c r="N22">
        <f>+G32</f>
        <v>8.3000000000000007</v>
      </c>
      <c r="O22" t="str">
        <f>+J32</f>
        <v>GCO</v>
      </c>
      <c r="P22">
        <f>+E32</f>
        <v>2453795.3163000001</v>
      </c>
      <c r="Q22" t="str">
        <f>+F32</f>
        <v>2006 Feb. 28.81630</v>
      </c>
    </row>
    <row r="23" spans="1:17" x14ac:dyDescent="0.25">
      <c r="D23" t="s">
        <v>1347</v>
      </c>
      <c r="E23">
        <v>2454407.6664</v>
      </c>
      <c r="F23" t="s">
        <v>1355</v>
      </c>
      <c r="G23">
        <v>10.132999999999999</v>
      </c>
      <c r="H23">
        <v>3.6999999999999998E-2</v>
      </c>
      <c r="I23" t="s">
        <v>18</v>
      </c>
      <c r="J23" t="s">
        <v>1356</v>
      </c>
      <c r="K23" t="s">
        <v>20</v>
      </c>
      <c r="M23" t="str">
        <f>+I35</f>
        <v>V</v>
      </c>
      <c r="N23">
        <f>+G35</f>
        <v>9.9499999999999993</v>
      </c>
      <c r="O23" t="str">
        <f>+J35</f>
        <v>GCO</v>
      </c>
      <c r="P23">
        <f>+E35</f>
        <v>2453795.3152999999</v>
      </c>
      <c r="Q23" t="str">
        <f>+F35</f>
        <v>2006 Feb. 28.81530</v>
      </c>
    </row>
    <row r="24" spans="1:17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M24" t="str">
        <f>+I38</f>
        <v>I</v>
      </c>
      <c r="N24">
        <f>+G38</f>
        <v>6.12</v>
      </c>
      <c r="O24" t="str">
        <f>+J38</f>
        <v>GCO</v>
      </c>
      <c r="P24">
        <f>+E38</f>
        <v>2453776.3757000002</v>
      </c>
      <c r="Q24" t="str">
        <f>+F38</f>
        <v>2006 Feb. 09.87570</v>
      </c>
    </row>
    <row r="25" spans="1:17" x14ac:dyDescent="0.25">
      <c r="A25" t="s">
        <v>1357</v>
      </c>
      <c r="B25" t="s">
        <v>1358</v>
      </c>
      <c r="C25" t="s">
        <v>67</v>
      </c>
      <c r="E25" t="s">
        <v>31</v>
      </c>
      <c r="F25" t="s">
        <v>1359</v>
      </c>
      <c r="M25" t="str">
        <f>+I41</f>
        <v>R</v>
      </c>
      <c r="N25">
        <f>+G41</f>
        <v>8.3000000000000007</v>
      </c>
      <c r="O25" t="str">
        <f>+J41</f>
        <v>GCO</v>
      </c>
      <c r="P25">
        <f>+E41</f>
        <v>2453776.3742999998</v>
      </c>
      <c r="Q25" t="str">
        <f>+F41</f>
        <v>2006 Feb. 09.87430</v>
      </c>
    </row>
    <row r="26" spans="1:17" x14ac:dyDescent="0.25">
      <c r="D26" t="s">
        <v>1347</v>
      </c>
      <c r="E26">
        <v>2453795.3193000001</v>
      </c>
      <c r="F26" t="s">
        <v>1360</v>
      </c>
      <c r="G26">
        <v>6.28</v>
      </c>
      <c r="H26">
        <v>0.05</v>
      </c>
      <c r="I26" t="s">
        <v>249</v>
      </c>
      <c r="J26" t="s">
        <v>470</v>
      </c>
      <c r="K26" t="s">
        <v>20</v>
      </c>
      <c r="M26" t="str">
        <f>+I44</f>
        <v>V</v>
      </c>
      <c r="N26">
        <f>+G44</f>
        <v>9.9700000000000006</v>
      </c>
      <c r="O26" t="str">
        <f>+J44</f>
        <v>GCO</v>
      </c>
      <c r="P26">
        <f>+E44</f>
        <v>2453776.3728</v>
      </c>
      <c r="Q26" t="str">
        <f>+F44</f>
        <v>2006 Feb. 09.87280</v>
      </c>
    </row>
    <row r="27" spans="1:17" x14ac:dyDescent="0.25">
      <c r="A27" t="s">
        <v>21</v>
      </c>
      <c r="B27" t="s">
        <v>22</v>
      </c>
      <c r="C27" t="s">
        <v>23</v>
      </c>
      <c r="D27" t="s">
        <v>24</v>
      </c>
      <c r="E27" t="s">
        <v>25</v>
      </c>
      <c r="F27" t="s">
        <v>26</v>
      </c>
    </row>
    <row r="28" spans="1:17" x14ac:dyDescent="0.25">
      <c r="A28" t="s">
        <v>31</v>
      </c>
      <c r="B28" t="s">
        <v>31</v>
      </c>
      <c r="C28" t="s">
        <v>67</v>
      </c>
      <c r="D28" t="s">
        <v>1361</v>
      </c>
      <c r="E28" t="s">
        <v>31</v>
      </c>
      <c r="F28" t="s">
        <v>1362</v>
      </c>
    </row>
    <row r="29" spans="1:17" x14ac:dyDescent="0.25">
      <c r="D29" t="s">
        <v>1347</v>
      </c>
      <c r="E29">
        <v>2453795.3163999999</v>
      </c>
      <c r="F29" t="s">
        <v>1363</v>
      </c>
      <c r="G29">
        <v>11.33</v>
      </c>
      <c r="H29">
        <v>7.0000000000000007E-2</v>
      </c>
      <c r="I29" t="s">
        <v>34</v>
      </c>
      <c r="J29" t="s">
        <v>470</v>
      </c>
      <c r="K29" t="s">
        <v>20</v>
      </c>
    </row>
    <row r="30" spans="1:17" x14ac:dyDescent="0.25">
      <c r="A30" t="s">
        <v>21</v>
      </c>
      <c r="B30" t="s">
        <v>22</v>
      </c>
      <c r="C30" t="s">
        <v>23</v>
      </c>
      <c r="D30" t="s">
        <v>24</v>
      </c>
      <c r="E30" t="s">
        <v>25</v>
      </c>
      <c r="F30" t="s">
        <v>26</v>
      </c>
    </row>
    <row r="31" spans="1:17" x14ac:dyDescent="0.25">
      <c r="A31" t="s">
        <v>31</v>
      </c>
      <c r="B31" t="s">
        <v>31</v>
      </c>
      <c r="C31" t="s">
        <v>67</v>
      </c>
      <c r="D31" t="s">
        <v>1361</v>
      </c>
      <c r="E31" t="s">
        <v>31</v>
      </c>
      <c r="F31" t="s">
        <v>1364</v>
      </c>
    </row>
    <row r="32" spans="1:17" x14ac:dyDescent="0.25">
      <c r="D32" t="s">
        <v>1347</v>
      </c>
      <c r="E32">
        <v>2453795.3163000001</v>
      </c>
      <c r="F32" t="s">
        <v>1365</v>
      </c>
      <c r="G32">
        <v>8.3000000000000007</v>
      </c>
      <c r="H32">
        <v>0.05</v>
      </c>
      <c r="I32" t="s">
        <v>250</v>
      </c>
      <c r="J32" t="s">
        <v>470</v>
      </c>
      <c r="K32" t="s">
        <v>20</v>
      </c>
    </row>
    <row r="33" spans="1:11" x14ac:dyDescent="0.25">
      <c r="A33" t="s">
        <v>21</v>
      </c>
      <c r="B33" t="s">
        <v>22</v>
      </c>
      <c r="C33" t="s">
        <v>23</v>
      </c>
      <c r="D33" t="s">
        <v>24</v>
      </c>
      <c r="E33" t="s">
        <v>25</v>
      </c>
      <c r="F33" t="s">
        <v>26</v>
      </c>
    </row>
    <row r="34" spans="1:11" x14ac:dyDescent="0.25">
      <c r="A34" t="s">
        <v>31</v>
      </c>
      <c r="B34" t="s">
        <v>31</v>
      </c>
      <c r="C34" t="s">
        <v>67</v>
      </c>
      <c r="D34" t="s">
        <v>1361</v>
      </c>
      <c r="E34" t="s">
        <v>31</v>
      </c>
      <c r="F34" t="s">
        <v>1362</v>
      </c>
    </row>
    <row r="35" spans="1:11" x14ac:dyDescent="0.25">
      <c r="D35" t="s">
        <v>1347</v>
      </c>
      <c r="E35">
        <v>2453795.3152999999</v>
      </c>
      <c r="F35" t="s">
        <v>1366</v>
      </c>
      <c r="G35">
        <v>9.9499999999999993</v>
      </c>
      <c r="H35">
        <v>0.04</v>
      </c>
      <c r="I35" t="s">
        <v>18</v>
      </c>
      <c r="J35" t="s">
        <v>470</v>
      </c>
      <c r="K35" t="s">
        <v>20</v>
      </c>
    </row>
    <row r="36" spans="1:11" x14ac:dyDescent="0.25">
      <c r="A36" t="s">
        <v>21</v>
      </c>
      <c r="B36" t="s">
        <v>22</v>
      </c>
      <c r="C36" t="s">
        <v>23</v>
      </c>
      <c r="D36" t="s">
        <v>24</v>
      </c>
      <c r="E36" t="s">
        <v>25</v>
      </c>
      <c r="F36" t="s">
        <v>26</v>
      </c>
    </row>
    <row r="37" spans="1:11" x14ac:dyDescent="0.25">
      <c r="A37" t="s">
        <v>31</v>
      </c>
      <c r="B37" t="s">
        <v>31</v>
      </c>
      <c r="C37" t="s">
        <v>67</v>
      </c>
      <c r="D37" t="s">
        <v>1361</v>
      </c>
      <c r="E37" t="s">
        <v>31</v>
      </c>
      <c r="F37" t="s">
        <v>1367</v>
      </c>
    </row>
    <row r="38" spans="1:11" x14ac:dyDescent="0.25">
      <c r="D38" t="s">
        <v>1347</v>
      </c>
      <c r="E38">
        <v>2453776.3757000002</v>
      </c>
      <c r="F38" t="s">
        <v>1368</v>
      </c>
      <c r="G38">
        <v>6.12</v>
      </c>
      <c r="H38">
        <v>0.02</v>
      </c>
      <c r="I38" t="s">
        <v>249</v>
      </c>
      <c r="J38" t="s">
        <v>470</v>
      </c>
      <c r="K38" t="s">
        <v>20</v>
      </c>
    </row>
    <row r="39" spans="1:11" x14ac:dyDescent="0.25">
      <c r="A39" t="s">
        <v>21</v>
      </c>
      <c r="B39" t="s">
        <v>22</v>
      </c>
      <c r="C39" t="s">
        <v>23</v>
      </c>
      <c r="D39" t="s">
        <v>24</v>
      </c>
      <c r="E39" t="s">
        <v>25</v>
      </c>
      <c r="F39" t="s">
        <v>26</v>
      </c>
    </row>
    <row r="40" spans="1:11" x14ac:dyDescent="0.25">
      <c r="A40" t="s">
        <v>31</v>
      </c>
      <c r="B40" t="s">
        <v>31</v>
      </c>
      <c r="C40" t="s">
        <v>67</v>
      </c>
      <c r="D40" t="s">
        <v>1361</v>
      </c>
      <c r="E40" t="s">
        <v>31</v>
      </c>
      <c r="F40" t="s">
        <v>1369</v>
      </c>
    </row>
    <row r="41" spans="1:11" x14ac:dyDescent="0.25">
      <c r="D41" t="s">
        <v>1347</v>
      </c>
      <c r="E41">
        <v>2453776.3742999998</v>
      </c>
      <c r="F41" t="s">
        <v>1370</v>
      </c>
      <c r="G41">
        <v>8.3000000000000007</v>
      </c>
      <c r="H41">
        <v>0.02</v>
      </c>
      <c r="I41" t="s">
        <v>250</v>
      </c>
      <c r="J41" t="s">
        <v>470</v>
      </c>
      <c r="K41" t="s">
        <v>20</v>
      </c>
    </row>
    <row r="42" spans="1:11" x14ac:dyDescent="0.25">
      <c r="A42" t="s">
        <v>21</v>
      </c>
      <c r="B42" t="s">
        <v>22</v>
      </c>
      <c r="C42" t="s">
        <v>23</v>
      </c>
      <c r="D42" t="s">
        <v>24</v>
      </c>
      <c r="E42" t="s">
        <v>25</v>
      </c>
      <c r="F42" t="s">
        <v>26</v>
      </c>
    </row>
    <row r="43" spans="1:11" x14ac:dyDescent="0.25">
      <c r="A43" t="s">
        <v>31</v>
      </c>
      <c r="B43" t="s">
        <v>31</v>
      </c>
      <c r="C43" t="s">
        <v>67</v>
      </c>
      <c r="D43" t="s">
        <v>1361</v>
      </c>
      <c r="E43" t="s">
        <v>31</v>
      </c>
      <c r="F43" t="s">
        <v>1369</v>
      </c>
    </row>
    <row r="44" spans="1:11" x14ac:dyDescent="0.25">
      <c r="D44" t="s">
        <v>1347</v>
      </c>
      <c r="E44">
        <v>2453776.3728</v>
      </c>
      <c r="F44" t="s">
        <v>1371</v>
      </c>
      <c r="G44">
        <v>9.9700000000000006</v>
      </c>
      <c r="H44">
        <v>0.03</v>
      </c>
      <c r="I44" t="s">
        <v>18</v>
      </c>
      <c r="J44" t="s">
        <v>470</v>
      </c>
      <c r="K44" t="s">
        <v>20</v>
      </c>
    </row>
    <row r="45" spans="1:11" x14ac:dyDescent="0.25">
      <c r="A45" t="s">
        <v>21</v>
      </c>
      <c r="B45" t="s">
        <v>22</v>
      </c>
      <c r="C45" t="s">
        <v>23</v>
      </c>
      <c r="D45" t="s">
        <v>24</v>
      </c>
      <c r="E45" t="s">
        <v>25</v>
      </c>
      <c r="F45" t="s">
        <v>26</v>
      </c>
    </row>
    <row r="46" spans="1:11" x14ac:dyDescent="0.25">
      <c r="A46" t="s">
        <v>31</v>
      </c>
      <c r="B46" t="s">
        <v>31</v>
      </c>
      <c r="C46" t="s">
        <v>67</v>
      </c>
      <c r="D46" t="s">
        <v>1361</v>
      </c>
      <c r="E46" t="s">
        <v>31</v>
      </c>
      <c r="F46" t="s">
        <v>1372</v>
      </c>
    </row>
    <row r="47" spans="1:11" x14ac:dyDescent="0.25">
      <c r="D47" t="s">
        <v>1347</v>
      </c>
      <c r="E47">
        <v>2453776.3714000001</v>
      </c>
      <c r="F47" t="s">
        <v>1373</v>
      </c>
      <c r="G47">
        <v>11.31</v>
      </c>
      <c r="H47">
        <v>0.06</v>
      </c>
      <c r="I47" t="s">
        <v>34</v>
      </c>
      <c r="J47" t="s">
        <v>470</v>
      </c>
      <c r="K47" t="s">
        <v>20</v>
      </c>
    </row>
    <row r="48" spans="1:11" x14ac:dyDescent="0.25">
      <c r="A48" t="s">
        <v>21</v>
      </c>
      <c r="B48" t="s">
        <v>22</v>
      </c>
      <c r="C48" t="s">
        <v>23</v>
      </c>
      <c r="D48" t="s">
        <v>24</v>
      </c>
      <c r="E48" t="s">
        <v>25</v>
      </c>
      <c r="F48" t="s">
        <v>26</v>
      </c>
    </row>
    <row r="49" spans="1:11" x14ac:dyDescent="0.25">
      <c r="A49" t="s">
        <v>31</v>
      </c>
      <c r="B49" t="s">
        <v>31</v>
      </c>
      <c r="C49" t="s">
        <v>67</v>
      </c>
      <c r="D49" t="s">
        <v>1361</v>
      </c>
      <c r="E49" t="s">
        <v>31</v>
      </c>
      <c r="F49" t="s">
        <v>1374</v>
      </c>
    </row>
    <row r="50" spans="1:11" x14ac:dyDescent="0.25">
      <c r="D50" t="s">
        <v>1347</v>
      </c>
      <c r="E50">
        <v>2453768.4591999999</v>
      </c>
      <c r="F50" t="s">
        <v>1375</v>
      </c>
      <c r="G50">
        <v>6.23</v>
      </c>
      <c r="H50">
        <v>0.02</v>
      </c>
      <c r="I50" t="s">
        <v>249</v>
      </c>
      <c r="J50" t="s">
        <v>470</v>
      </c>
      <c r="K50" t="s">
        <v>20</v>
      </c>
    </row>
    <row r="51" spans="1:11" x14ac:dyDescent="0.25">
      <c r="A51" t="s">
        <v>21</v>
      </c>
      <c r="B51" t="s">
        <v>22</v>
      </c>
      <c r="C51" t="s">
        <v>23</v>
      </c>
      <c r="D51" t="s">
        <v>24</v>
      </c>
      <c r="E51" t="s">
        <v>25</v>
      </c>
      <c r="F51" t="s">
        <v>26</v>
      </c>
    </row>
    <row r="52" spans="1:11" x14ac:dyDescent="0.25">
      <c r="A52" t="s">
        <v>31</v>
      </c>
      <c r="B52" t="s">
        <v>31</v>
      </c>
      <c r="C52" t="s">
        <v>67</v>
      </c>
      <c r="D52" t="s">
        <v>1361</v>
      </c>
      <c r="E52" t="s">
        <v>31</v>
      </c>
      <c r="F52" t="s">
        <v>1369</v>
      </c>
    </row>
    <row r="53" spans="1:11" x14ac:dyDescent="0.25">
      <c r="D53" t="s">
        <v>1347</v>
      </c>
      <c r="E53">
        <v>2453768.4572000001</v>
      </c>
      <c r="F53" t="s">
        <v>1376</v>
      </c>
      <c r="G53">
        <v>8.3000000000000007</v>
      </c>
      <c r="H53">
        <v>0.02</v>
      </c>
      <c r="I53" t="s">
        <v>250</v>
      </c>
      <c r="J53" t="s">
        <v>470</v>
      </c>
      <c r="K53" t="s">
        <v>20</v>
      </c>
    </row>
    <row r="54" spans="1:11" x14ac:dyDescent="0.25">
      <c r="A54" t="s">
        <v>21</v>
      </c>
      <c r="B54" t="s">
        <v>22</v>
      </c>
      <c r="C54" t="s">
        <v>23</v>
      </c>
      <c r="D54" t="s">
        <v>24</v>
      </c>
      <c r="E54" t="s">
        <v>25</v>
      </c>
      <c r="F54" t="s">
        <v>26</v>
      </c>
    </row>
    <row r="55" spans="1:11" x14ac:dyDescent="0.25">
      <c r="A55" t="s">
        <v>31</v>
      </c>
      <c r="B55" t="s">
        <v>31</v>
      </c>
      <c r="C55" t="s">
        <v>67</v>
      </c>
      <c r="D55" t="s">
        <v>1361</v>
      </c>
      <c r="E55" t="s">
        <v>31</v>
      </c>
      <c r="F55" t="s">
        <v>1369</v>
      </c>
    </row>
    <row r="56" spans="1:11" x14ac:dyDescent="0.25">
      <c r="D56" t="s">
        <v>1347</v>
      </c>
      <c r="E56">
        <v>2453768.4564</v>
      </c>
      <c r="F56" t="s">
        <v>1377</v>
      </c>
      <c r="G56">
        <v>9.93</v>
      </c>
      <c r="H56">
        <v>0.04</v>
      </c>
      <c r="I56" t="s">
        <v>18</v>
      </c>
      <c r="J56" t="s">
        <v>470</v>
      </c>
      <c r="K56" t="s">
        <v>20</v>
      </c>
    </row>
    <row r="57" spans="1:11" x14ac:dyDescent="0.25">
      <c r="A57" t="s">
        <v>21</v>
      </c>
      <c r="B57" t="s">
        <v>22</v>
      </c>
      <c r="C57" t="s">
        <v>23</v>
      </c>
      <c r="D57" t="s">
        <v>24</v>
      </c>
      <c r="E57" t="s">
        <v>25</v>
      </c>
      <c r="F57" t="s">
        <v>26</v>
      </c>
    </row>
    <row r="58" spans="1:11" x14ac:dyDescent="0.25">
      <c r="A58" t="s">
        <v>31</v>
      </c>
      <c r="B58" t="s">
        <v>31</v>
      </c>
      <c r="C58" t="s">
        <v>67</v>
      </c>
      <c r="D58" t="s">
        <v>1361</v>
      </c>
      <c r="E58" t="s">
        <v>31</v>
      </c>
      <c r="F58" t="s">
        <v>1367</v>
      </c>
    </row>
    <row r="59" spans="1:11" x14ac:dyDescent="0.25">
      <c r="D59" t="s">
        <v>1347</v>
      </c>
      <c r="E59">
        <v>2453768.4550000001</v>
      </c>
      <c r="F59" t="s">
        <v>1378</v>
      </c>
      <c r="G59">
        <v>11.31</v>
      </c>
      <c r="H59">
        <v>7.0000000000000007E-2</v>
      </c>
      <c r="I59" t="s">
        <v>34</v>
      </c>
      <c r="J59" t="s">
        <v>470</v>
      </c>
      <c r="K59" t="s">
        <v>20</v>
      </c>
    </row>
    <row r="60" spans="1:11" x14ac:dyDescent="0.25">
      <c r="A60" t="s">
        <v>21</v>
      </c>
      <c r="B60" t="s">
        <v>22</v>
      </c>
      <c r="C60" t="s">
        <v>23</v>
      </c>
      <c r="D60" t="s">
        <v>24</v>
      </c>
      <c r="E60" t="s">
        <v>25</v>
      </c>
      <c r="F60" t="s">
        <v>26</v>
      </c>
    </row>
    <row r="61" spans="1:11" x14ac:dyDescent="0.25">
      <c r="A61" t="s">
        <v>31</v>
      </c>
      <c r="B61" t="s">
        <v>31</v>
      </c>
      <c r="C61" t="s">
        <v>67</v>
      </c>
      <c r="D61" t="s">
        <v>1361</v>
      </c>
      <c r="E61" t="s">
        <v>31</v>
      </c>
      <c r="F61" t="s">
        <v>1364</v>
      </c>
    </row>
    <row r="62" spans="1:11" x14ac:dyDescent="0.25">
      <c r="D62" t="s">
        <v>1347</v>
      </c>
      <c r="E62">
        <v>2453756.4747000001</v>
      </c>
      <c r="F62" t="s">
        <v>1379</v>
      </c>
      <c r="G62">
        <v>6.16</v>
      </c>
      <c r="H62">
        <v>0.02</v>
      </c>
      <c r="I62" t="s">
        <v>249</v>
      </c>
      <c r="J62" t="s">
        <v>470</v>
      </c>
      <c r="K62" t="s">
        <v>20</v>
      </c>
    </row>
    <row r="63" spans="1:11" x14ac:dyDescent="0.25">
      <c r="A63" t="s">
        <v>21</v>
      </c>
      <c r="B63" t="s">
        <v>22</v>
      </c>
      <c r="C63" t="s">
        <v>23</v>
      </c>
      <c r="D63" t="s">
        <v>24</v>
      </c>
      <c r="E63" t="s">
        <v>25</v>
      </c>
      <c r="F63" t="s">
        <v>26</v>
      </c>
    </row>
    <row r="64" spans="1:11" x14ac:dyDescent="0.25">
      <c r="A64" t="s">
        <v>31</v>
      </c>
      <c r="B64" t="s">
        <v>31</v>
      </c>
      <c r="C64" t="s">
        <v>67</v>
      </c>
      <c r="D64" t="s">
        <v>1361</v>
      </c>
      <c r="E64" t="s">
        <v>31</v>
      </c>
      <c r="F64" t="s">
        <v>1369</v>
      </c>
    </row>
    <row r="65" spans="1:11" x14ac:dyDescent="0.25">
      <c r="D65" t="s">
        <v>1347</v>
      </c>
      <c r="E65">
        <v>2453756.4728999999</v>
      </c>
      <c r="F65" t="s">
        <v>1380</v>
      </c>
      <c r="G65">
        <v>8.17</v>
      </c>
      <c r="H65">
        <v>0.02</v>
      </c>
      <c r="I65" t="s">
        <v>250</v>
      </c>
      <c r="J65" t="s">
        <v>470</v>
      </c>
      <c r="K65" t="s">
        <v>20</v>
      </c>
    </row>
    <row r="66" spans="1:11" x14ac:dyDescent="0.25">
      <c r="A66" t="s">
        <v>21</v>
      </c>
      <c r="B66" t="s">
        <v>22</v>
      </c>
      <c r="C66" t="s">
        <v>23</v>
      </c>
      <c r="D66" t="s">
        <v>24</v>
      </c>
      <c r="E66" t="s">
        <v>25</v>
      </c>
      <c r="F66" t="s">
        <v>26</v>
      </c>
    </row>
    <row r="67" spans="1:11" x14ac:dyDescent="0.25">
      <c r="A67" t="s">
        <v>31</v>
      </c>
      <c r="B67" t="s">
        <v>31</v>
      </c>
      <c r="C67" t="s">
        <v>67</v>
      </c>
      <c r="D67" t="s">
        <v>1361</v>
      </c>
      <c r="E67" t="s">
        <v>31</v>
      </c>
      <c r="F67" t="s">
        <v>1369</v>
      </c>
    </row>
    <row r="68" spans="1:11" x14ac:dyDescent="0.25">
      <c r="D68" t="s">
        <v>1347</v>
      </c>
      <c r="E68">
        <v>2453756.4707999998</v>
      </c>
      <c r="F68" t="s">
        <v>1381</v>
      </c>
      <c r="G68">
        <v>9.8000000000000007</v>
      </c>
      <c r="H68">
        <v>0.06</v>
      </c>
      <c r="I68" t="s">
        <v>18</v>
      </c>
      <c r="J68" t="s">
        <v>470</v>
      </c>
      <c r="K68" t="s">
        <v>20</v>
      </c>
    </row>
    <row r="69" spans="1:11" x14ac:dyDescent="0.25">
      <c r="A69" t="s">
        <v>21</v>
      </c>
      <c r="B69" t="s">
        <v>22</v>
      </c>
      <c r="C69" t="s">
        <v>23</v>
      </c>
      <c r="D69" t="s">
        <v>24</v>
      </c>
      <c r="E69" t="s">
        <v>25</v>
      </c>
      <c r="F69" t="s">
        <v>26</v>
      </c>
    </row>
    <row r="70" spans="1:11" x14ac:dyDescent="0.25">
      <c r="A70" t="s">
        <v>31</v>
      </c>
      <c r="B70" t="s">
        <v>31</v>
      </c>
      <c r="C70" t="s">
        <v>67</v>
      </c>
      <c r="D70" t="s">
        <v>1361</v>
      </c>
      <c r="E70" t="s">
        <v>31</v>
      </c>
      <c r="F70" t="s">
        <v>1374</v>
      </c>
    </row>
    <row r="71" spans="1:11" x14ac:dyDescent="0.25">
      <c r="D71" t="s">
        <v>1347</v>
      </c>
      <c r="E71">
        <v>2453756.4704999998</v>
      </c>
      <c r="F71" t="s">
        <v>1382</v>
      </c>
      <c r="G71">
        <v>11.06</v>
      </c>
      <c r="H71">
        <v>0.09</v>
      </c>
      <c r="I71" t="s">
        <v>34</v>
      </c>
      <c r="J71" t="s">
        <v>470</v>
      </c>
      <c r="K71" t="s">
        <v>20</v>
      </c>
    </row>
    <row r="72" spans="1:11" x14ac:dyDescent="0.25">
      <c r="A72" t="s">
        <v>21</v>
      </c>
      <c r="B72" t="s">
        <v>22</v>
      </c>
      <c r="C72" t="s">
        <v>23</v>
      </c>
      <c r="D72" t="s">
        <v>24</v>
      </c>
      <c r="E72" t="s">
        <v>25</v>
      </c>
      <c r="F72" t="s">
        <v>26</v>
      </c>
    </row>
    <row r="73" spans="1:11" x14ac:dyDescent="0.25">
      <c r="A73" t="s">
        <v>31</v>
      </c>
      <c r="B73" t="s">
        <v>31</v>
      </c>
      <c r="C73" t="s">
        <v>67</v>
      </c>
      <c r="D73" t="s">
        <v>1361</v>
      </c>
      <c r="E73" t="s">
        <v>31</v>
      </c>
      <c r="F73" t="s">
        <v>1383</v>
      </c>
    </row>
  </sheetData>
  <hyperlinks>
    <hyperlink ref="L1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49</vt:i4>
      </vt:variant>
    </vt:vector>
  </HeadingPairs>
  <TitlesOfParts>
    <vt:vector size="100" baseType="lpstr">
      <vt:lpstr>Index</vt:lpstr>
      <vt:lpstr>Export</vt:lpstr>
      <vt:lpstr>AGDra</vt:lpstr>
      <vt:lpstr>AGPeg</vt:lpstr>
      <vt:lpstr>AS270</vt:lpstr>
      <vt:lpstr>AS289</vt:lpstr>
      <vt:lpstr>AXPer</vt:lpstr>
      <vt:lpstr>BDCam</vt:lpstr>
      <vt:lpstr>BFCyg</vt:lpstr>
      <vt:lpstr>BXMon</vt:lpstr>
      <vt:lpstr>CICyg</vt:lpstr>
      <vt:lpstr>CHCyg</vt:lpstr>
      <vt:lpstr>CQDra</vt:lpstr>
      <vt:lpstr>EGAnd</vt:lpstr>
      <vt:lpstr>ERDel</vt:lpstr>
      <vt:lpstr>FNSgr</vt:lpstr>
      <vt:lpstr>FGSer</vt:lpstr>
      <vt:lpstr>GHGem</vt:lpstr>
      <vt:lpstr>HMSge</vt:lpstr>
      <vt:lpstr>IVVir</vt:lpstr>
      <vt:lpstr>LTDel</vt:lpstr>
      <vt:lpstr>NQGem</vt:lpstr>
      <vt:lpstr>oCet</vt:lpstr>
      <vt:lpstr>QWSge</vt:lpstr>
      <vt:lpstr>RSOph</vt:lpstr>
      <vt:lpstr>PUVul</vt:lpstr>
      <vt:lpstr>RAqr</vt:lpstr>
      <vt:lpstr>StHa55</vt:lpstr>
      <vt:lpstr>StHa149</vt:lpstr>
      <vt:lpstr>StHa169</vt:lpstr>
      <vt:lpstr>StHa190</vt:lpstr>
      <vt:lpstr>SULyn</vt:lpstr>
      <vt:lpstr>TCrB</vt:lpstr>
      <vt:lpstr>TXCVn</vt:lpstr>
      <vt:lpstr>UVAur</vt:lpstr>
      <vt:lpstr>V335Vul</vt:lpstr>
      <vt:lpstr>V407Cyg</vt:lpstr>
      <vt:lpstr>V443Her</vt:lpstr>
      <vt:lpstr>V471Per</vt:lpstr>
      <vt:lpstr>V503Her</vt:lpstr>
      <vt:lpstr>V627Cas</vt:lpstr>
      <vt:lpstr>V694Mon</vt:lpstr>
      <vt:lpstr>V919Sgr</vt:lpstr>
      <vt:lpstr>V934Her</vt:lpstr>
      <vt:lpstr>V1016Cyg</vt:lpstr>
      <vt:lpstr>V1261Ori</vt:lpstr>
      <vt:lpstr>V1329Cyg</vt:lpstr>
      <vt:lpstr>V1413Aql</vt:lpstr>
      <vt:lpstr>YYHer</vt:lpstr>
      <vt:lpstr>ZAnd</vt:lpstr>
      <vt:lpstr>ZZCMi</vt:lpstr>
      <vt:lpstr>AGDra!_?star_ag_dra_num_results_10000_obs_types_ccd</vt:lpstr>
      <vt:lpstr>AGPeg!_?star_ag_peg_num_results_25_obs_types_ccd</vt:lpstr>
      <vt:lpstr>'AS270'!_?star_as_270_num_results_25_obs_types_ccd</vt:lpstr>
      <vt:lpstr>'AS289'!_?star_as_289_num_results_25_obs_types_ccd</vt:lpstr>
      <vt:lpstr>AXPer!_?star_ax_per_num_results_25_obs_types_ccd_1</vt:lpstr>
      <vt:lpstr>BDCam!_?star_bd_cam_num_results_25_obs_types_ccd</vt:lpstr>
      <vt:lpstr>BFCyg!_?star_bf_cyg_num_results_25_obs_types_ccd</vt:lpstr>
      <vt:lpstr>BXMon!_?star_bx_mon_num_results_25_obs_types_ccd</vt:lpstr>
      <vt:lpstr>CHCyg!_?star_ch_cyg_num_results_25_obs_types_ccd</vt:lpstr>
      <vt:lpstr>CICyg!_?star_ci_cyg_num_results_25_obs_types_ccd</vt:lpstr>
      <vt:lpstr>CQDra!_?star_cq_dra_num_results_25_obs_types_ccd</vt:lpstr>
      <vt:lpstr>EGAnd!_?star_eg_and_num_results_25_obs_types_ccd</vt:lpstr>
      <vt:lpstr>ERDel!_?star_er_del_num_results_25_obs_types_ccd</vt:lpstr>
      <vt:lpstr>FGSer!_?star_fg_ser_num_results_25_obs_types_ccd</vt:lpstr>
      <vt:lpstr>FNSgr!_?star_fn_sgr_num_results_25_obs_types_ccd</vt:lpstr>
      <vt:lpstr>GHGem!_?star_gh_gem_num_results_25_obs_types_ccd</vt:lpstr>
      <vt:lpstr>HMSge!_?star_hm_sge_num_results_25_obs_types_ccd</vt:lpstr>
      <vt:lpstr>IVVir!_?star_iv_vir_num_results_25_obs_types_ccd</vt:lpstr>
      <vt:lpstr>LTDel!_?star_lt_del_num_results_25_obs_types_ccd</vt:lpstr>
      <vt:lpstr>NQGem!_?star_nq_gem_num_results_25_obs_types_ccd</vt:lpstr>
      <vt:lpstr>oCet!_?star_omi_cet_num_results_25_obs_types_ccd</vt:lpstr>
      <vt:lpstr>PUVul!_?star_pu_vul_num_results_25_obs_types_ccd</vt:lpstr>
      <vt:lpstr>QWSge!_?star_qw_sge_num_results_25_obs_types_ccd</vt:lpstr>
      <vt:lpstr>RAqr!_?star_r_aqr_num_results_25_obs_types_ccd</vt:lpstr>
      <vt:lpstr>RSOph!_?star_rs_oph_num_results_25_obs_types_ccd</vt:lpstr>
      <vt:lpstr>StHa149!_?star_stha_149_num_results_25_obs_types_ccd</vt:lpstr>
      <vt:lpstr>StHa169!_?star_stha_169_num_results_25_obs_types_ccd</vt:lpstr>
      <vt:lpstr>StHa190!_?star_stha_190_num_results_25_obs_types_ccd</vt:lpstr>
      <vt:lpstr>StHa55!_?star_stha_55_num_results_25_obs_types_ccd</vt:lpstr>
      <vt:lpstr>SULyn!_?star_su_lyn_num_results_25_obs_types_ccd</vt:lpstr>
      <vt:lpstr>TCrB!_?star_t_crb_num_results_25_obs_types_ccd</vt:lpstr>
      <vt:lpstr>TXCVn!_?star_tx_cvn_num_results_25_obs_types_ccd</vt:lpstr>
      <vt:lpstr>UVAur!_?star_uv_aur_num_results_25_obs_types_ccd</vt:lpstr>
      <vt:lpstr>V1016Cyg!_?star_v1016_cyg_num_results_25_obs_types_ccd</vt:lpstr>
      <vt:lpstr>V1261Ori!_?star_v1261_ori_num_results_25_obs_types_ccd</vt:lpstr>
      <vt:lpstr>V1329Cyg!_?star_v1329_cyg_num_results_25_obs_types_ccd</vt:lpstr>
      <vt:lpstr>V1413Aql!_?star_v1413_aql_num_results_25_obs_types_ccd</vt:lpstr>
      <vt:lpstr>V335Vul!_?star_v335_vul_num_results_25_obs_types_ccd</vt:lpstr>
      <vt:lpstr>V407Cyg!_?star_v407_cyg_num_results_25_obs_types_ccd</vt:lpstr>
      <vt:lpstr>V443Her!_?star_v443_her_num_results_25_obs_types_ccd</vt:lpstr>
      <vt:lpstr>V471Per!_?star_v471_per_num_results_25_obs_types_ccd</vt:lpstr>
      <vt:lpstr>V503Her!_?star_v503_her_num_results_25_obs_types_ccd</vt:lpstr>
      <vt:lpstr>V627Cas!_?star_v627_cas_num_results_25_obs_types_ccd</vt:lpstr>
      <vt:lpstr>V694Mon!_?star_v694_mon_num_results_25_obs_types_ccd</vt:lpstr>
      <vt:lpstr>V919Sgr!_?star_v919_sgr_num_results_25_obs_types_ccd</vt:lpstr>
      <vt:lpstr>V934Her!_?star_v934_her_num_results_25_obs_types_ccd</vt:lpstr>
      <vt:lpstr>YYHer!_?star_yy_her_num_results_25_obs_types_ccd</vt:lpstr>
      <vt:lpstr>ZAnd!_?star_z_and_num_results_25_obs_types_ccd</vt:lpstr>
      <vt:lpstr>ZZCMi!_?star_zz_cmi_num_results_25_obs_types_ccd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cp:lastPrinted>2016-11-27T15:09:35Z</cp:lastPrinted>
  <dcterms:created xsi:type="dcterms:W3CDTF">2016-06-15T16:36:58Z</dcterms:created>
  <dcterms:modified xsi:type="dcterms:W3CDTF">2016-11-27T17:33:45Z</dcterms:modified>
</cp:coreProperties>
</file>