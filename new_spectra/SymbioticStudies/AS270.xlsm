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22445A39-B809-4B17-B761-2D9437F8500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V" sheetId="1" r:id="rId2"/>
    <sheet name="Feuil1" sheetId="9" r:id="rId3"/>
  </sheets>
  <functionGroups builtInGroupCount="19"/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5" i="2" l="1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24" i="2"/>
  <c r="C25" i="2"/>
  <c r="D25" i="2"/>
  <c r="E25" i="2"/>
  <c r="F25" i="2"/>
  <c r="G25" i="2"/>
  <c r="C26" i="2"/>
  <c r="D26" i="2"/>
  <c r="E26" i="2"/>
  <c r="F26" i="2"/>
  <c r="G26" i="2"/>
  <c r="C27" i="2"/>
  <c r="D27" i="2"/>
  <c r="E27" i="2"/>
  <c r="F27" i="2"/>
  <c r="G27" i="2"/>
  <c r="C28" i="2"/>
  <c r="D28" i="2"/>
  <c r="E28" i="2"/>
  <c r="F28" i="2"/>
  <c r="G28" i="2"/>
  <c r="C29" i="2"/>
  <c r="D29" i="2"/>
  <c r="E29" i="2"/>
  <c r="F29" i="2"/>
  <c r="G29" i="2"/>
  <c r="C30" i="2"/>
  <c r="D30" i="2"/>
  <c r="E30" i="2"/>
  <c r="F30" i="2"/>
  <c r="G30" i="2"/>
  <c r="C31" i="2"/>
  <c r="D31" i="2"/>
  <c r="E31" i="2"/>
  <c r="F31" i="2"/>
  <c r="G31" i="2"/>
  <c r="C32" i="2"/>
  <c r="D32" i="2"/>
  <c r="E32" i="2"/>
  <c r="F32" i="2"/>
  <c r="G32" i="2"/>
  <c r="C33" i="2"/>
  <c r="D33" i="2"/>
  <c r="E33" i="2"/>
  <c r="F33" i="2"/>
  <c r="G33" i="2"/>
  <c r="C34" i="2"/>
  <c r="D34" i="2"/>
  <c r="E34" i="2"/>
  <c r="F34" i="2"/>
  <c r="G34" i="2"/>
  <c r="C35" i="2"/>
  <c r="D35" i="2"/>
  <c r="E35" i="2"/>
  <c r="F35" i="2"/>
  <c r="G35" i="2"/>
  <c r="C36" i="2"/>
  <c r="D36" i="2"/>
  <c r="E36" i="2"/>
  <c r="F36" i="2"/>
  <c r="G36" i="2"/>
  <c r="C37" i="2"/>
  <c r="D37" i="2"/>
  <c r="E37" i="2"/>
  <c r="F37" i="2"/>
  <c r="G37" i="2"/>
  <c r="C38" i="2"/>
  <c r="D38" i="2"/>
  <c r="E38" i="2"/>
  <c r="F38" i="2"/>
  <c r="G38" i="2"/>
  <c r="C39" i="2"/>
  <c r="D39" i="2"/>
  <c r="E39" i="2"/>
  <c r="F39" i="2"/>
  <c r="G39" i="2"/>
  <c r="D24" i="2"/>
  <c r="E24" i="2"/>
  <c r="F24" i="2"/>
  <c r="G24" i="2"/>
  <c r="C24" i="2"/>
  <c r="K24" i="2" l="1"/>
</calcChain>
</file>

<file path=xl/sharedStrings.xml><?xml version="1.0" encoding="utf-8"?>
<sst xmlns="http://schemas.openxmlformats.org/spreadsheetml/2006/main" count="221" uniqueCount="220">
  <si>
    <t>date</t>
  </si>
  <si>
    <t>FMT</t>
  </si>
  <si>
    <t>b</t>
  </si>
  <si>
    <t>r</t>
  </si>
  <si>
    <t>k</t>
  </si>
  <si>
    <t>g</t>
  </si>
  <si>
    <t>AS 270 (V)</t>
  </si>
  <si>
    <t>2458605,42194</t>
  </si>
  <si>
    <t>2019 MAY 1</t>
  </si>
  <si>
    <t>17,747</t>
  </si>
  <si>
    <t>2458613,38821</t>
  </si>
  <si>
    <t>2019 MAY 9</t>
  </si>
  <si>
    <t>14,56</t>
  </si>
  <si>
    <t>2458616,06617</t>
  </si>
  <si>
    <t>2019 MAY 12</t>
  </si>
  <si>
    <t>14,1995</t>
  </si>
  <si>
    <t>0,0985</t>
  </si>
  <si>
    <t>2458617,10832</t>
  </si>
  <si>
    <t>2019 MAY 13</t>
  </si>
  <si>
    <t>14,135</t>
  </si>
  <si>
    <t>0,021794</t>
  </si>
  <si>
    <t>2458619,25354</t>
  </si>
  <si>
    <t>2019 MAY 15</t>
  </si>
  <si>
    <t>14,0416</t>
  </si>
  <si>
    <t>0,01227</t>
  </si>
  <si>
    <t>2458620,83481</t>
  </si>
  <si>
    <t>2019 MAY 17</t>
  </si>
  <si>
    <t>14,02</t>
  </si>
  <si>
    <t>2458623,38857</t>
  </si>
  <si>
    <t>2019 MAY 19</t>
  </si>
  <si>
    <t>13,994</t>
  </si>
  <si>
    <t>0,038</t>
  </si>
  <si>
    <t>2458624,32628</t>
  </si>
  <si>
    <t>2019 MAY 20</t>
  </si>
  <si>
    <t>14,091</t>
  </si>
  <si>
    <t>0,011053</t>
  </si>
  <si>
    <t>2458625,59545</t>
  </si>
  <si>
    <t>2019 MAY 22</t>
  </si>
  <si>
    <t>14,128067</t>
  </si>
  <si>
    <t>0,003185</t>
  </si>
  <si>
    <t>2458626,6014</t>
  </si>
  <si>
    <t>2019 MAY 23</t>
  </si>
  <si>
    <t>14,204571</t>
  </si>
  <si>
    <t>0,012711</t>
  </si>
  <si>
    <t>2458627,74705</t>
  </si>
  <si>
    <t>2019 MAY 24</t>
  </si>
  <si>
    <t>14,259333</t>
  </si>
  <si>
    <t>0,005207</t>
  </si>
  <si>
    <t>2458628,88356</t>
  </si>
  <si>
    <t>2019 MAY 25</t>
  </si>
  <si>
    <t>14,470444</t>
  </si>
  <si>
    <t>0,00669</t>
  </si>
  <si>
    <t>2458630,36734</t>
  </si>
  <si>
    <t>2019 MAY 26</t>
  </si>
  <si>
    <t>14,45725</t>
  </si>
  <si>
    <t>0,012579</t>
  </si>
  <si>
    <t>2458631,75039</t>
  </si>
  <si>
    <t>2019 MAY 28</t>
  </si>
  <si>
    <t>14,557571</t>
  </si>
  <si>
    <t>0,020353</t>
  </si>
  <si>
    <t>2458632,69596</t>
  </si>
  <si>
    <t>2019 MAY 29</t>
  </si>
  <si>
    <t>14,66704</t>
  </si>
  <si>
    <t>0,015734</t>
  </si>
  <si>
    <t>2458633,89476</t>
  </si>
  <si>
    <t>2019 MAY 30</t>
  </si>
  <si>
    <t>14,717857</t>
  </si>
  <si>
    <t>0,013804</t>
  </si>
  <si>
    <t>2458635,27436</t>
  </si>
  <si>
    <t>2019 MAY 31</t>
  </si>
  <si>
    <t>14,794526</t>
  </si>
  <si>
    <t>0,010332</t>
  </si>
  <si>
    <t>2458636,10303</t>
  </si>
  <si>
    <t>2019 JUN 1</t>
  </si>
  <si>
    <t>14,838833</t>
  </si>
  <si>
    <t>0,015923</t>
  </si>
  <si>
    <t>2458637,21695</t>
  </si>
  <si>
    <t>2019 JUN 2</t>
  </si>
  <si>
    <t>14,914692</t>
  </si>
  <si>
    <t>0,021233</t>
  </si>
  <si>
    <t>2458638,59773</t>
  </si>
  <si>
    <t>2019 JUN 4</t>
  </si>
  <si>
    <t>15,021375</t>
  </si>
  <si>
    <t>0,021116</t>
  </si>
  <si>
    <t>2458639,48764</t>
  </si>
  <si>
    <t>15,0565</t>
  </si>
  <si>
    <t>0,01841</t>
  </si>
  <si>
    <t>2458640,30738</t>
  </si>
  <si>
    <t>2019 JUN 5</t>
  </si>
  <si>
    <t>15,151917</t>
  </si>
  <si>
    <t>0,014472</t>
  </si>
  <si>
    <t>2458641,99832</t>
  </si>
  <si>
    <t>2019 JUN 7</t>
  </si>
  <si>
    <t>15,1664</t>
  </si>
  <si>
    <t>0,020046</t>
  </si>
  <si>
    <t>2458643,59295</t>
  </si>
  <si>
    <t>2019 JUN 9</t>
  </si>
  <si>
    <t>15,442875</t>
  </si>
  <si>
    <t>0,025092</t>
  </si>
  <si>
    <t>2458645,60805</t>
  </si>
  <si>
    <t>2019 JUN 11</t>
  </si>
  <si>
    <t>15,4884</t>
  </si>
  <si>
    <t>0,062842</t>
  </si>
  <si>
    <t>2458646,93764</t>
  </si>
  <si>
    <t>2019 JUN 12</t>
  </si>
  <si>
    <t>15,6535</t>
  </si>
  <si>
    <t>0,040334</t>
  </si>
  <si>
    <t>2458647,83229</t>
  </si>
  <si>
    <t>2019 JUN 13</t>
  </si>
  <si>
    <t>15,721833</t>
  </si>
  <si>
    <t>0,017683</t>
  </si>
  <si>
    <t>2458649,61561</t>
  </si>
  <si>
    <t>2019 JUN 15</t>
  </si>
  <si>
    <t>15,784778</t>
  </si>
  <si>
    <t>0,03148</t>
  </si>
  <si>
    <t>2458650,60701</t>
  </si>
  <si>
    <t>2019 JUN 16</t>
  </si>
  <si>
    <t>15,860857</t>
  </si>
  <si>
    <t>0,013616</t>
  </si>
  <si>
    <t>2458652,7797</t>
  </si>
  <si>
    <t>2019 JUN 18</t>
  </si>
  <si>
    <t>15,97</t>
  </si>
  <si>
    <t>0,01</t>
  </si>
  <si>
    <t>2458653,75588</t>
  </si>
  <si>
    <t>2019 JUN 19</t>
  </si>
  <si>
    <t>15,988857</t>
  </si>
  <si>
    <t>0,034592</t>
  </si>
  <si>
    <t>2458654,91522</t>
  </si>
  <si>
    <t>2019 JUN 20</t>
  </si>
  <si>
    <t>16,035429</t>
  </si>
  <si>
    <t>0,023103</t>
  </si>
  <si>
    <t>2458655,98926</t>
  </si>
  <si>
    <t>2019 JUN 21</t>
  </si>
  <si>
    <t>16,084143</t>
  </si>
  <si>
    <t>0,037027</t>
  </si>
  <si>
    <t>2458657,51746</t>
  </si>
  <si>
    <t>2019 JUN 23</t>
  </si>
  <si>
    <t>16,03725</t>
  </si>
  <si>
    <t>0,063634</t>
  </si>
  <si>
    <t>2458658,62889</t>
  </si>
  <si>
    <t>2019 JUN 24</t>
  </si>
  <si>
    <t>16,116667</t>
  </si>
  <si>
    <t>0,01905</t>
  </si>
  <si>
    <t>2458659,76629</t>
  </si>
  <si>
    <t>2019 JUN 25</t>
  </si>
  <si>
    <t>16,204444</t>
  </si>
  <si>
    <t>0,028364</t>
  </si>
  <si>
    <t>2458662,05773</t>
  </si>
  <si>
    <t>2019 JUN 27</t>
  </si>
  <si>
    <t>16,343333</t>
  </si>
  <si>
    <t>0,021858</t>
  </si>
  <si>
    <t>2458663,17283</t>
  </si>
  <si>
    <t>2019 JUN 28</t>
  </si>
  <si>
    <t>16,34025</t>
  </si>
  <si>
    <t>0,01739</t>
  </si>
  <si>
    <t>2458664,91927</t>
  </si>
  <si>
    <t>2019 JUN 30</t>
  </si>
  <si>
    <t>16,395</t>
  </si>
  <si>
    <t>0,047374</t>
  </si>
  <si>
    <t>2458666,36213</t>
  </si>
  <si>
    <t>2019 JUL 1</t>
  </si>
  <si>
    <t>16,42</t>
  </si>
  <si>
    <t>2458667,89168</t>
  </si>
  <si>
    <t>2019 JUL 3</t>
  </si>
  <si>
    <t>16,5245</t>
  </si>
  <si>
    <t>0,0755</t>
  </si>
  <si>
    <t>2458668,92093</t>
  </si>
  <si>
    <t>2019 JUL 4</t>
  </si>
  <si>
    <t>16,4605</t>
  </si>
  <si>
    <t>0,0495</t>
  </si>
  <si>
    <t>2458670,43926</t>
  </si>
  <si>
    <t>2019 JUL 5</t>
  </si>
  <si>
    <t>16,550667</t>
  </si>
  <si>
    <t>0,050864</t>
  </si>
  <si>
    <t>2458672,37896</t>
  </si>
  <si>
    <t>2019 JUL 7</t>
  </si>
  <si>
    <t>16,491</t>
  </si>
  <si>
    <t>2458673,79587</t>
  </si>
  <si>
    <t>2019 JUL 9</t>
  </si>
  <si>
    <t>16,663667</t>
  </si>
  <si>
    <t>0,047778</t>
  </si>
  <si>
    <t>2458675,46541</t>
  </si>
  <si>
    <t>2019 JUL 10</t>
  </si>
  <si>
    <t>16,79</t>
  </si>
  <si>
    <t>2458677,39634</t>
  </si>
  <si>
    <t>2019 JUL 12</t>
  </si>
  <si>
    <t>16,764</t>
  </si>
  <si>
    <t>2458678,67202</t>
  </si>
  <si>
    <t>2019 JUL 14</t>
  </si>
  <si>
    <t>16,579</t>
  </si>
  <si>
    <t>2458680,37069</t>
  </si>
  <si>
    <t>2019 JUL 15</t>
  </si>
  <si>
    <t>16,92</t>
  </si>
  <si>
    <t>2458683,68259</t>
  </si>
  <si>
    <t>2019 JUL 19</t>
  </si>
  <si>
    <t>16,812</t>
  </si>
  <si>
    <t>2458686,03916</t>
  </si>
  <si>
    <t>2019 JUL 21</t>
  </si>
  <si>
    <t>16,996</t>
  </si>
  <si>
    <t>0,011</t>
  </si>
  <si>
    <t>2458688,38756</t>
  </si>
  <si>
    <t>2019 JUL 23</t>
  </si>
  <si>
    <t>17,0535</t>
  </si>
  <si>
    <t>0,0365</t>
  </si>
  <si>
    <t>2458689,37533</t>
  </si>
  <si>
    <t>2019 JUL 24</t>
  </si>
  <si>
    <t>17,098</t>
  </si>
  <si>
    <t>2458691,14194</t>
  </si>
  <si>
    <t>2019 JUL 26</t>
  </si>
  <si>
    <t>16,9495</t>
  </si>
  <si>
    <t>0,0065</t>
  </si>
  <si>
    <t>2458693,22612</t>
  </si>
  <si>
    <t>2019 JUL 28</t>
  </si>
  <si>
    <t>17,006333</t>
  </si>
  <si>
    <t>0,023247</t>
  </si>
  <si>
    <t>Date</t>
  </si>
  <si>
    <t>Time</t>
  </si>
  <si>
    <t>JD</t>
  </si>
  <si>
    <t>Obs.</t>
  </si>
  <si>
    <t>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</si>
</sst>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9" formatCode="0.000"/>
    <numFmt numFmtId="172" formatCode="hh:mm;@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2" borderId="0" xfId="0" applyFill="1"/>
    <xf numFmtId="14" fontId="0" fillId="2" borderId="1" xfId="0" applyNumberFormat="1" applyFill="1" applyBorder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 wrapText="1"/>
    </xf>
    <xf numFmtId="2" fontId="0" fillId="0" borderId="0" xfId="0" applyNumberFormat="1" applyAlignment="1">
      <alignment vertical="center" wrapText="1"/>
    </xf>
    <xf numFmtId="1" fontId="2" fillId="0" borderId="0" xfId="0" applyNumberFormat="1" applyFont="1" applyAlignment="1">
      <alignment vertical="center"/>
    </xf>
    <xf numFmtId="1" fontId="0" fillId="0" borderId="0" xfId="0" applyNumberFormat="1" applyAlignment="1">
      <alignment vertical="center" wrapText="1"/>
    </xf>
    <xf numFmtId="1" fontId="0" fillId="0" borderId="0" xfId="0" applyNumberFormat="1"/>
    <xf numFmtId="169" fontId="0" fillId="2" borderId="1" xfId="0" applyNumberForma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72" fontId="0" fillId="2" borderId="1" xfId="0" applyNumberFormat="1" applyFill="1" applyBorder="1" applyAlignment="1">
      <alignment horizontal="center"/>
    </xf>
    <xf numFmtId="1" fontId="0" fillId="2" borderId="0" xfId="0" applyNumberFormat="1" applyFill="1" applyBorder="1"/>
    <xf numFmtId="0" fontId="3" fillId="3" borderId="0" xfId="0" applyFont="1" applyFill="1" applyAlignment="1">
      <alignment horizontal="center"/>
    </xf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Index!$I$3</c:f>
          <c:strCache>
            <c:ptCount val="1"/>
            <c:pt idx="0">
              <c:v>AS 270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strRef>
              <c:f>V!$A:$A</c:f>
              <c:strCache>
                <c:ptCount val="55"/>
                <c:pt idx="0">
                  <c:v>2458605,42194</c:v>
                </c:pt>
                <c:pt idx="1">
                  <c:v>2458613,38821</c:v>
                </c:pt>
                <c:pt idx="2">
                  <c:v>2458616,06617</c:v>
                </c:pt>
                <c:pt idx="3">
                  <c:v>2458617,10832</c:v>
                </c:pt>
                <c:pt idx="4">
                  <c:v>2458619,25354</c:v>
                </c:pt>
                <c:pt idx="5">
                  <c:v>2458620,83481</c:v>
                </c:pt>
                <c:pt idx="6">
                  <c:v>2458623,38857</c:v>
                </c:pt>
                <c:pt idx="7">
                  <c:v>2458624,32628</c:v>
                </c:pt>
                <c:pt idx="8">
                  <c:v>2458625,59545</c:v>
                </c:pt>
                <c:pt idx="9">
                  <c:v>2458626,6014</c:v>
                </c:pt>
                <c:pt idx="10">
                  <c:v>2458627,74705</c:v>
                </c:pt>
                <c:pt idx="11">
                  <c:v>2458628,88356</c:v>
                </c:pt>
                <c:pt idx="12">
                  <c:v>2458630,36734</c:v>
                </c:pt>
                <c:pt idx="13">
                  <c:v>2458631,75039</c:v>
                </c:pt>
                <c:pt idx="14">
                  <c:v>2458632,69596</c:v>
                </c:pt>
                <c:pt idx="15">
                  <c:v>2458633,89476</c:v>
                </c:pt>
                <c:pt idx="16">
                  <c:v>2458635,27436</c:v>
                </c:pt>
                <c:pt idx="17">
                  <c:v>2458636,10303</c:v>
                </c:pt>
                <c:pt idx="18">
                  <c:v>2458637,21695</c:v>
                </c:pt>
                <c:pt idx="19">
                  <c:v>2458638,59773</c:v>
                </c:pt>
                <c:pt idx="20">
                  <c:v>2458639,48764</c:v>
                </c:pt>
                <c:pt idx="21">
                  <c:v>2458640,30738</c:v>
                </c:pt>
                <c:pt idx="22">
                  <c:v>2458641,99832</c:v>
                </c:pt>
                <c:pt idx="23">
                  <c:v>2458643,59295</c:v>
                </c:pt>
                <c:pt idx="24">
                  <c:v>2458645,60805</c:v>
                </c:pt>
                <c:pt idx="25">
                  <c:v>2458646,93764</c:v>
                </c:pt>
                <c:pt idx="26">
                  <c:v>2458647,83229</c:v>
                </c:pt>
                <c:pt idx="27">
                  <c:v>2458649,61561</c:v>
                </c:pt>
                <c:pt idx="28">
                  <c:v>2458650,60701</c:v>
                </c:pt>
                <c:pt idx="29">
                  <c:v>2458652,7797</c:v>
                </c:pt>
                <c:pt idx="30">
                  <c:v>2458653,75588</c:v>
                </c:pt>
                <c:pt idx="31">
                  <c:v>2458654,91522</c:v>
                </c:pt>
                <c:pt idx="32">
                  <c:v>2458655,98926</c:v>
                </c:pt>
                <c:pt idx="33">
                  <c:v>2458657,51746</c:v>
                </c:pt>
                <c:pt idx="34">
                  <c:v>2458658,62889</c:v>
                </c:pt>
                <c:pt idx="35">
                  <c:v>2458659,76629</c:v>
                </c:pt>
                <c:pt idx="36">
                  <c:v>2458662,05773</c:v>
                </c:pt>
                <c:pt idx="37">
                  <c:v>2458663,17283</c:v>
                </c:pt>
                <c:pt idx="38">
                  <c:v>2458664,91927</c:v>
                </c:pt>
                <c:pt idx="39">
                  <c:v>2458666,36213</c:v>
                </c:pt>
                <c:pt idx="40">
                  <c:v>2458667,89168</c:v>
                </c:pt>
                <c:pt idx="41">
                  <c:v>2458668,92093</c:v>
                </c:pt>
                <c:pt idx="42">
                  <c:v>2458670,43926</c:v>
                </c:pt>
                <c:pt idx="43">
                  <c:v>2458672,37896</c:v>
                </c:pt>
                <c:pt idx="44">
                  <c:v>2458673,79587</c:v>
                </c:pt>
                <c:pt idx="45">
                  <c:v>2458675,46541</c:v>
                </c:pt>
                <c:pt idx="46">
                  <c:v>2458677,39634</c:v>
                </c:pt>
                <c:pt idx="47">
                  <c:v>2458678,67202</c:v>
                </c:pt>
                <c:pt idx="48">
                  <c:v>2458680,37069</c:v>
                </c:pt>
                <c:pt idx="49">
                  <c:v>2458683,68259</c:v>
                </c:pt>
                <c:pt idx="50">
                  <c:v>2458686,03916</c:v>
                </c:pt>
                <c:pt idx="51">
                  <c:v>2458688,38756</c:v>
                </c:pt>
                <c:pt idx="52">
                  <c:v>2458689,37533</c:v>
                </c:pt>
                <c:pt idx="53">
                  <c:v>2458691,14194</c:v>
                </c:pt>
                <c:pt idx="54">
                  <c:v>2458693,22612</c:v>
                </c:pt>
              </c:strCache>
            </c:strRef>
          </c:xVal>
          <c:yVal>
            <c:numRef>
              <c:f>V!$C:$C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2-44E8-B02F-7AB3DB591B8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Index!$I$24:$I$24</c:f>
              <c:numCache>
                <c:formatCode>General</c:formatCode>
                <c:ptCount val="1"/>
              </c:numCache>
            </c:numRef>
          </c:xVal>
          <c:yVal>
            <c:numRef>
              <c:f>Index!$J$24:$J$24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82-44E8-B02F-7AB3DB591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5288"/>
        <c:axId val="821065680"/>
      </c:scatterChart>
      <c:valAx>
        <c:axId val="821065288"/>
        <c:scaling>
          <c:orientation val="minMax"/>
          <c:min val="2454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680"/>
        <c:crosses val="max"/>
        <c:crossBetween val="midCat"/>
        <c:majorUnit val="365"/>
      </c:valAx>
      <c:valAx>
        <c:axId val="821065680"/>
        <c:scaling>
          <c:orientation val="maxMin"/>
          <c:min val="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106528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V!$H$643:$H$651</c:f>
              <c:numCache>
                <c:formatCode>General</c:formatCode>
                <c:ptCount val="9"/>
              </c:numCache>
            </c:numRef>
          </c:xVal>
          <c:yVal>
            <c:numRef>
              <c:f>V!$J$643:$J$651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59-40E7-9760-2E4735B2C4C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Index!#REF!</c:f>
            </c:numRef>
          </c:xVal>
          <c:yVal>
            <c:numRef>
              <c:f>Index!#REF!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59-40E7-9760-2E4735B2C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287200"/>
        <c:axId val="841289168"/>
      </c:scatterChart>
      <c:valAx>
        <c:axId val="841287200"/>
        <c:scaling>
          <c:orientation val="minMax"/>
          <c:min val="24580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9168"/>
        <c:crosses val="max"/>
        <c:crossBetween val="midCat"/>
      </c:valAx>
      <c:valAx>
        <c:axId val="841289168"/>
        <c:scaling>
          <c:orientation val="maxMin"/>
          <c:min val="8.8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V!$K$645:$K$650</c:f>
              <c:numCache>
                <c:formatCode>0</c:formatCode>
                <c:ptCount val="6"/>
              </c:numCache>
            </c:numRef>
          </c:xVal>
          <c:yVal>
            <c:numRef>
              <c:f>V!$L$645:$L$650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AB-4FD2-ADB4-E6BDD117F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287200"/>
        <c:axId val="841289168"/>
      </c:scatterChart>
      <c:valAx>
        <c:axId val="84128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9168"/>
        <c:crosses val="max"/>
        <c:crossBetween val="midCat"/>
      </c:valAx>
      <c:valAx>
        <c:axId val="841289168"/>
        <c:scaling>
          <c:orientation val="maxMin"/>
          <c:min val="8.8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128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171450</xdr:rowOff>
    </xdr:from>
    <xdr:to>
      <xdr:col>7</xdr:col>
      <xdr:colOff>0</xdr:colOff>
      <xdr:row>11</xdr:row>
      <xdr:rowOff>114300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4</xdr:row>
          <xdr:rowOff>180975</xdr:rowOff>
        </xdr:from>
        <xdr:to>
          <xdr:col>16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713826</xdr:colOff>
      <xdr:row>617</xdr:row>
      <xdr:rowOff>68099</xdr:rowOff>
    </xdr:from>
    <xdr:to>
      <xdr:col>13</xdr:col>
      <xdr:colOff>153275</xdr:colOff>
      <xdr:row>630</xdr:row>
      <xdr:rowOff>76638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617</xdr:row>
      <xdr:rowOff>0</xdr:rowOff>
    </xdr:from>
    <xdr:to>
      <xdr:col>19</xdr:col>
      <xdr:colOff>764191</xdr:colOff>
      <xdr:row>630</xdr:row>
      <xdr:rowOff>8539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\Desktop\Supernova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ExportGraphique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ata"/>
      <sheetName val="MAJ"/>
      <sheetName val="Alias"/>
      <sheetName val="Sites"/>
      <sheetName val="f1"/>
      <sheetName val="sn2017eaw"/>
      <sheetName val="sn2018zd"/>
      <sheetName val="sn2019ein"/>
      <sheetName val="sn2018gj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3">
          <cell r="C13">
            <v>43597</v>
          </cell>
          <cell r="D13">
            <v>2.6249999999999999E-2</v>
          </cell>
          <cell r="E13">
            <v>2458615.5575999999</v>
          </cell>
          <cell r="F13" t="str">
            <v>RLE</v>
          </cell>
          <cell r="I13">
            <v>506</v>
          </cell>
        </row>
        <row r="14">
          <cell r="C14">
            <v>43597</v>
          </cell>
          <cell r="D14">
            <v>0.12292824074074075</v>
          </cell>
          <cell r="E14">
            <v>2458615.6123000002</v>
          </cell>
          <cell r="F14" t="str">
            <v>PLD</v>
          </cell>
          <cell r="I14">
            <v>527</v>
          </cell>
        </row>
        <row r="15">
          <cell r="C15">
            <v>43598</v>
          </cell>
          <cell r="D15">
            <v>0.89087962962962963</v>
          </cell>
          <cell r="E15">
            <v>2458617.4325999999</v>
          </cell>
          <cell r="F15" t="str">
            <v>EBE</v>
          </cell>
          <cell r="I15">
            <v>513</v>
          </cell>
        </row>
        <row r="16">
          <cell r="C16">
            <v>43599</v>
          </cell>
          <cell r="D16">
            <v>0.1156712962962963</v>
          </cell>
          <cell r="E16">
            <v>2458617.6156000001</v>
          </cell>
          <cell r="F16" t="str">
            <v>PLD</v>
          </cell>
          <cell r="I16">
            <v>528</v>
          </cell>
        </row>
        <row r="17">
          <cell r="C17">
            <v>43599</v>
          </cell>
          <cell r="D17">
            <v>0.86273148148148149</v>
          </cell>
          <cell r="E17">
            <v>2458618.4223000002</v>
          </cell>
          <cell r="F17" t="str">
            <v>CBU</v>
          </cell>
          <cell r="I17">
            <v>760</v>
          </cell>
        </row>
        <row r="18">
          <cell r="C18">
            <v>43599</v>
          </cell>
          <cell r="D18">
            <v>0.87024305555555559</v>
          </cell>
          <cell r="E18">
            <v>2458618.3991</v>
          </cell>
          <cell r="F18" t="str">
            <v>VLE</v>
          </cell>
          <cell r="I18">
            <v>552</v>
          </cell>
        </row>
        <row r="19">
          <cell r="C19">
            <v>43600</v>
          </cell>
          <cell r="D19">
            <v>0.16322916666666668</v>
          </cell>
          <cell r="E19">
            <v>2458618.6946</v>
          </cell>
          <cell r="F19" t="str">
            <v>FAS</v>
          </cell>
          <cell r="I19">
            <v>902</v>
          </cell>
        </row>
        <row r="20">
          <cell r="C20">
            <v>43600</v>
          </cell>
          <cell r="D20">
            <v>0.85179398148148155</v>
          </cell>
          <cell r="E20">
            <v>2458619.3805</v>
          </cell>
          <cell r="F20" t="str">
            <v>VLE</v>
          </cell>
          <cell r="I20">
            <v>552</v>
          </cell>
        </row>
        <row r="21">
          <cell r="C21">
            <v>43605</v>
          </cell>
          <cell r="D21">
            <v>0.86061342592592593</v>
          </cell>
          <cell r="E21">
            <v>2458624.4024</v>
          </cell>
          <cell r="F21" t="str">
            <v>EBE</v>
          </cell>
          <cell r="I21">
            <v>518</v>
          </cell>
        </row>
        <row r="22">
          <cell r="C22">
            <v>43606</v>
          </cell>
          <cell r="D22">
            <v>0.27318287037037037</v>
          </cell>
          <cell r="E22">
            <v>2458624.8045999999</v>
          </cell>
          <cell r="F22" t="str">
            <v>FAS</v>
          </cell>
          <cell r="I22">
            <v>1065</v>
          </cell>
        </row>
        <row r="23">
          <cell r="C23">
            <v>43606</v>
          </cell>
          <cell r="D23">
            <v>0.95476851851851852</v>
          </cell>
          <cell r="E23">
            <v>2458625.4687999999</v>
          </cell>
          <cell r="F23" t="str">
            <v>PLD</v>
          </cell>
          <cell r="I23">
            <v>528</v>
          </cell>
        </row>
        <row r="24">
          <cell r="C24">
            <v>43607</v>
          </cell>
          <cell r="D24">
            <v>0.93258101851851849</v>
          </cell>
          <cell r="E24">
            <v>2458626.4674</v>
          </cell>
          <cell r="F24" t="str">
            <v>RLE</v>
          </cell>
          <cell r="I24">
            <v>509</v>
          </cell>
        </row>
        <row r="25">
          <cell r="C25">
            <v>43609</v>
          </cell>
          <cell r="D25">
            <v>0.26239583333333333</v>
          </cell>
          <cell r="E25">
            <v>2458627.7938000001</v>
          </cell>
          <cell r="F25" t="str">
            <v>FAS</v>
          </cell>
          <cell r="I25">
            <v>1050</v>
          </cell>
        </row>
        <row r="26">
          <cell r="C26">
            <v>43611</v>
          </cell>
          <cell r="D26">
            <v>0.86243055555555559</v>
          </cell>
          <cell r="E26">
            <v>2458630.3875000002</v>
          </cell>
          <cell r="F26" t="str">
            <v>VLE</v>
          </cell>
          <cell r="I26">
            <v>522</v>
          </cell>
        </row>
        <row r="27">
          <cell r="C27">
            <v>43613</v>
          </cell>
          <cell r="D27">
            <v>0.93081018518518521</v>
          </cell>
          <cell r="E27">
            <v>2458632.4961000001</v>
          </cell>
          <cell r="F27" t="str">
            <v>RLE</v>
          </cell>
          <cell r="I27">
            <v>511</v>
          </cell>
        </row>
        <row r="28">
          <cell r="C28">
            <v>43620</v>
          </cell>
          <cell r="D28">
            <v>0.21560185185185185</v>
          </cell>
          <cell r="E28">
            <v>2458638.747</v>
          </cell>
          <cell r="F28" t="str">
            <v>FAS</v>
          </cell>
          <cell r="I28">
            <v>822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N39"/>
  <sheetViews>
    <sheetView showGridLines="0" tabSelected="1" topLeftCell="A16" workbookViewId="0">
      <selection activeCell="P38" sqref="P38"/>
    </sheetView>
  </sheetViews>
  <sheetFormatPr baseColWidth="10" defaultRowHeight="15"/>
  <sheetData>
    <row r="2" spans="9:10">
      <c r="J2" t="s">
        <v>1</v>
      </c>
    </row>
    <row r="3" spans="9:10">
      <c r="I3" t="s">
        <v>6</v>
      </c>
    </row>
    <row r="19" spans="2:14">
      <c r="C19" s="3"/>
    </row>
    <row r="21" spans="2:14">
      <c r="C21" t="s">
        <v>0</v>
      </c>
      <c r="I21">
        <v>8.5</v>
      </c>
    </row>
    <row r="23" spans="2:14">
      <c r="C23" s="17" t="s">
        <v>215</v>
      </c>
      <c r="D23" s="17" t="s">
        <v>216</v>
      </c>
      <c r="E23" s="17" t="s">
        <v>217</v>
      </c>
      <c r="F23" s="17" t="s">
        <v>218</v>
      </c>
      <c r="G23" s="17" t="s">
        <v>219</v>
      </c>
    </row>
    <row r="24" spans="2:14">
      <c r="B24" s="16"/>
      <c r="C24" s="5">
        <f>+[2]sn2019ein!C13</f>
        <v>43597</v>
      </c>
      <c r="D24" s="15">
        <f>+[2]sn2019ein!D13</f>
        <v>2.6249999999999999E-2</v>
      </c>
      <c r="E24" s="12">
        <f>+[2]sn2019ein!E13</f>
        <v>2458615.5575999999</v>
      </c>
      <c r="F24" s="13" t="str">
        <f>+[2]sn2019ein!F13</f>
        <v>RLE</v>
      </c>
      <c r="G24" s="14">
        <f>+[2]sn2019ein!I13</f>
        <v>506</v>
      </c>
      <c r="H24" s="4"/>
      <c r="I24" s="4"/>
      <c r="K24" s="2" t="str">
        <f>+IF(F24=K$20,K$22,"")</f>
        <v/>
      </c>
      <c r="M24" s="18">
        <f>+E24</f>
        <v>2458615.5575999999</v>
      </c>
      <c r="N24">
        <v>13</v>
      </c>
    </row>
    <row r="25" spans="2:14">
      <c r="C25" s="5">
        <f>+[2]sn2019ein!C14</f>
        <v>43597</v>
      </c>
      <c r="D25" s="15">
        <f>+[2]sn2019ein!D14</f>
        <v>0.12292824074074075</v>
      </c>
      <c r="E25" s="12">
        <f>+[2]sn2019ein!E14</f>
        <v>2458615.6123000002</v>
      </c>
      <c r="F25" s="13" t="str">
        <f>+[2]sn2019ein!F14</f>
        <v>PLD</v>
      </c>
      <c r="G25" s="14">
        <f>+[2]sn2019ein!I14</f>
        <v>527</v>
      </c>
      <c r="M25" s="18">
        <f t="shared" ref="M25:M39" si="0">+E25</f>
        <v>2458615.6123000002</v>
      </c>
      <c r="N25">
        <v>13</v>
      </c>
    </row>
    <row r="26" spans="2:14">
      <c r="C26" s="5">
        <f>+[2]sn2019ein!C15</f>
        <v>43598</v>
      </c>
      <c r="D26" s="15">
        <f>+[2]sn2019ein!D15</f>
        <v>0.89087962962962963</v>
      </c>
      <c r="E26" s="12">
        <f>+[2]sn2019ein!E15</f>
        <v>2458617.4325999999</v>
      </c>
      <c r="F26" s="13" t="str">
        <f>+[2]sn2019ein!F15</f>
        <v>EBE</v>
      </c>
      <c r="G26" s="14">
        <f>+[2]sn2019ein!I15</f>
        <v>513</v>
      </c>
      <c r="M26" s="18">
        <f t="shared" si="0"/>
        <v>2458617.4325999999</v>
      </c>
      <c r="N26">
        <v>13</v>
      </c>
    </row>
    <row r="27" spans="2:14">
      <c r="C27" s="5">
        <f>+[2]sn2019ein!C16</f>
        <v>43599</v>
      </c>
      <c r="D27" s="15">
        <f>+[2]sn2019ein!D16</f>
        <v>0.1156712962962963</v>
      </c>
      <c r="E27" s="12">
        <f>+[2]sn2019ein!E16</f>
        <v>2458617.6156000001</v>
      </c>
      <c r="F27" s="13" t="str">
        <f>+[2]sn2019ein!F16</f>
        <v>PLD</v>
      </c>
      <c r="G27" s="14">
        <f>+[2]sn2019ein!I16</f>
        <v>528</v>
      </c>
      <c r="M27" s="18">
        <f t="shared" si="0"/>
        <v>2458617.6156000001</v>
      </c>
      <c r="N27">
        <v>13</v>
      </c>
    </row>
    <row r="28" spans="2:14">
      <c r="C28" s="5">
        <f>+[2]sn2019ein!C17</f>
        <v>43599</v>
      </c>
      <c r="D28" s="15">
        <f>+[2]sn2019ein!D17</f>
        <v>0.86273148148148149</v>
      </c>
      <c r="E28" s="12">
        <f>+[2]sn2019ein!E17</f>
        <v>2458618.4223000002</v>
      </c>
      <c r="F28" s="13" t="str">
        <f>+[2]sn2019ein!F17</f>
        <v>CBU</v>
      </c>
      <c r="G28" s="14">
        <f>+[2]sn2019ein!I17</f>
        <v>760</v>
      </c>
      <c r="M28" s="18">
        <f t="shared" si="0"/>
        <v>2458618.4223000002</v>
      </c>
      <c r="N28">
        <v>13</v>
      </c>
    </row>
    <row r="29" spans="2:14">
      <c r="C29" s="5">
        <f>+[2]sn2019ein!C18</f>
        <v>43599</v>
      </c>
      <c r="D29" s="15">
        <f>+[2]sn2019ein!D18</f>
        <v>0.87024305555555559</v>
      </c>
      <c r="E29" s="12">
        <f>+[2]sn2019ein!E18</f>
        <v>2458618.3991</v>
      </c>
      <c r="F29" s="13" t="str">
        <f>+[2]sn2019ein!F18</f>
        <v>VLE</v>
      </c>
      <c r="G29" s="14">
        <f>+[2]sn2019ein!I18</f>
        <v>552</v>
      </c>
      <c r="M29" s="18">
        <f t="shared" si="0"/>
        <v>2458618.3991</v>
      </c>
      <c r="N29">
        <v>13</v>
      </c>
    </row>
    <row r="30" spans="2:14">
      <c r="C30" s="5">
        <f>+[2]sn2019ein!C19</f>
        <v>43600</v>
      </c>
      <c r="D30" s="15">
        <f>+[2]sn2019ein!D19</f>
        <v>0.16322916666666668</v>
      </c>
      <c r="E30" s="12">
        <f>+[2]sn2019ein!E19</f>
        <v>2458618.6946</v>
      </c>
      <c r="F30" s="13" t="str">
        <f>+[2]sn2019ein!F19</f>
        <v>FAS</v>
      </c>
      <c r="G30" s="14">
        <f>+[2]sn2019ein!I19</f>
        <v>902</v>
      </c>
      <c r="M30" s="18">
        <f t="shared" si="0"/>
        <v>2458618.6946</v>
      </c>
      <c r="N30">
        <v>13</v>
      </c>
    </row>
    <row r="31" spans="2:14">
      <c r="C31" s="5">
        <f>+[2]sn2019ein!C20</f>
        <v>43600</v>
      </c>
      <c r="D31" s="15">
        <f>+[2]sn2019ein!D20</f>
        <v>0.85179398148148155</v>
      </c>
      <c r="E31" s="12">
        <f>+[2]sn2019ein!E20</f>
        <v>2458619.3805</v>
      </c>
      <c r="F31" s="13" t="str">
        <f>+[2]sn2019ein!F20</f>
        <v>VLE</v>
      </c>
      <c r="G31" s="14">
        <f>+[2]sn2019ein!I20</f>
        <v>552</v>
      </c>
      <c r="M31" s="18">
        <f t="shared" si="0"/>
        <v>2458619.3805</v>
      </c>
      <c r="N31">
        <v>13</v>
      </c>
    </row>
    <row r="32" spans="2:14">
      <c r="C32" s="5">
        <f>+[2]sn2019ein!C21</f>
        <v>43605</v>
      </c>
      <c r="D32" s="15">
        <f>+[2]sn2019ein!D21</f>
        <v>0.86061342592592593</v>
      </c>
      <c r="E32" s="12">
        <f>+[2]sn2019ein!E21</f>
        <v>2458624.4024</v>
      </c>
      <c r="F32" s="13" t="str">
        <f>+[2]sn2019ein!F21</f>
        <v>EBE</v>
      </c>
      <c r="G32" s="14">
        <f>+[2]sn2019ein!I21</f>
        <v>518</v>
      </c>
      <c r="M32" s="18">
        <f t="shared" si="0"/>
        <v>2458624.4024</v>
      </c>
      <c r="N32">
        <v>13</v>
      </c>
    </row>
    <row r="33" spans="3:14">
      <c r="C33" s="5">
        <f>+[2]sn2019ein!C22</f>
        <v>43606</v>
      </c>
      <c r="D33" s="15">
        <f>+[2]sn2019ein!D22</f>
        <v>0.27318287037037037</v>
      </c>
      <c r="E33" s="12">
        <f>+[2]sn2019ein!E22</f>
        <v>2458624.8045999999</v>
      </c>
      <c r="F33" s="13" t="str">
        <f>+[2]sn2019ein!F22</f>
        <v>FAS</v>
      </c>
      <c r="G33" s="14">
        <f>+[2]sn2019ein!I22</f>
        <v>1065</v>
      </c>
      <c r="M33" s="18">
        <f t="shared" si="0"/>
        <v>2458624.8045999999</v>
      </c>
      <c r="N33">
        <v>13</v>
      </c>
    </row>
    <row r="34" spans="3:14">
      <c r="C34" s="5">
        <f>+[2]sn2019ein!C23</f>
        <v>43606</v>
      </c>
      <c r="D34" s="15">
        <f>+[2]sn2019ein!D23</f>
        <v>0.95476851851851852</v>
      </c>
      <c r="E34" s="12">
        <f>+[2]sn2019ein!E23</f>
        <v>2458625.4687999999</v>
      </c>
      <c r="F34" s="13" t="str">
        <f>+[2]sn2019ein!F23</f>
        <v>PLD</v>
      </c>
      <c r="G34" s="14">
        <f>+[2]sn2019ein!I23</f>
        <v>528</v>
      </c>
      <c r="M34" s="18">
        <f t="shared" si="0"/>
        <v>2458625.4687999999</v>
      </c>
      <c r="N34">
        <v>13</v>
      </c>
    </row>
    <row r="35" spans="3:14">
      <c r="C35" s="5">
        <f>+[2]sn2019ein!C24</f>
        <v>43607</v>
      </c>
      <c r="D35" s="15">
        <f>+[2]sn2019ein!D24</f>
        <v>0.93258101851851849</v>
      </c>
      <c r="E35" s="12">
        <f>+[2]sn2019ein!E24</f>
        <v>2458626.4674</v>
      </c>
      <c r="F35" s="13" t="str">
        <f>+[2]sn2019ein!F24</f>
        <v>RLE</v>
      </c>
      <c r="G35" s="14">
        <f>+[2]sn2019ein!I24</f>
        <v>509</v>
      </c>
      <c r="M35" s="18">
        <f t="shared" si="0"/>
        <v>2458626.4674</v>
      </c>
      <c r="N35">
        <v>13</v>
      </c>
    </row>
    <row r="36" spans="3:14">
      <c r="C36" s="5">
        <f>+[2]sn2019ein!C25</f>
        <v>43609</v>
      </c>
      <c r="D36" s="15">
        <f>+[2]sn2019ein!D25</f>
        <v>0.26239583333333333</v>
      </c>
      <c r="E36" s="12">
        <f>+[2]sn2019ein!E25</f>
        <v>2458627.7938000001</v>
      </c>
      <c r="F36" s="13" t="str">
        <f>+[2]sn2019ein!F25</f>
        <v>FAS</v>
      </c>
      <c r="G36" s="14">
        <f>+[2]sn2019ein!I25</f>
        <v>1050</v>
      </c>
      <c r="M36" s="18">
        <f t="shared" si="0"/>
        <v>2458627.7938000001</v>
      </c>
      <c r="N36">
        <v>13</v>
      </c>
    </row>
    <row r="37" spans="3:14">
      <c r="C37" s="5">
        <f>+[2]sn2019ein!C26</f>
        <v>43611</v>
      </c>
      <c r="D37" s="15">
        <f>+[2]sn2019ein!D26</f>
        <v>0.86243055555555559</v>
      </c>
      <c r="E37" s="12">
        <f>+[2]sn2019ein!E26</f>
        <v>2458630.3875000002</v>
      </c>
      <c r="F37" s="13" t="str">
        <f>+[2]sn2019ein!F26</f>
        <v>VLE</v>
      </c>
      <c r="G37" s="14">
        <f>+[2]sn2019ein!I26</f>
        <v>522</v>
      </c>
      <c r="M37" s="18">
        <f t="shared" si="0"/>
        <v>2458630.3875000002</v>
      </c>
      <c r="N37">
        <v>13</v>
      </c>
    </row>
    <row r="38" spans="3:14">
      <c r="C38" s="5">
        <f>+[2]sn2019ein!C27</f>
        <v>43613</v>
      </c>
      <c r="D38" s="15">
        <f>+[2]sn2019ein!D27</f>
        <v>0.93081018518518521</v>
      </c>
      <c r="E38" s="12">
        <f>+[2]sn2019ein!E27</f>
        <v>2458632.4961000001</v>
      </c>
      <c r="F38" s="13" t="str">
        <f>+[2]sn2019ein!F27</f>
        <v>RLE</v>
      </c>
      <c r="G38" s="14">
        <f>+[2]sn2019ein!I27</f>
        <v>511</v>
      </c>
      <c r="M38" s="18">
        <f t="shared" si="0"/>
        <v>2458632.4961000001</v>
      </c>
      <c r="N38">
        <v>13</v>
      </c>
    </row>
    <row r="39" spans="3:14">
      <c r="C39" s="5">
        <f>+[2]sn2019ein!C28</f>
        <v>43620</v>
      </c>
      <c r="D39" s="15">
        <f>+[2]sn2019ein!D28</f>
        <v>0.21560185185185185</v>
      </c>
      <c r="E39" s="12">
        <f>+[2]sn2019ein!E28</f>
        <v>2458638.747</v>
      </c>
      <c r="F39" s="13" t="str">
        <f>+[2]sn2019ein!F28</f>
        <v>FAS</v>
      </c>
      <c r="G39" s="14">
        <f>+[2]sn2019ein!I28</f>
        <v>822</v>
      </c>
      <c r="M39" s="18">
        <f t="shared" si="0"/>
        <v>2458638.747</v>
      </c>
      <c r="N39">
        <v>13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ExportGraphique">
                <anchor moveWithCells="1" sizeWithCells="1">
                  <from>
                    <xdr:col>15</xdr:col>
                    <xdr:colOff>9525</xdr:colOff>
                    <xdr:row>4</xdr:row>
                    <xdr:rowOff>180975</xdr:rowOff>
                  </from>
                  <to>
                    <xdr:col>16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4098"/>
  <sheetViews>
    <sheetView topLeftCell="A4" zoomScale="87" zoomScaleNormal="87" workbookViewId="0">
      <selection activeCell="I4" sqref="I4"/>
    </sheetView>
  </sheetViews>
  <sheetFormatPr baseColWidth="10" defaultRowHeight="15"/>
  <cols>
    <col min="1" max="1" width="13.5703125" bestFit="1" customWidth="1"/>
    <col min="2" max="2" width="13.140625" bestFit="1" customWidth="1"/>
    <col min="3" max="3" width="7.5703125" bestFit="1" customWidth="1"/>
    <col min="4" max="4" width="6.5703125" bestFit="1" customWidth="1"/>
    <col min="5" max="5" width="10" bestFit="1" customWidth="1"/>
    <col min="6" max="6" width="8.28515625" customWidth="1"/>
    <col min="7" max="7" width="11.42578125" customWidth="1"/>
    <col min="8" max="8" width="12" bestFit="1" customWidth="1"/>
    <col min="9" max="9" width="17.7109375" customWidth="1"/>
    <col min="11" max="11" width="12.5703125" bestFit="1" customWidth="1"/>
    <col min="13" max="13" width="12" bestFit="1" customWidth="1"/>
  </cols>
  <sheetData>
    <row r="1" spans="1:27">
      <c r="A1" s="1" t="s">
        <v>7</v>
      </c>
      <c r="B1" s="1" t="s">
        <v>8</v>
      </c>
      <c r="C1" s="1" t="s">
        <v>9</v>
      </c>
      <c r="D1" s="1"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>
      <c r="A2" s="1" t="s">
        <v>10</v>
      </c>
      <c r="B2" s="1" t="s">
        <v>11</v>
      </c>
      <c r="C2" s="1" t="s">
        <v>12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>
      <c r="A3" s="1" t="s">
        <v>13</v>
      </c>
      <c r="B3" s="1" t="s">
        <v>14</v>
      </c>
      <c r="C3" s="1" t="s">
        <v>15</v>
      </c>
      <c r="D3" s="1" t="s">
        <v>16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0">
      <c r="A4" s="1" t="s">
        <v>17</v>
      </c>
      <c r="B4" s="1" t="s">
        <v>18</v>
      </c>
      <c r="C4" s="1" t="s">
        <v>19</v>
      </c>
      <c r="D4" s="1" t="s">
        <v>20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0">
      <c r="A5" s="1" t="s">
        <v>21</v>
      </c>
      <c r="B5" s="1" t="s">
        <v>22</v>
      </c>
      <c r="C5" s="1" t="s">
        <v>23</v>
      </c>
      <c r="D5" s="1" t="s">
        <v>24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>
      <c r="A6" s="1" t="s">
        <v>25</v>
      </c>
      <c r="B6" s="1" t="s">
        <v>26</v>
      </c>
      <c r="C6" s="1" t="s">
        <v>27</v>
      </c>
      <c r="D6" s="1"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>
      <c r="A7" s="1" t="s">
        <v>28</v>
      </c>
      <c r="B7" s="1" t="s">
        <v>29</v>
      </c>
      <c r="C7" s="1" t="s">
        <v>30</v>
      </c>
      <c r="D7" s="1" t="s">
        <v>31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30">
      <c r="A8" s="1" t="s">
        <v>32</v>
      </c>
      <c r="B8" s="1" t="s">
        <v>33</v>
      </c>
      <c r="C8" s="1" t="s">
        <v>34</v>
      </c>
      <c r="D8" s="1" t="s">
        <v>35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30">
      <c r="A9" s="1" t="s">
        <v>36</v>
      </c>
      <c r="B9" s="1" t="s">
        <v>37</v>
      </c>
      <c r="C9" s="1" t="s">
        <v>38</v>
      </c>
      <c r="D9" s="1" t="s">
        <v>39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30">
      <c r="A10" s="1" t="s">
        <v>40</v>
      </c>
      <c r="B10" s="1" t="s">
        <v>41</v>
      </c>
      <c r="C10" s="1" t="s">
        <v>42</v>
      </c>
      <c r="D10" s="1" t="s">
        <v>43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30">
      <c r="A11" s="1" t="s">
        <v>44</v>
      </c>
      <c r="B11" s="1" t="s">
        <v>45</v>
      </c>
      <c r="C11" s="1" t="s">
        <v>46</v>
      </c>
      <c r="D11" s="1" t="s">
        <v>47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30">
      <c r="A12" s="1" t="s">
        <v>48</v>
      </c>
      <c r="B12" s="1" t="s">
        <v>49</v>
      </c>
      <c r="C12" s="1" t="s">
        <v>50</v>
      </c>
      <c r="D12" s="1" t="s">
        <v>51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30">
      <c r="A13" s="1" t="s">
        <v>52</v>
      </c>
      <c r="B13" s="1" t="s">
        <v>53</v>
      </c>
      <c r="C13" s="1" t="s">
        <v>54</v>
      </c>
      <c r="D13" s="1" t="s">
        <v>55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30">
      <c r="A14" s="1" t="s">
        <v>56</v>
      </c>
      <c r="B14" s="1" t="s">
        <v>57</v>
      </c>
      <c r="C14" s="1" t="s">
        <v>58</v>
      </c>
      <c r="D14" s="1" t="s">
        <v>59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30">
      <c r="A15" s="1" t="s">
        <v>60</v>
      </c>
      <c r="B15" s="1" t="s">
        <v>61</v>
      </c>
      <c r="C15" s="1" t="s">
        <v>62</v>
      </c>
      <c r="D15" s="1" t="s">
        <v>63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30">
      <c r="A16" s="1" t="s">
        <v>64</v>
      </c>
      <c r="B16" s="1" t="s">
        <v>65</v>
      </c>
      <c r="C16" s="1" t="s">
        <v>66</v>
      </c>
      <c r="D16" s="1" t="s">
        <v>67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>
      <c r="A17" s="1" t="s">
        <v>68</v>
      </c>
      <c r="B17" s="1" t="s">
        <v>69</v>
      </c>
      <c r="C17" s="1" t="s">
        <v>70</v>
      </c>
      <c r="D17" s="1" t="s">
        <v>71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>
      <c r="A18" s="1" t="s">
        <v>72</v>
      </c>
      <c r="B18" s="1" t="s">
        <v>73</v>
      </c>
      <c r="C18" s="1" t="s">
        <v>74</v>
      </c>
      <c r="D18" s="1" t="s">
        <v>75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30">
      <c r="A19" s="1" t="s">
        <v>76</v>
      </c>
      <c r="B19" s="1" t="s">
        <v>77</v>
      </c>
      <c r="C19" s="1" t="s">
        <v>78</v>
      </c>
      <c r="D19" s="1" t="s">
        <v>79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30">
      <c r="A20" s="1" t="s">
        <v>80</v>
      </c>
      <c r="B20" s="1" t="s">
        <v>81</v>
      </c>
      <c r="C20" s="1" t="s">
        <v>82</v>
      </c>
      <c r="D20" s="1" t="s">
        <v>83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30">
      <c r="A21" s="1" t="s">
        <v>84</v>
      </c>
      <c r="B21" s="1" t="s">
        <v>81</v>
      </c>
      <c r="C21" s="1" t="s">
        <v>85</v>
      </c>
      <c r="D21" s="1" t="s">
        <v>86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30">
      <c r="A22" s="1" t="s">
        <v>87</v>
      </c>
      <c r="B22" s="1" t="s">
        <v>88</v>
      </c>
      <c r="C22" s="1" t="s">
        <v>89</v>
      </c>
      <c r="D22" s="1" t="s">
        <v>90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30">
      <c r="A23" s="1" t="s">
        <v>91</v>
      </c>
      <c r="B23" s="1" t="s">
        <v>92</v>
      </c>
      <c r="C23" s="1" t="s">
        <v>93</v>
      </c>
      <c r="D23" s="1" t="s">
        <v>94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30">
      <c r="A24" s="1" t="s">
        <v>95</v>
      </c>
      <c r="B24" s="1" t="s">
        <v>96</v>
      </c>
      <c r="C24" s="1" t="s">
        <v>97</v>
      </c>
      <c r="D24" s="1" t="s">
        <v>98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30">
      <c r="A25" s="1" t="s">
        <v>99</v>
      </c>
      <c r="B25" s="1" t="s">
        <v>100</v>
      </c>
      <c r="C25" s="1" t="s">
        <v>101</v>
      </c>
      <c r="D25" s="1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>
      <c r="A26" s="1" t="s">
        <v>103</v>
      </c>
      <c r="B26" s="1" t="s">
        <v>104</v>
      </c>
      <c r="C26" s="1" t="s">
        <v>105</v>
      </c>
      <c r="D26" s="1" t="s">
        <v>106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>
      <c r="A27" s="1" t="s">
        <v>107</v>
      </c>
      <c r="B27" s="1" t="s">
        <v>108</v>
      </c>
      <c r="C27" s="1" t="s">
        <v>109</v>
      </c>
      <c r="D27" s="1" t="s">
        <v>110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>
      <c r="A28" s="1" t="s">
        <v>111</v>
      </c>
      <c r="B28" s="1" t="s">
        <v>112</v>
      </c>
      <c r="C28" s="1" t="s">
        <v>113</v>
      </c>
      <c r="D28" s="1" t="s">
        <v>114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>
      <c r="A29" s="1" t="s">
        <v>115</v>
      </c>
      <c r="B29" s="1" t="s">
        <v>116</v>
      </c>
      <c r="C29" s="1" t="s">
        <v>117</v>
      </c>
      <c r="D29" s="1" t="s">
        <v>118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1" t="s">
        <v>119</v>
      </c>
      <c r="B30" s="1" t="s">
        <v>120</v>
      </c>
      <c r="C30" s="1" t="s">
        <v>121</v>
      </c>
      <c r="D30" s="1" t="s">
        <v>122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>
      <c r="A31" s="1" t="s">
        <v>123</v>
      </c>
      <c r="B31" s="1" t="s">
        <v>124</v>
      </c>
      <c r="C31" s="1" t="s">
        <v>125</v>
      </c>
      <c r="D31" s="1" t="s">
        <v>126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>
      <c r="A32" s="1" t="s">
        <v>127</v>
      </c>
      <c r="B32" s="1" t="s">
        <v>128</v>
      </c>
      <c r="C32" s="1" t="s">
        <v>129</v>
      </c>
      <c r="D32" s="1" t="s">
        <v>130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>
      <c r="A33" s="1" t="s">
        <v>131</v>
      </c>
      <c r="B33" s="1" t="s">
        <v>132</v>
      </c>
      <c r="C33" s="1" t="s">
        <v>133</v>
      </c>
      <c r="D33" s="1" t="s">
        <v>134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>
      <c r="A34" s="1" t="s">
        <v>135</v>
      </c>
      <c r="B34" s="1" t="s">
        <v>136</v>
      </c>
      <c r="C34" s="1" t="s">
        <v>137</v>
      </c>
      <c r="D34" s="1" t="s">
        <v>138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>
      <c r="A35" s="1" t="s">
        <v>139</v>
      </c>
      <c r="B35" s="1" t="s">
        <v>140</v>
      </c>
      <c r="C35" s="1" t="s">
        <v>141</v>
      </c>
      <c r="D35" s="1" t="s">
        <v>142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>
      <c r="A36" s="1" t="s">
        <v>143</v>
      </c>
      <c r="B36" s="1" t="s">
        <v>144</v>
      </c>
      <c r="C36" s="1" t="s">
        <v>145</v>
      </c>
      <c r="D36" s="1" t="s">
        <v>146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>
      <c r="A37" s="1" t="s">
        <v>147</v>
      </c>
      <c r="B37" s="1" t="s">
        <v>148</v>
      </c>
      <c r="C37" s="1" t="s">
        <v>149</v>
      </c>
      <c r="D37" s="1" t="s">
        <v>150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>
      <c r="A38" s="1" t="s">
        <v>151</v>
      </c>
      <c r="B38" s="1" t="s">
        <v>152</v>
      </c>
      <c r="C38" s="1" t="s">
        <v>153</v>
      </c>
      <c r="D38" s="1" t="s">
        <v>154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>
      <c r="A39" s="1" t="s">
        <v>155</v>
      </c>
      <c r="B39" s="1" t="s">
        <v>156</v>
      </c>
      <c r="C39" s="1" t="s">
        <v>157</v>
      </c>
      <c r="D39" s="1" t="s">
        <v>158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1" t="s">
        <v>159</v>
      </c>
      <c r="B40" s="1" t="s">
        <v>160</v>
      </c>
      <c r="C40" s="1" t="s">
        <v>161</v>
      </c>
      <c r="D40" s="1">
        <v>0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>
      <c r="A41" s="1" t="s">
        <v>162</v>
      </c>
      <c r="B41" s="1" t="s">
        <v>163</v>
      </c>
      <c r="C41" s="1" t="s">
        <v>164</v>
      </c>
      <c r="D41" s="1" t="s">
        <v>165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1" t="s">
        <v>166</v>
      </c>
      <c r="B42" s="1" t="s">
        <v>167</v>
      </c>
      <c r="C42" s="1" t="s">
        <v>168</v>
      </c>
      <c r="D42" s="1" t="s">
        <v>169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>
      <c r="A43" s="1" t="s">
        <v>170</v>
      </c>
      <c r="B43" s="1" t="s">
        <v>171</v>
      </c>
      <c r="C43" s="1" t="s">
        <v>172</v>
      </c>
      <c r="D43" s="1" t="s">
        <v>173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1" t="s">
        <v>174</v>
      </c>
      <c r="B44" s="1" t="s">
        <v>175</v>
      </c>
      <c r="C44" s="1" t="s">
        <v>176</v>
      </c>
      <c r="D44" s="1">
        <v>0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>
      <c r="A45" s="1" t="s">
        <v>177</v>
      </c>
      <c r="B45" s="1" t="s">
        <v>178</v>
      </c>
      <c r="C45" s="1" t="s">
        <v>179</v>
      </c>
      <c r="D45" s="1" t="s">
        <v>180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1" t="s">
        <v>181</v>
      </c>
      <c r="B46" s="1" t="s">
        <v>182</v>
      </c>
      <c r="C46" s="1" t="s">
        <v>183</v>
      </c>
      <c r="D46" s="1">
        <v>0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1" t="s">
        <v>184</v>
      </c>
      <c r="B47" s="1" t="s">
        <v>185</v>
      </c>
      <c r="C47" s="1" t="s">
        <v>186</v>
      </c>
      <c r="D47" s="1">
        <v>0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1" t="s">
        <v>187</v>
      </c>
      <c r="B48" s="1" t="s">
        <v>188</v>
      </c>
      <c r="C48" s="1" t="s">
        <v>189</v>
      </c>
      <c r="D48" s="1">
        <v>0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1" t="s">
        <v>190</v>
      </c>
      <c r="B49" s="1" t="s">
        <v>191</v>
      </c>
      <c r="C49" s="1" t="s">
        <v>192</v>
      </c>
      <c r="D49" s="1">
        <v>0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1" t="s">
        <v>193</v>
      </c>
      <c r="B50" s="1" t="s">
        <v>194</v>
      </c>
      <c r="C50" s="1" t="s">
        <v>195</v>
      </c>
      <c r="D50" s="1"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1" t="s">
        <v>196</v>
      </c>
      <c r="B51" s="1" t="s">
        <v>197</v>
      </c>
      <c r="C51" s="1" t="s">
        <v>198</v>
      </c>
      <c r="D51" s="1" t="s">
        <v>199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1" t="s">
        <v>200</v>
      </c>
      <c r="B52" s="1" t="s">
        <v>201</v>
      </c>
      <c r="C52" s="1" t="s">
        <v>202</v>
      </c>
      <c r="D52" s="1" t="s">
        <v>203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1" t="s">
        <v>204</v>
      </c>
      <c r="B53" s="1" t="s">
        <v>205</v>
      </c>
      <c r="C53" s="1" t="s">
        <v>206</v>
      </c>
      <c r="D53" s="1">
        <v>0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>
      <c r="A54" s="1" t="s">
        <v>207</v>
      </c>
      <c r="B54" s="1" t="s">
        <v>208</v>
      </c>
      <c r="C54" s="1" t="s">
        <v>209</v>
      </c>
      <c r="D54" s="1" t="s">
        <v>210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30">
      <c r="A55" s="1" t="s">
        <v>211</v>
      </c>
      <c r="B55" s="1" t="s">
        <v>212</v>
      </c>
      <c r="C55" s="1" t="s">
        <v>213</v>
      </c>
      <c r="D55" s="1" t="s">
        <v>214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>
      <c r="A638" s="1"/>
      <c r="B638" s="1"/>
      <c r="C638" s="1"/>
      <c r="D638" s="1"/>
      <c r="E638" s="1"/>
      <c r="F638" s="1"/>
      <c r="G638" s="1"/>
      <c r="H638" s="8"/>
      <c r="I638" s="1"/>
      <c r="J638" s="1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7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>
      <c r="A643" s="1"/>
      <c r="B643" s="1"/>
      <c r="C643" s="1"/>
      <c r="D643" s="1"/>
      <c r="E643" s="1"/>
      <c r="F643" s="1"/>
      <c r="G643" s="1"/>
      <c r="H643" s="10"/>
      <c r="I643" s="7"/>
      <c r="J643" s="1"/>
      <c r="K643" s="11"/>
      <c r="L643" s="1"/>
      <c r="M643" s="7"/>
      <c r="P643" s="1"/>
      <c r="Q643" s="1"/>
      <c r="R643" s="1"/>
      <c r="S643" s="1"/>
      <c r="T643" s="6"/>
      <c r="U643" s="1"/>
      <c r="V643" s="1"/>
      <c r="W643" s="1"/>
      <c r="X643" s="1"/>
      <c r="Y643" s="1"/>
      <c r="Z643" s="1"/>
      <c r="AA643" s="1"/>
    </row>
    <row r="644" spans="1:27">
      <c r="A644" s="1"/>
      <c r="B644" s="1"/>
      <c r="C644" s="1"/>
      <c r="D644" s="1"/>
      <c r="E644" s="1"/>
      <c r="F644" s="1"/>
      <c r="G644" s="1"/>
      <c r="I644" s="3"/>
      <c r="K644" s="11"/>
      <c r="M644" s="3"/>
      <c r="P644" s="1"/>
      <c r="Q644" s="1"/>
      <c r="R644" s="1"/>
      <c r="S644" s="1"/>
      <c r="T644" s="6"/>
      <c r="U644" s="1"/>
      <c r="V644" s="1"/>
      <c r="W644" s="1"/>
      <c r="X644" s="1"/>
      <c r="Y644" s="1"/>
      <c r="Z644" s="1"/>
      <c r="AA644" s="1"/>
    </row>
    <row r="645" spans="1:27">
      <c r="A645" s="1"/>
      <c r="B645" s="1"/>
      <c r="C645" s="1"/>
      <c r="D645" s="1"/>
      <c r="E645" s="1"/>
      <c r="F645" s="1"/>
      <c r="G645" s="1"/>
      <c r="I645" s="3"/>
      <c r="K645" s="11"/>
      <c r="M645" s="3"/>
      <c r="P645" s="1"/>
      <c r="Q645" s="8"/>
      <c r="S645" s="1"/>
      <c r="T645" s="6"/>
      <c r="U645" s="1"/>
      <c r="V645" s="1"/>
      <c r="W645" s="1"/>
      <c r="X645" s="1"/>
      <c r="Y645" s="1"/>
      <c r="Z645" s="1"/>
      <c r="AA645" s="1"/>
    </row>
    <row r="646" spans="1:27">
      <c r="A646" s="1"/>
      <c r="B646" s="1"/>
      <c r="C646" s="1"/>
      <c r="D646" s="1"/>
      <c r="E646" s="1"/>
      <c r="F646" s="1"/>
      <c r="G646" s="1"/>
      <c r="I646" s="3"/>
      <c r="K646" s="11"/>
      <c r="M646" s="3"/>
      <c r="P646" s="1"/>
      <c r="Q646" s="8"/>
      <c r="S646" s="1"/>
      <c r="T646" s="6"/>
      <c r="U646" s="1"/>
      <c r="V646" s="1"/>
      <c r="W646" s="1"/>
      <c r="Y646" s="1"/>
      <c r="Z646" s="1"/>
      <c r="AA646" s="1"/>
    </row>
    <row r="647" spans="1:27">
      <c r="A647" s="1"/>
      <c r="B647" s="1"/>
      <c r="C647" s="1"/>
      <c r="D647" s="1"/>
      <c r="E647" s="1"/>
      <c r="F647" s="1"/>
      <c r="G647" s="1"/>
      <c r="I647" s="3"/>
      <c r="K647" s="11"/>
      <c r="M647" s="3"/>
      <c r="P647" s="1"/>
      <c r="Q647" s="8"/>
      <c r="S647" s="1"/>
      <c r="T647" s="6"/>
      <c r="U647" s="1"/>
      <c r="V647" s="1"/>
      <c r="W647" s="1"/>
      <c r="X647" s="1"/>
      <c r="Y647" s="1"/>
      <c r="Z647" s="1"/>
      <c r="AA647" s="1"/>
    </row>
    <row r="648" spans="1:27">
      <c r="A648" s="1"/>
      <c r="B648" s="1"/>
      <c r="C648" s="1"/>
      <c r="D648" s="1"/>
      <c r="E648" s="1"/>
      <c r="F648" s="1"/>
      <c r="G648" s="1"/>
      <c r="I648" s="3"/>
      <c r="K648" s="11"/>
      <c r="M648" s="3"/>
      <c r="P648" s="1"/>
      <c r="Q648" s="8"/>
      <c r="S648" s="1"/>
      <c r="T648" s="6"/>
      <c r="U648" s="1"/>
      <c r="V648" s="1"/>
      <c r="W648" s="1"/>
      <c r="X648" s="1"/>
      <c r="Y648" s="1"/>
      <c r="Z648" s="1"/>
      <c r="AA648" s="1"/>
    </row>
    <row r="649" spans="1:27">
      <c r="A649" s="1"/>
      <c r="B649" s="1"/>
      <c r="C649" s="1"/>
      <c r="D649" s="1"/>
      <c r="E649" s="1"/>
      <c r="F649" s="1"/>
      <c r="G649" s="1"/>
      <c r="I649" s="3"/>
      <c r="K649" s="11"/>
      <c r="M649" s="7"/>
      <c r="P649" s="1"/>
      <c r="Q649" s="8"/>
      <c r="S649" s="1"/>
      <c r="T649" s="1"/>
      <c r="U649" s="1"/>
      <c r="V649" s="1"/>
      <c r="W649" s="1"/>
      <c r="X649" s="1"/>
      <c r="Y649" s="1"/>
      <c r="Z649" s="1"/>
      <c r="AA649" s="1"/>
    </row>
    <row r="650" spans="1:27">
      <c r="A650" s="1"/>
      <c r="B650" s="1"/>
      <c r="C650" s="1"/>
      <c r="D650" s="1"/>
      <c r="E650" s="1"/>
      <c r="F650" s="1"/>
      <c r="G650" s="1"/>
      <c r="H650" s="9"/>
      <c r="I650" s="7"/>
      <c r="J650" s="1"/>
      <c r="K650" s="11"/>
      <c r="L650" s="1"/>
      <c r="M650" s="7"/>
      <c r="P650" s="1"/>
      <c r="Q650" s="8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>
      <c r="A651" s="1"/>
      <c r="B651" s="1"/>
      <c r="C651" s="1"/>
      <c r="D651" s="1"/>
      <c r="E651" s="1"/>
      <c r="F651" s="1"/>
      <c r="G651" s="1"/>
      <c r="H651" s="9"/>
      <c r="I651" s="7"/>
      <c r="J651" s="1"/>
      <c r="K651" s="1"/>
      <c r="L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>
      <c r="A652" s="1"/>
      <c r="B652" s="1"/>
      <c r="C652" s="1"/>
      <c r="D652" s="1"/>
      <c r="E652" s="1"/>
      <c r="F652" s="1"/>
      <c r="G652" s="1"/>
      <c r="H652" s="9"/>
      <c r="I652" s="7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>
      <c r="B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>
      <c r="B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>
      <c r="B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>
      <c r="B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>
      <c r="B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>
      <c r="B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1:27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1:27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1:27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1:27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1:27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1:27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1:27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1:27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</sheetData>
  <sortState xmlns:xlrd2="http://schemas.microsoft.com/office/spreadsheetml/2017/richdata2" ref="A1:F1310">
    <sortCondition ref="F1:F1310"/>
  </sortState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B6"/>
  <sheetViews>
    <sheetView workbookViewId="0">
      <selection activeCell="D12" sqref="D12"/>
    </sheetView>
  </sheetViews>
  <sheetFormatPr baseColWidth="10" defaultRowHeight="15"/>
  <sheetData>
    <row r="1" spans="1:2">
      <c r="A1">
        <v>1</v>
      </c>
    </row>
    <row r="3" spans="1:2">
      <c r="A3">
        <v>1</v>
      </c>
      <c r="B3" t="s">
        <v>2</v>
      </c>
    </row>
    <row r="4" spans="1:2">
      <c r="A4">
        <v>2</v>
      </c>
      <c r="B4" t="s">
        <v>3</v>
      </c>
    </row>
    <row r="5" spans="1:2">
      <c r="A5">
        <v>3</v>
      </c>
      <c r="B5" t="s">
        <v>4</v>
      </c>
    </row>
    <row r="6" spans="1:2">
      <c r="A6">
        <v>4</v>
      </c>
      <c r="B6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Index</vt:lpstr>
      <vt:lpstr>V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2019-10-03T16:57:03Z</cp:lastPrinted>
  <dcterms:created xsi:type="dcterms:W3CDTF">2015-04-04T15:31:14Z</dcterms:created>
  <dcterms:modified xsi:type="dcterms:W3CDTF">2019-10-03T16:59:44Z</dcterms:modified>
</cp:coreProperties>
</file>