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29"/>
  <workbookPr codeName="ThisWorkbook"/>
  <mc:AlternateContent xmlns:mc="http://schemas.openxmlformats.org/markup-compatibility/2006">
    <mc:Choice Requires="x15">
      <x15ac:absPath xmlns:x15ac="http://schemas.microsoft.com/office/spreadsheetml/2010/11/ac" url="D:\SymbioticStudies\"/>
    </mc:Choice>
  </mc:AlternateContent>
  <bookViews>
    <workbookView xWindow="0" yWindow="0" windowWidth="24000" windowHeight="9735"/>
  </bookViews>
  <sheets>
    <sheet name="Index" sheetId="2" r:id="rId1"/>
    <sheet name="Feuil2" sheetId="6" r:id="rId2"/>
    <sheet name="V" sheetId="1" r:id="rId3"/>
    <sheet name="Vis" sheetId="5" r:id="rId4"/>
    <sheet name="B" sheetId="4" r:id="rId5"/>
    <sheet name="Feuil1" sheetId="3" r:id="rId6"/>
    <sheet name="M" sheetId="7" r:id="rId7"/>
  </sheets>
  <externalReferences>
    <externalReference r:id="rId8"/>
    <externalReference r:id="rId9"/>
    <externalReference r:id="rId10"/>
  </externalReferenc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5" i="2" l="1"/>
  <c r="N25" i="2"/>
  <c r="M26" i="2"/>
  <c r="M27" i="2"/>
  <c r="N27" i="2"/>
  <c r="M28" i="2"/>
  <c r="N24" i="2"/>
  <c r="N26" i="2" s="1"/>
  <c r="N28" i="2" s="1"/>
  <c r="M24" i="2"/>
  <c r="B25" i="2"/>
  <c r="C25" i="2"/>
  <c r="D25" i="2"/>
  <c r="E25" i="2"/>
  <c r="F25" i="2"/>
  <c r="G25" i="2"/>
  <c r="H25" i="2"/>
  <c r="I25" i="2"/>
  <c r="J25" i="2"/>
  <c r="K25" i="2"/>
  <c r="B26" i="2"/>
  <c r="C26" i="2"/>
  <c r="D26" i="2"/>
  <c r="E26" i="2"/>
  <c r="F26" i="2"/>
  <c r="G26" i="2"/>
  <c r="H26" i="2"/>
  <c r="I26" i="2"/>
  <c r="J26" i="2"/>
  <c r="K26" i="2"/>
  <c r="B27" i="2"/>
  <c r="C27" i="2"/>
  <c r="D27" i="2"/>
  <c r="E27" i="2"/>
  <c r="F27" i="2"/>
  <c r="G27" i="2"/>
  <c r="H27" i="2"/>
  <c r="I27" i="2"/>
  <c r="J27" i="2"/>
  <c r="K27" i="2"/>
  <c r="B28" i="2"/>
  <c r="C28" i="2"/>
  <c r="D28" i="2"/>
  <c r="E28" i="2"/>
  <c r="F28" i="2"/>
  <c r="G28" i="2"/>
  <c r="H28" i="2"/>
  <c r="I28" i="2"/>
  <c r="J28" i="2"/>
  <c r="K28" i="2"/>
  <c r="C24" i="2"/>
  <c r="D24" i="2"/>
  <c r="E24" i="2"/>
  <c r="F24" i="2"/>
  <c r="G24" i="2"/>
  <c r="H24" i="2"/>
  <c r="I24" i="2"/>
  <c r="J24" i="2"/>
  <c r="K24" i="2"/>
  <c r="B24" i="2"/>
  <c r="H4" i="7" l="1"/>
  <c r="E4" i="7"/>
  <c r="C34" i="7" l="1"/>
  <c r="C33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G14" i="7"/>
  <c r="G13" i="7"/>
  <c r="D13" i="7"/>
  <c r="G12" i="7"/>
  <c r="G10" i="7"/>
  <c r="G9" i="7"/>
  <c r="G7" i="7"/>
  <c r="E5" i="7"/>
  <c r="H9" i="2" l="1"/>
</calcChain>
</file>

<file path=xl/sharedStrings.xml><?xml version="1.0" encoding="utf-8"?>
<sst xmlns="http://schemas.openxmlformats.org/spreadsheetml/2006/main" count="2064" uniqueCount="581">
  <si>
    <t>date</t>
  </si>
  <si>
    <t>Standard</t>
  </si>
  <si>
    <t>false</t>
  </si>
  <si>
    <t>CH CYG</t>
  </si>
  <si>
    <t>CH Cyg</t>
  </si>
  <si>
    <t>2015 SEP 27</t>
  </si>
  <si>
    <t>SU Lyn</t>
  </si>
  <si>
    <t>JGF</t>
  </si>
  <si>
    <t>FCA</t>
  </si>
  <si>
    <t>DBO</t>
  </si>
  <si>
    <t xml:space="preserve">FMT </t>
  </si>
  <si>
    <t>FBO</t>
  </si>
  <si>
    <t>OGA</t>
  </si>
  <si>
    <t>BER</t>
  </si>
  <si>
    <t>SOL</t>
  </si>
  <si>
    <t>#</t>
  </si>
  <si>
    <t>Date</t>
  </si>
  <si>
    <t>JD</t>
  </si>
  <si>
    <t>Obs</t>
  </si>
  <si>
    <t>Res</t>
  </si>
  <si>
    <r>
      <t>Range (</t>
    </r>
    <r>
      <rPr>
        <sz val="9"/>
        <color theme="1"/>
        <rFont val="Century Gothic"/>
        <family val="2"/>
      </rPr>
      <t>Å</t>
    </r>
    <r>
      <rPr>
        <sz val="9"/>
        <color theme="1"/>
        <rFont val="Calibri"/>
        <family val="2"/>
      </rPr>
      <t>)</t>
    </r>
  </si>
  <si>
    <t>b</t>
  </si>
  <si>
    <t>r</t>
  </si>
  <si>
    <t>k</t>
  </si>
  <si>
    <t>g</t>
  </si>
  <si>
    <t>Raie{1,1} = 'H alpha';</t>
  </si>
  <si>
    <t>Raie{1,2} = 6562.82;</t>
  </si>
  <si>
    <t>Objet</t>
  </si>
  <si>
    <t>Raie{2,1} = 'H beta';</t>
  </si>
  <si>
    <t>Folder</t>
  </si>
  <si>
    <t>Raie{2,2} = 4861.34;</t>
  </si>
  <si>
    <t>Obj</t>
  </si>
  <si>
    <t>Raie{3,1} = 'H gamma';</t>
  </si>
  <si>
    <t>Raie{3,2} = 4340.48;</t>
  </si>
  <si>
    <t>E</t>
  </si>
  <si>
    <t>Decalage</t>
  </si>
  <si>
    <t>Raie{4,1} = 'O[I] 6300';</t>
  </si>
  <si>
    <t>JD0</t>
  </si>
  <si>
    <t>xmax</t>
  </si>
  <si>
    <t>km/s</t>
  </si>
  <si>
    <t>Raie{4,2} = 6300.32;</t>
  </si>
  <si>
    <t>xLigne</t>
  </si>
  <si>
    <t>pas</t>
  </si>
  <si>
    <t>Raie{5,1} = 'O[I] 6363';</t>
  </si>
  <si>
    <t>ajust</t>
  </si>
  <si>
    <t>Raie{5,2} = 6363.81;</t>
  </si>
  <si>
    <t>x</t>
  </si>
  <si>
    <t>xdate</t>
  </si>
  <si>
    <t>Raie{6,1} = 'He I 5875';</t>
  </si>
  <si>
    <t>y</t>
  </si>
  <si>
    <t>ymax</t>
  </si>
  <si>
    <t>Raie{6,2} = 5875.65;</t>
  </si>
  <si>
    <t>couleur</t>
  </si>
  <si>
    <t>Lambda</t>
  </si>
  <si>
    <t>Raie{7,1} = 'He I 6678';</t>
  </si>
  <si>
    <t>Line</t>
  </si>
  <si>
    <t>Raie{7,2} = 6678.15;</t>
  </si>
  <si>
    <t>Raie{8,1} = 'He I 7065';</t>
  </si>
  <si>
    <t>Ha</t>
  </si>
  <si>
    <t>Raie{8,2} = 7065;</t>
  </si>
  <si>
    <t>Hb</t>
  </si>
  <si>
    <t>Raie {9,1} = 'He II 4686';</t>
  </si>
  <si>
    <t>Hg</t>
  </si>
  <si>
    <t>Raie {9,2} = 4685.68;</t>
  </si>
  <si>
    <t>[OI]</t>
  </si>
  <si>
    <t>Raie {10,1} = '[O III 5007]';</t>
  </si>
  <si>
    <t>Raie {10,2} = 5006.84;</t>
  </si>
  <si>
    <t>He I</t>
  </si>
  <si>
    <t>Raie {11,1} = '[O III 4363]';</t>
  </si>
  <si>
    <t>Raie {11,2} = 4363;</t>
  </si>
  <si>
    <t>Raie {13,1} = '[Fe VII 6087]';</t>
  </si>
  <si>
    <t>Raie {13,2} = 6087;</t>
  </si>
  <si>
    <t>He II</t>
  </si>
  <si>
    <t>Raie {14,1} = '[Fe VII 5721]';</t>
  </si>
  <si>
    <t>[O III]</t>
  </si>
  <si>
    <t>Raie {14,2} = 5721;</t>
  </si>
  <si>
    <t>Raie {15,1} = 'Raman OVI';</t>
  </si>
  <si>
    <t>Raie {15,2} = 6830;</t>
  </si>
  <si>
    <t>Fe II</t>
  </si>
  <si>
    <t>Raie {16,1} = 'Na I D';</t>
  </si>
  <si>
    <t>Raie {16,2} = 5889.95;</t>
  </si>
  <si>
    <t>Na ID</t>
  </si>
  <si>
    <t>Raie {17,1} = 'Fe II 4924';</t>
  </si>
  <si>
    <t>Raie {17,2} = 4923.92;</t>
  </si>
  <si>
    <t>[Fe VII]</t>
  </si>
  <si>
    <t>Raie {18,1} = 'He I 5016';</t>
  </si>
  <si>
    <t>Raie {18,2} = 5015.68;</t>
  </si>
  <si>
    <t>Raie {19,1} = 'Fe II 5018';</t>
  </si>
  <si>
    <t>Raman OVI</t>
  </si>
  <si>
    <t>Raie {19,2} = 5018.43;</t>
  </si>
  <si>
    <t>Raie {20,1} = '[N II] 5755';</t>
  </si>
  <si>
    <t>Raie {20,1} = 5755;</t>
  </si>
  <si>
    <t>SULyn</t>
  </si>
  <si>
    <t>1999 OCT 15</t>
  </si>
  <si>
    <t>2000 JUN 19</t>
  </si>
  <si>
    <t>2000 SEP 11</t>
  </si>
  <si>
    <t>2000 SEP 20</t>
  </si>
  <si>
    <t>2001 FEB 23</t>
  </si>
  <si>
    <t>2001 FEB 24</t>
  </si>
  <si>
    <t>2001 FEB 27</t>
  </si>
  <si>
    <t>2001 MAR 10</t>
  </si>
  <si>
    <t>2001 MAR 12</t>
  </si>
  <si>
    <t>2001 MAR 14</t>
  </si>
  <si>
    <t>2001 MAR 26</t>
  </si>
  <si>
    <t>2001 MAR 28</t>
  </si>
  <si>
    <t>2001 MAR 30</t>
  </si>
  <si>
    <t>2001 APR 1</t>
  </si>
  <si>
    <t>2001 APR 10</t>
  </si>
  <si>
    <t>2001 APR 17</t>
  </si>
  <si>
    <t>2001 APR 26</t>
  </si>
  <si>
    <t>2001 APR 27</t>
  </si>
  <si>
    <t>2001 APR 29</t>
  </si>
  <si>
    <t>2001 MAY 1</t>
  </si>
  <si>
    <t>2001 MAY 2</t>
  </si>
  <si>
    <t>2001 MAY 3</t>
  </si>
  <si>
    <t>2001 MAY 8</t>
  </si>
  <si>
    <t>2001 MAY 23</t>
  </si>
  <si>
    <t>2001 MAY 24</t>
  </si>
  <si>
    <t>2001 MAY 25</t>
  </si>
  <si>
    <t>2001 MAY 27</t>
  </si>
  <si>
    <t>2001 MAY 29</t>
  </si>
  <si>
    <t>2001 JUN 1</t>
  </si>
  <si>
    <t>2001 JUN 10</t>
  </si>
  <si>
    <t>2001 JUN 18</t>
  </si>
  <si>
    <t>2001 JUN 20</t>
  </si>
  <si>
    <t>2001 JUN 21</t>
  </si>
  <si>
    <t>2001 JUN 22</t>
  </si>
  <si>
    <t>2001 JUN 25</t>
  </si>
  <si>
    <t>2001 JUN 26</t>
  </si>
  <si>
    <t>2001 JUN 27</t>
  </si>
  <si>
    <t>2001 JUL 3</t>
  </si>
  <si>
    <t>2001 JUL 12</t>
  </si>
  <si>
    <t>2001 JUL 13</t>
  </si>
  <si>
    <t>2001 JUL 14</t>
  </si>
  <si>
    <t>2001 JUL 16</t>
  </si>
  <si>
    <t>2001 JUL 19</t>
  </si>
  <si>
    <t>2001 JUL 20</t>
  </si>
  <si>
    <t>2001 JUL 25</t>
  </si>
  <si>
    <t>2001 JUL 26</t>
  </si>
  <si>
    <t>2001 AUG 4</t>
  </si>
  <si>
    <t>2001 AUG 7</t>
  </si>
  <si>
    <t>2001 AUG 8</t>
  </si>
  <si>
    <t>2001 AUG 9</t>
  </si>
  <si>
    <t>2001 AUG 11</t>
  </si>
  <si>
    <t>2001 AUG 13</t>
  </si>
  <si>
    <t>2001 AUG 14</t>
  </si>
  <si>
    <t>2001 AUG 19</t>
  </si>
  <si>
    <t>2001 AUG 20</t>
  </si>
  <si>
    <t>2001 AUG 21</t>
  </si>
  <si>
    <t>2001 AUG 23</t>
  </si>
  <si>
    <t>2001 AUG 26</t>
  </si>
  <si>
    <t>2001 SEP 4</t>
  </si>
  <si>
    <t>2001 SEP 14</t>
  </si>
  <si>
    <t>2001 SEP 18</t>
  </si>
  <si>
    <t>2001 SEP 21</t>
  </si>
  <si>
    <t>2001 SEP 26</t>
  </si>
  <si>
    <t>2001 OCT 2</t>
  </si>
  <si>
    <t>2001 OCT 5</t>
  </si>
  <si>
    <t>2001 OCT 9</t>
  </si>
  <si>
    <t>2001 OCT 12</t>
  </si>
  <si>
    <t>2001 OCT 16</t>
  </si>
  <si>
    <t>2001 OCT 24</t>
  </si>
  <si>
    <t>2002 APR 25</t>
  </si>
  <si>
    <t>2002 JUN 17</t>
  </si>
  <si>
    <t>2002 JUN 19</t>
  </si>
  <si>
    <t>2002 JUN 21</t>
  </si>
  <si>
    <t>2002 JUL 9</t>
  </si>
  <si>
    <t>2002 JUL 10</t>
  </si>
  <si>
    <t>2002 JUL 12</t>
  </si>
  <si>
    <t>2002 JUL 15</t>
  </si>
  <si>
    <t>2002 JUL 18</t>
  </si>
  <si>
    <t>2002 JUL 19</t>
  </si>
  <si>
    <t>2002 AUG 3</t>
  </si>
  <si>
    <t>2002 AUG 4</t>
  </si>
  <si>
    <t>2002 AUG 11</t>
  </si>
  <si>
    <t>2002 AUG 12</t>
  </si>
  <si>
    <t>2002 AUG 15</t>
  </si>
  <si>
    <t>2002 AUG 22</t>
  </si>
  <si>
    <t>2002 AUG 24</t>
  </si>
  <si>
    <t>2002 AUG 26</t>
  </si>
  <si>
    <t>2002 SEP 3</t>
  </si>
  <si>
    <t>2002 SEP 4</t>
  </si>
  <si>
    <t>2002 SEP 7</t>
  </si>
  <si>
    <t>2002 SEP 9</t>
  </si>
  <si>
    <t>2002 SEP 25</t>
  </si>
  <si>
    <t>2002 SEP 26</t>
  </si>
  <si>
    <t>2002 SEP 28</t>
  </si>
  <si>
    <t>2002 SEP 29</t>
  </si>
  <si>
    <t>2002 OCT 1</t>
  </si>
  <si>
    <t>2002 OCT 5</t>
  </si>
  <si>
    <t>2002 OCT 6</t>
  </si>
  <si>
    <t>2002 OCT 13</t>
  </si>
  <si>
    <t>2002 OCT 15</t>
  </si>
  <si>
    <t>2002 OCT 16</t>
  </si>
  <si>
    <t>2002 OCT 17</t>
  </si>
  <si>
    <t>2002 OCT 19</t>
  </si>
  <si>
    <t>2002 OCT 21</t>
  </si>
  <si>
    <t>2002 OCT 31</t>
  </si>
  <si>
    <t>2003 FEB 14</t>
  </si>
  <si>
    <t>2003 FEB 18</t>
  </si>
  <si>
    <t>2003 MAR 1</t>
  </si>
  <si>
    <t>2003 MAR 3</t>
  </si>
  <si>
    <t>2003 MAR 4</t>
  </si>
  <si>
    <t>2003 MAR 6</t>
  </si>
  <si>
    <t>2003 MAR 8</t>
  </si>
  <si>
    <t>2003 MAR 11</t>
  </si>
  <si>
    <t>2003 MAR 14</t>
  </si>
  <si>
    <t>2003 MAR 19</t>
  </si>
  <si>
    <t>2003 MAR 28</t>
  </si>
  <si>
    <t>2003 MAR 30</t>
  </si>
  <si>
    <t>2003 APR 1</t>
  </si>
  <si>
    <t>2003 APR 5</t>
  </si>
  <si>
    <t>2003 APR 7</t>
  </si>
  <si>
    <t>2003 APR 9</t>
  </si>
  <si>
    <t>2003 APR 11</t>
  </si>
  <si>
    <t>2003 APR 13</t>
  </si>
  <si>
    <t>2003 APR 15</t>
  </si>
  <si>
    <t>2003 APR 25</t>
  </si>
  <si>
    <t>2003 APR 27</t>
  </si>
  <si>
    <t>2003 MAY 1</t>
  </si>
  <si>
    <t>2003 MAY 5</t>
  </si>
  <si>
    <t>2003 MAY 11</t>
  </si>
  <si>
    <t>2003 MAY 16</t>
  </si>
  <si>
    <t>2003 MAY 23</t>
  </si>
  <si>
    <t>2003 MAY 27</t>
  </si>
  <si>
    <t>2003 MAY 31</t>
  </si>
  <si>
    <t>2003 JUN 12</t>
  </si>
  <si>
    <t>2003 JUN 18</t>
  </si>
  <si>
    <t>2003 JUN 20</t>
  </si>
  <si>
    <t>2003 JUN 21</t>
  </si>
  <si>
    <t>2003 JUN 23</t>
  </si>
  <si>
    <t>2003 JUN 30</t>
  </si>
  <si>
    <t>2003 JUL 6</t>
  </si>
  <si>
    <t>2003 JUL 10</t>
  </si>
  <si>
    <t>2003 JUL 18</t>
  </si>
  <si>
    <t>2003 JUL 20</t>
  </si>
  <si>
    <t>2003 JUL 23</t>
  </si>
  <si>
    <t>2003 JUL 31</t>
  </si>
  <si>
    <t>2003 AUG 4</t>
  </si>
  <si>
    <t>2003 AUG 11</t>
  </si>
  <si>
    <t>2003 AUG 15</t>
  </si>
  <si>
    <t>2003 AUG 16</t>
  </si>
  <si>
    <t>2003 AUG 21</t>
  </si>
  <si>
    <t>2003 AUG 24</t>
  </si>
  <si>
    <t>2003 AUG 26</t>
  </si>
  <si>
    <t>2003 AUG 28</t>
  </si>
  <si>
    <t>2003 AUG 31</t>
  </si>
  <si>
    <t>2003 SEP 2</t>
  </si>
  <si>
    <t>2003 SEP 11</t>
  </si>
  <si>
    <t>2003 SEP 13</t>
  </si>
  <si>
    <t>2003 SEP 22</t>
  </si>
  <si>
    <t>2003 SEP 24</t>
  </si>
  <si>
    <t>2003 SEP 28</t>
  </si>
  <si>
    <t>2003 OCT 3</t>
  </si>
  <si>
    <t>2003 OCT 5</t>
  </si>
  <si>
    <t>2003 OCT 9</t>
  </si>
  <si>
    <t>2003 OCT 11</t>
  </si>
  <si>
    <t>2003 OCT 14</t>
  </si>
  <si>
    <t>2003 OCT 18</t>
  </si>
  <si>
    <t>2003 OCT 20</t>
  </si>
  <si>
    <t>2003 OCT 22</t>
  </si>
  <si>
    <t>2003 OCT 25</t>
  </si>
  <si>
    <t>2003 NOV 6</t>
  </si>
  <si>
    <t>2004 FEB 25</t>
  </si>
  <si>
    <t>2004 MAR 2</t>
  </si>
  <si>
    <t>2004 MAR 4</t>
  </si>
  <si>
    <t>2004 MAR 17</t>
  </si>
  <si>
    <t>2004 MAR 23</t>
  </si>
  <si>
    <t>2004 MAR 27</t>
  </si>
  <si>
    <t>2004 APR 2</t>
  </si>
  <si>
    <t>2004 APR 5</t>
  </si>
  <si>
    <t>2004 APR 12</t>
  </si>
  <si>
    <t>2004 APR 15</t>
  </si>
  <si>
    <t>2004 APR 17</t>
  </si>
  <si>
    <t>2004 APR 21</t>
  </si>
  <si>
    <t>2004 APR 27</t>
  </si>
  <si>
    <t>2004 APR 30</t>
  </si>
  <si>
    <t>2004 MAY 17</t>
  </si>
  <si>
    <t>2004 MAY 27</t>
  </si>
  <si>
    <t>2004 MAY 29</t>
  </si>
  <si>
    <t>2004 JUN 6</t>
  </si>
  <si>
    <t>2004 JUN 8</t>
  </si>
  <si>
    <t>2004 JUN 14</t>
  </si>
  <si>
    <t>2004 JUN 17</t>
  </si>
  <si>
    <t>2004 JUN 20</t>
  </si>
  <si>
    <t>2004 JUN 23</t>
  </si>
  <si>
    <t>2004 JUN 26</t>
  </si>
  <si>
    <t>2004 JUN 28</t>
  </si>
  <si>
    <t>2004 JUN 30</t>
  </si>
  <si>
    <t>2004 JUL 3</t>
  </si>
  <si>
    <t>2004 JUL 5</t>
  </si>
  <si>
    <t>2004 SEP 18</t>
  </si>
  <si>
    <t>2004 SEP 23</t>
  </si>
  <si>
    <t>2004 SEP 26</t>
  </si>
  <si>
    <t>2004 SEP 29</t>
  </si>
  <si>
    <t>2004 OCT 1</t>
  </si>
  <si>
    <t>2004 OCT 14</t>
  </si>
  <si>
    <t>2004 OCT 20</t>
  </si>
  <si>
    <t>2005 FEB 16</t>
  </si>
  <si>
    <t>2005 FEB 20</t>
  </si>
  <si>
    <t>2005 FEB 24</t>
  </si>
  <si>
    <t>2005 MAR 15</t>
  </si>
  <si>
    <t>2005 MAR 18</t>
  </si>
  <si>
    <t>2005 MAR 19</t>
  </si>
  <si>
    <t>2005 MAR 23</t>
  </si>
  <si>
    <t>2005 MAR 26</t>
  </si>
  <si>
    <t>2005 MAR 29</t>
  </si>
  <si>
    <t>2005 APR 4</t>
  </si>
  <si>
    <t>2005 APR 8</t>
  </si>
  <si>
    <t>2005 APR 11</t>
  </si>
  <si>
    <t>2005 APR 14</t>
  </si>
  <si>
    <t>2005 APR 17</t>
  </si>
  <si>
    <t>2005 APR 20</t>
  </si>
  <si>
    <t>2005 APR 23</t>
  </si>
  <si>
    <t>2005 APR 27</t>
  </si>
  <si>
    <t>2005 APR 30</t>
  </si>
  <si>
    <t>2005 MAY 9</t>
  </si>
  <si>
    <t>2005 MAY 12</t>
  </si>
  <si>
    <t>2005 MAY 14</t>
  </si>
  <si>
    <t>2005 MAY 16</t>
  </si>
  <si>
    <t>2005 MAY 18</t>
  </si>
  <si>
    <t>2005 MAY 19</t>
  </si>
  <si>
    <t>2005 MAY 21</t>
  </si>
  <si>
    <t>2005 MAY 27</t>
  </si>
  <si>
    <t>2005 MAY 31</t>
  </si>
  <si>
    <t>2005 JUN 2</t>
  </si>
  <si>
    <t>2005 JUN 5</t>
  </si>
  <si>
    <t>2005 JUN 7</t>
  </si>
  <si>
    <t>2005 JUN 16</t>
  </si>
  <si>
    <t>2005 JUN 18</t>
  </si>
  <si>
    <t>2005 JUN 21</t>
  </si>
  <si>
    <t>2005 JUN 29</t>
  </si>
  <si>
    <t>2005 JUL 1</t>
  </si>
  <si>
    <t>2005 JUL 4</t>
  </si>
  <si>
    <t>2005 JUL 7</t>
  </si>
  <si>
    <t>2005 JUL 9</t>
  </si>
  <si>
    <t>2005 JUL 12</t>
  </si>
  <si>
    <t>2005 JUL 17</t>
  </si>
  <si>
    <t>2005 JUL 21</t>
  </si>
  <si>
    <t>2005 JUL 24</t>
  </si>
  <si>
    <t>2005 JUL 26</t>
  </si>
  <si>
    <t>2005 JUL 31</t>
  </si>
  <si>
    <t>2005 AUG 2</t>
  </si>
  <si>
    <t>2005 AUG 4</t>
  </si>
  <si>
    <t>2005 AUG 6</t>
  </si>
  <si>
    <t>2005 AUG 9</t>
  </si>
  <si>
    <t>2005 AUG 12</t>
  </si>
  <si>
    <t>2005 AUG 20</t>
  </si>
  <si>
    <t>2005 AUG 22</t>
  </si>
  <si>
    <t>2005 AUG 27</t>
  </si>
  <si>
    <t>2005 SEP 2</t>
  </si>
  <si>
    <t>2005 SEP 5</t>
  </si>
  <si>
    <t>2005 SEP 7</t>
  </si>
  <si>
    <t>2005 SEP 9</t>
  </si>
  <si>
    <t>2005 SEP 14</t>
  </si>
  <si>
    <t>2005 SEP 17</t>
  </si>
  <si>
    <t>2005 SEP 19</t>
  </si>
  <si>
    <t>2005 SEP 21</t>
  </si>
  <si>
    <t>2005 SEP 24</t>
  </si>
  <si>
    <t>2005 SEP 28</t>
  </si>
  <si>
    <t>2005 SEP 30</t>
  </si>
  <si>
    <t>2005 OCT 5</t>
  </si>
  <si>
    <t>2005 OCT 7</t>
  </si>
  <si>
    <t>2005 OCT 14</t>
  </si>
  <si>
    <t>2005 OCT 19</t>
  </si>
  <si>
    <t>2005 OCT 21</t>
  </si>
  <si>
    <t>2005 OCT 25</t>
  </si>
  <si>
    <t>2005 OCT 28</t>
  </si>
  <si>
    <t>2005 OCT 31</t>
  </si>
  <si>
    <t>2005 NOV 3</t>
  </si>
  <si>
    <t>2006 FEB 26</t>
  </si>
  <si>
    <t>2006 MAR 2</t>
  </si>
  <si>
    <t>2006 MAR 4</t>
  </si>
  <si>
    <t>2006 MAR 6</t>
  </si>
  <si>
    <t>2006 MAR 14</t>
  </si>
  <si>
    <t>2006 MAR 15</t>
  </si>
  <si>
    <t>2006 MAR 18</t>
  </si>
  <si>
    <t>2006 MAR 19</t>
  </si>
  <si>
    <t>2006 MAR 25</t>
  </si>
  <si>
    <t>2006 MAR 29</t>
  </si>
  <si>
    <t>2006 MAR 30</t>
  </si>
  <si>
    <t>2006 APR 2</t>
  </si>
  <si>
    <t>2006 APR 5</t>
  </si>
  <si>
    <t>2006 APR 9</t>
  </si>
  <si>
    <t>2006 APR 12</t>
  </si>
  <si>
    <t>2006 APR 22</t>
  </si>
  <si>
    <t>2006 APR 25</t>
  </si>
  <si>
    <t>2006 APR 28</t>
  </si>
  <si>
    <t>2006 MAY 1</t>
  </si>
  <si>
    <t>2006 MAY 4</t>
  </si>
  <si>
    <t>2006 MAY 7</t>
  </si>
  <si>
    <t>2006 MAY 9</t>
  </si>
  <si>
    <t>2006 MAY 11</t>
  </si>
  <si>
    <t>2006 MAY 13</t>
  </si>
  <si>
    <t>2006 MAY 15</t>
  </si>
  <si>
    <t>2006 MAY 19</t>
  </si>
  <si>
    <t>2006 MAY 22</t>
  </si>
  <si>
    <t>2006 MAY 25</t>
  </si>
  <si>
    <t>2006 MAY 28</t>
  </si>
  <si>
    <t>2006 JUN 1</t>
  </si>
  <si>
    <t>2006 JUN 5</t>
  </si>
  <si>
    <t>2006 JUN 7</t>
  </si>
  <si>
    <t>2006 JUN 15</t>
  </si>
  <si>
    <t>2006 JUN 17</t>
  </si>
  <si>
    <t>2006 JUN 19</t>
  </si>
  <si>
    <t>2006 JUN 21</t>
  </si>
  <si>
    <t>2006 JUN 23</t>
  </si>
  <si>
    <t>2006 JUN 26</t>
  </si>
  <si>
    <t>2006 JUN 27</t>
  </si>
  <si>
    <t>2006 JUL 8</t>
  </si>
  <si>
    <t>2006 JUL 11</t>
  </si>
  <si>
    <t>2006 JUL 18</t>
  </si>
  <si>
    <t>2006 JUL 22</t>
  </si>
  <si>
    <t>2006 JUL 28</t>
  </si>
  <si>
    <t>2006 JUL 29</t>
  </si>
  <si>
    <t>2006 JUL 31</t>
  </si>
  <si>
    <t>2007 MAR 2</t>
  </si>
  <si>
    <t>2007 MAR 16</t>
  </si>
  <si>
    <t>2007 MAR 20</t>
  </si>
  <si>
    <t>2007 MAR 24</t>
  </si>
  <si>
    <t>2007 MAR 28</t>
  </si>
  <si>
    <t>2007 MAR 31</t>
  </si>
  <si>
    <t>2007 APR 1</t>
  </si>
  <si>
    <t>2007 APR 4</t>
  </si>
  <si>
    <t>2007 APR 13</t>
  </si>
  <si>
    <t>2007 APR 17</t>
  </si>
  <si>
    <t>2007 APR 26</t>
  </si>
  <si>
    <t>2007 MAY 9</t>
  </si>
  <si>
    <t>2007 MAY 11</t>
  </si>
  <si>
    <t>2007 MAY 14</t>
  </si>
  <si>
    <t>2007 MAY 26</t>
  </si>
  <si>
    <t>2007 MAY 30</t>
  </si>
  <si>
    <t>2007 JUN 5</t>
  </si>
  <si>
    <t>2007 JUN 15</t>
  </si>
  <si>
    <t>2007 JUN 18</t>
  </si>
  <si>
    <t>2007 JUN 21</t>
  </si>
  <si>
    <t>2007 JUN 23</t>
  </si>
  <si>
    <t>2007 JUN 26</t>
  </si>
  <si>
    <t>2007 JUL 3</t>
  </si>
  <si>
    <t>2007 JUL 9</t>
  </si>
  <si>
    <t>2007 JUL 11</t>
  </si>
  <si>
    <t>2007 JUL 14</t>
  </si>
  <si>
    <t>2007 JUL 17</t>
  </si>
  <si>
    <t>2007 JUL 19</t>
  </si>
  <si>
    <t>2007 JUL 21</t>
  </si>
  <si>
    <t>2007 JUL 23</t>
  </si>
  <si>
    <t>2007 JUL 25</t>
  </si>
  <si>
    <t>2007 JUL 29</t>
  </si>
  <si>
    <t>2007 JUL 30</t>
  </si>
  <si>
    <t>2007 AUG 4</t>
  </si>
  <si>
    <t>2007 AUG 7</t>
  </si>
  <si>
    <t>2007 AUG 17</t>
  </si>
  <si>
    <t>2007 AUG 19</t>
  </si>
  <si>
    <t>2007 AUG 20</t>
  </si>
  <si>
    <t>2007 AUG 26</t>
  </si>
  <si>
    <t>2007 AUG 28</t>
  </si>
  <si>
    <t>2007 AUG 30</t>
  </si>
  <si>
    <t>2007 SEP 1</t>
  </si>
  <si>
    <t>2007 SEP 3</t>
  </si>
  <si>
    <t>2007 SEP 5</t>
  </si>
  <si>
    <t>2007 SEP 6</t>
  </si>
  <si>
    <t>2007 SEP 9</t>
  </si>
  <si>
    <t>2007 SEP 12</t>
  </si>
  <si>
    <t>2007 SEP 14</t>
  </si>
  <si>
    <t>2007 SEP 16</t>
  </si>
  <si>
    <t>2007 SEP 18</t>
  </si>
  <si>
    <t>2007 SEP 21</t>
  </si>
  <si>
    <t>2007 SEP 23</t>
  </si>
  <si>
    <t>2007 SEP 25</t>
  </si>
  <si>
    <t>2007 SEP 28</t>
  </si>
  <si>
    <t>2007 SEP 29</t>
  </si>
  <si>
    <t>2007 OCT 2</t>
  </si>
  <si>
    <t>2007 OCT 5</t>
  </si>
  <si>
    <t>2007 OCT 6</t>
  </si>
  <si>
    <t>2007 OCT 10</t>
  </si>
  <si>
    <t>2007 OCT 12</t>
  </si>
  <si>
    <t>2007 OCT 14</t>
  </si>
  <si>
    <t>2007 OCT 20</t>
  </si>
  <si>
    <t>2007 OCT 23</t>
  </si>
  <si>
    <t>2007 OCT 26</t>
  </si>
  <si>
    <t>2007 OCT 28</t>
  </si>
  <si>
    <t>2007 OCT 30</t>
  </si>
  <si>
    <t>2007 NOV 3</t>
  </si>
  <si>
    <t>2007 NOV 7</t>
  </si>
  <si>
    <t>2007 NOV 10</t>
  </si>
  <si>
    <t>2008 FEB 24</t>
  </si>
  <si>
    <t>2008 MAR 5</t>
  </si>
  <si>
    <t>2008 MAR 13</t>
  </si>
  <si>
    <t>2008 MAR 17</t>
  </si>
  <si>
    <t>2008 MAR 21</t>
  </si>
  <si>
    <t>2008 APR 2</t>
  </si>
  <si>
    <t>2008 APR 5</t>
  </si>
  <si>
    <t>2008 APR 9</t>
  </si>
  <si>
    <t>2008 APR 13</t>
  </si>
  <si>
    <t>2008 APR 16</t>
  </si>
  <si>
    <t>2008 APR 19</t>
  </si>
  <si>
    <t>2008 APR 23</t>
  </si>
  <si>
    <t>2008 APR 29</t>
  </si>
  <si>
    <t>2008 MAY 2</t>
  </si>
  <si>
    <t>2008 MAY 5</t>
  </si>
  <si>
    <t>2008 MAY 8</t>
  </si>
  <si>
    <t>2008 MAY 11</t>
  </si>
  <si>
    <t>2008 MAY 16</t>
  </si>
  <si>
    <t>2008 MAY 29</t>
  </si>
  <si>
    <t>2008 MAY 30</t>
  </si>
  <si>
    <t>2008 JUN 6</t>
  </si>
  <si>
    <t>2008 JUN 9</t>
  </si>
  <si>
    <t>2008 JUN 10</t>
  </si>
  <si>
    <t>2008 JUN 12</t>
  </si>
  <si>
    <t>2008 JUN 14</t>
  </si>
  <si>
    <t>2008 JUN 16</t>
  </si>
  <si>
    <t>2008 JUN 22</t>
  </si>
  <si>
    <t>2008 JUN 24</t>
  </si>
  <si>
    <t>2008 JUN 26</t>
  </si>
  <si>
    <t>2008 JUN 28</t>
  </si>
  <si>
    <t>2008 JUN 30</t>
  </si>
  <si>
    <t>2008 JUL 3</t>
  </si>
  <si>
    <t>2008 JUL 5</t>
  </si>
  <si>
    <t>2008 JUL 7</t>
  </si>
  <si>
    <t>2008 JUL 9</t>
  </si>
  <si>
    <t>2008 JUL 15</t>
  </si>
  <si>
    <t>2008 JUL 19</t>
  </si>
  <si>
    <t>2008 JUL 23</t>
  </si>
  <si>
    <t>2008 JUL 25</t>
  </si>
  <si>
    <t>2008 AUG 3</t>
  </si>
  <si>
    <t>2008 AUG 5</t>
  </si>
  <si>
    <t>2008 AUG 7</t>
  </si>
  <si>
    <t>2008 AUG 9</t>
  </si>
  <si>
    <t>2008 AUG 16</t>
  </si>
  <si>
    <t>2008 AUG 19</t>
  </si>
  <si>
    <t>2008 AUG 23</t>
  </si>
  <si>
    <t>2008 AUG 27</t>
  </si>
  <si>
    <t>2009 AUG 1</t>
  </si>
  <si>
    <t>2010 JUL 31</t>
  </si>
  <si>
    <t>2010 SEP 24</t>
  </si>
  <si>
    <t>2011 APR 12</t>
  </si>
  <si>
    <t>2011 APR 25</t>
  </si>
  <si>
    <t>2011 JUN 26</t>
  </si>
  <si>
    <t>2011 JUN 28</t>
  </si>
  <si>
    <t>2011 OCT 14</t>
  </si>
  <si>
    <t>2012 FEB 22</t>
  </si>
  <si>
    <t>2012 AUG 21</t>
  </si>
  <si>
    <t>2012 SEP 2</t>
  </si>
  <si>
    <t>2013 MAR 7</t>
  </si>
  <si>
    <t>2013 JUN 27</t>
  </si>
  <si>
    <t>2013 JUL 2</t>
  </si>
  <si>
    <t>2013 AUG 8</t>
  </si>
  <si>
    <t>2014 FEB 23</t>
  </si>
  <si>
    <t>2014 MAR 4</t>
  </si>
  <si>
    <t>2014 MAR 12</t>
  </si>
  <si>
    <t>2014 MAR 18</t>
  </si>
  <si>
    <t>2014 APR 13</t>
  </si>
  <si>
    <t>2014 APR 22</t>
  </si>
  <si>
    <t>2014 MAY 15</t>
  </si>
  <si>
    <t>2014 MAY 20</t>
  </si>
  <si>
    <t>2014 JUN 17</t>
  </si>
  <si>
    <t>2014 JUN 26</t>
  </si>
  <si>
    <t>2014 JUL 4</t>
  </si>
  <si>
    <t>2014 AUG 5</t>
  </si>
  <si>
    <t>2014 AUG 17</t>
  </si>
  <si>
    <t>2015 JUL 23</t>
  </si>
  <si>
    <t>2015 SEP 15</t>
  </si>
  <si>
    <t>2015 SEP 18</t>
  </si>
  <si>
    <t>2015 SEP 20</t>
  </si>
  <si>
    <t>2015 SEP 22</t>
  </si>
  <si>
    <t>2015 SEP 24</t>
  </si>
  <si>
    <t>2015 SEP 25</t>
  </si>
  <si>
    <t>2015 SEP 28</t>
  </si>
  <si>
    <t>2015 OCT 5</t>
  </si>
  <si>
    <t>2015 OCT 6</t>
  </si>
  <si>
    <t>2015 OCT 9</t>
  </si>
  <si>
    <t>2015 OCT 13</t>
  </si>
  <si>
    <t>2015 OCT 15</t>
  </si>
  <si>
    <t>2015 OCT 17</t>
  </si>
  <si>
    <t>2016 APR 15</t>
  </si>
  <si>
    <t>2016 JUN 4</t>
  </si>
  <si>
    <t>2016 OCT 25</t>
  </si>
  <si>
    <t>2017 APR 5</t>
  </si>
  <si>
    <t>2017 APR 9</t>
  </si>
  <si>
    <t>2017 APR 13</t>
  </si>
  <si>
    <t>2017 JUL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</si>
</sst>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entury Gothic"/>
      <family val="2"/>
    </font>
    <font>
      <sz val="9"/>
      <color theme="1"/>
      <name val="Calibri"/>
      <family val="2"/>
    </font>
    <font>
      <sz val="9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vertical="center" wrapText="1"/>
    </xf>
    <xf numFmtId="1" fontId="1" fillId="3" borderId="1" xfId="0" applyNumberFormat="1" applyFont="1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14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2" fillId="4" borderId="1" xfId="0" applyFont="1" applyFill="1" applyBorder="1" applyAlignment="1">
      <alignment horizontal="center"/>
    </xf>
    <xf numFmtId="14" fontId="2" fillId="4" borderId="1" xfId="0" applyNumberFormat="1" applyFont="1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14" fontId="5" fillId="5" borderId="1" xfId="0" applyNumberFormat="1" applyFont="1" applyFill="1" applyBorder="1" applyAlignment="1">
      <alignment horizontal="center"/>
    </xf>
    <xf numFmtId="0" fontId="0" fillId="2" borderId="0" xfId="0" applyFill="1"/>
    <xf numFmtId="0" fontId="0" fillId="6" borderId="0" xfId="0" applyFill="1"/>
    <xf numFmtId="0" fontId="6" fillId="2" borderId="0" xfId="0" applyFont="1" applyFill="1" applyAlignment="1">
      <alignment horizontal="right"/>
    </xf>
    <xf numFmtId="0" fontId="6" fillId="0" borderId="0" xfId="0" applyFont="1"/>
    <xf numFmtId="2" fontId="0" fillId="2" borderId="0" xfId="0" applyNumberFormat="1" applyFill="1"/>
    <xf numFmtId="1" fontId="0" fillId="2" borderId="0" xfId="0" applyNumberFormat="1" applyFill="1" applyAlignment="1">
      <alignment horizontal="right"/>
    </xf>
    <xf numFmtId="0" fontId="0" fillId="7" borderId="0" xfId="0" applyFill="1"/>
    <xf numFmtId="0" fontId="2" fillId="4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Index!$M$3</c:f>
          <c:strCache>
            <c:ptCount val="1"/>
            <c:pt idx="0">
              <c:v>SU Lyn</c:v>
            </c:pt>
          </c:strCache>
        </c:strRef>
      </c:tx>
      <c:layout>
        <c:manualLayout>
          <c:xMode val="edge"/>
          <c:yMode val="edge"/>
          <c:x val="9.5243000874890654E-2"/>
          <c:y val="8.7074829931972783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5.5559783364417692E-2"/>
          <c:y val="6.5795918367346939E-2"/>
          <c:w val="0.88888043327116462"/>
          <c:h val="0.8079550056242970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66FF3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V!$A$1:$A$1203</c:f>
              <c:numCache>
                <c:formatCode>General</c:formatCode>
                <c:ptCount val="1203"/>
                <c:pt idx="0">
                  <c:v>2451466.5277999998</c:v>
                </c:pt>
                <c:pt idx="1">
                  <c:v>2451714.7492999998</c:v>
                </c:pt>
                <c:pt idx="2">
                  <c:v>2451799.0646000002</c:v>
                </c:pt>
                <c:pt idx="3">
                  <c:v>2451808.0277999998</c:v>
                </c:pt>
                <c:pt idx="4">
                  <c:v>2451963.89493</c:v>
                </c:pt>
                <c:pt idx="5">
                  <c:v>2451964.90515</c:v>
                </c:pt>
                <c:pt idx="6">
                  <c:v>2451967.8988700002</c:v>
                </c:pt>
                <c:pt idx="7">
                  <c:v>2451978.9002399999</c:v>
                </c:pt>
                <c:pt idx="8">
                  <c:v>2451981.36356</c:v>
                </c:pt>
                <c:pt idx="9">
                  <c:v>2451982.8621</c:v>
                </c:pt>
                <c:pt idx="10">
                  <c:v>2451994.8498800001</c:v>
                </c:pt>
                <c:pt idx="11">
                  <c:v>2451996.84938</c:v>
                </c:pt>
                <c:pt idx="12">
                  <c:v>2451998.8415700002</c:v>
                </c:pt>
                <c:pt idx="13">
                  <c:v>2452000.84357</c:v>
                </c:pt>
                <c:pt idx="14">
                  <c:v>2452009.84027</c:v>
                </c:pt>
                <c:pt idx="15">
                  <c:v>2452016.8130100002</c:v>
                </c:pt>
                <c:pt idx="16">
                  <c:v>2452025.8091099998</c:v>
                </c:pt>
                <c:pt idx="17">
                  <c:v>2452026.83855</c:v>
                </c:pt>
                <c:pt idx="18">
                  <c:v>2452028.8457999998</c:v>
                </c:pt>
                <c:pt idx="19">
                  <c:v>2452030.7952100001</c:v>
                </c:pt>
                <c:pt idx="20">
                  <c:v>2452031.8067100001</c:v>
                </c:pt>
                <c:pt idx="21">
                  <c:v>2452033.2877199999</c:v>
                </c:pt>
                <c:pt idx="22">
                  <c:v>2452037.79574</c:v>
                </c:pt>
                <c:pt idx="23">
                  <c:v>2452052.7384799998</c:v>
                </c:pt>
                <c:pt idx="24">
                  <c:v>2452053.7511800001</c:v>
                </c:pt>
                <c:pt idx="25">
                  <c:v>2452055.2402599999</c:v>
                </c:pt>
                <c:pt idx="26">
                  <c:v>2452057.2335899998</c:v>
                </c:pt>
                <c:pt idx="27">
                  <c:v>2452058.7327800002</c:v>
                </c:pt>
                <c:pt idx="28">
                  <c:v>2452061.7256999998</c:v>
                </c:pt>
                <c:pt idx="29">
                  <c:v>2452070.7592000002</c:v>
                </c:pt>
                <c:pt idx="30">
                  <c:v>2452078.7507000002</c:v>
                </c:pt>
                <c:pt idx="31">
                  <c:v>2452080.6364799999</c:v>
                </c:pt>
                <c:pt idx="32">
                  <c:v>2452081.6751000001</c:v>
                </c:pt>
                <c:pt idx="33">
                  <c:v>2452082.6951700002</c:v>
                </c:pt>
                <c:pt idx="34">
                  <c:v>2452085.6661</c:v>
                </c:pt>
                <c:pt idx="35">
                  <c:v>2452086.6910999999</c:v>
                </c:pt>
                <c:pt idx="36">
                  <c:v>2452088.1608500001</c:v>
                </c:pt>
                <c:pt idx="37">
                  <c:v>2452093.5979900002</c:v>
                </c:pt>
                <c:pt idx="38">
                  <c:v>2452102.6176700001</c:v>
                </c:pt>
                <c:pt idx="39">
                  <c:v>2452103.6340000001</c:v>
                </c:pt>
                <c:pt idx="40">
                  <c:v>2452105.1304799998</c:v>
                </c:pt>
                <c:pt idx="41">
                  <c:v>2452106.6262400001</c:v>
                </c:pt>
                <c:pt idx="42">
                  <c:v>2452109.6224099998</c:v>
                </c:pt>
                <c:pt idx="43">
                  <c:v>2452110.6617999999</c:v>
                </c:pt>
                <c:pt idx="44">
                  <c:v>2452115.5791000002</c:v>
                </c:pt>
                <c:pt idx="45">
                  <c:v>2452116.9257100001</c:v>
                </c:pt>
                <c:pt idx="46">
                  <c:v>2452125.5842900001</c:v>
                </c:pt>
                <c:pt idx="47">
                  <c:v>2452128.57583</c:v>
                </c:pt>
                <c:pt idx="48">
                  <c:v>2452129.6246000002</c:v>
                </c:pt>
                <c:pt idx="49">
                  <c:v>2452131.0770100001</c:v>
                </c:pt>
                <c:pt idx="50">
                  <c:v>2452133.0729299998</c:v>
                </c:pt>
                <c:pt idx="51">
                  <c:v>2452134.57192</c:v>
                </c:pt>
                <c:pt idx="52">
                  <c:v>2452136.0668500001</c:v>
                </c:pt>
                <c:pt idx="53">
                  <c:v>2452140.5400999999</c:v>
                </c:pt>
                <c:pt idx="54">
                  <c:v>2452141.5586899999</c:v>
                </c:pt>
                <c:pt idx="55">
                  <c:v>2452143.0498000002</c:v>
                </c:pt>
                <c:pt idx="56">
                  <c:v>2452145.0423300001</c:v>
                </c:pt>
                <c:pt idx="57">
                  <c:v>2452147.6006999998</c:v>
                </c:pt>
                <c:pt idx="58">
                  <c:v>2452156.5062000002</c:v>
                </c:pt>
                <c:pt idx="59">
                  <c:v>2452167.4853099999</c:v>
                </c:pt>
                <c:pt idx="60">
                  <c:v>2452171.48697</c:v>
                </c:pt>
                <c:pt idx="61">
                  <c:v>2452173.5392100001</c:v>
                </c:pt>
                <c:pt idx="62">
                  <c:v>2452179.4800999998</c:v>
                </c:pt>
                <c:pt idx="63">
                  <c:v>2452184.5181</c:v>
                </c:pt>
                <c:pt idx="64">
                  <c:v>2452188.4988600002</c:v>
                </c:pt>
                <c:pt idx="65">
                  <c:v>2452191.5130500002</c:v>
                </c:pt>
                <c:pt idx="66">
                  <c:v>2452194.51633</c:v>
                </c:pt>
                <c:pt idx="67">
                  <c:v>2452198.5000300002</c:v>
                </c:pt>
                <c:pt idx="68">
                  <c:v>2452206.5041899998</c:v>
                </c:pt>
                <c:pt idx="69">
                  <c:v>2452389.8549000002</c:v>
                </c:pt>
                <c:pt idx="70">
                  <c:v>2452443.1821699999</c:v>
                </c:pt>
                <c:pt idx="71">
                  <c:v>2452445.1759899999</c:v>
                </c:pt>
                <c:pt idx="72">
                  <c:v>2452446.6854300001</c:v>
                </c:pt>
                <c:pt idx="73">
                  <c:v>2452464.6383500001</c:v>
                </c:pt>
                <c:pt idx="74">
                  <c:v>2452466.1350500002</c:v>
                </c:pt>
                <c:pt idx="75">
                  <c:v>2452468.1325699999</c:v>
                </c:pt>
                <c:pt idx="76">
                  <c:v>2452470.5827899999</c:v>
                </c:pt>
                <c:pt idx="77">
                  <c:v>2452473.59766</c:v>
                </c:pt>
                <c:pt idx="78">
                  <c:v>2452474.6423499999</c:v>
                </c:pt>
                <c:pt idx="79">
                  <c:v>2452489.59002</c:v>
                </c:pt>
                <c:pt idx="80">
                  <c:v>2452490.6227000002</c:v>
                </c:pt>
                <c:pt idx="81">
                  <c:v>2452497.57418</c:v>
                </c:pt>
                <c:pt idx="82">
                  <c:v>2452499.0659500002</c:v>
                </c:pt>
                <c:pt idx="83">
                  <c:v>2452501.5622999999</c:v>
                </c:pt>
                <c:pt idx="84">
                  <c:v>2452508.6907100002</c:v>
                </c:pt>
                <c:pt idx="85">
                  <c:v>2452510.6591400001</c:v>
                </c:pt>
                <c:pt idx="86">
                  <c:v>2452512.51602</c:v>
                </c:pt>
                <c:pt idx="87">
                  <c:v>2452520.5682899999</c:v>
                </c:pt>
                <c:pt idx="88">
                  <c:v>2452521.5779900001</c:v>
                </c:pt>
                <c:pt idx="89">
                  <c:v>2452524.5686300001</c:v>
                </c:pt>
                <c:pt idx="90">
                  <c:v>2452526.6289499998</c:v>
                </c:pt>
                <c:pt idx="91">
                  <c:v>2452543.4824799998</c:v>
                </c:pt>
                <c:pt idx="92">
                  <c:v>2452544.4846700002</c:v>
                </c:pt>
                <c:pt idx="93">
                  <c:v>2452545.5269300002</c:v>
                </c:pt>
                <c:pt idx="94">
                  <c:v>2452545.8767200001</c:v>
                </c:pt>
                <c:pt idx="95">
                  <c:v>2452547.1200899999</c:v>
                </c:pt>
                <c:pt idx="96">
                  <c:v>2452548.5255900002</c:v>
                </c:pt>
                <c:pt idx="97">
                  <c:v>2452549.29837</c:v>
                </c:pt>
                <c:pt idx="98">
                  <c:v>2452552.5344500002</c:v>
                </c:pt>
                <c:pt idx="99">
                  <c:v>2452553.5427000001</c:v>
                </c:pt>
                <c:pt idx="100">
                  <c:v>2452561.4871499999</c:v>
                </c:pt>
                <c:pt idx="101">
                  <c:v>2452562.5265600001</c:v>
                </c:pt>
                <c:pt idx="102">
                  <c:v>2452563.1104000001</c:v>
                </c:pt>
                <c:pt idx="103">
                  <c:v>2452564.2819099999</c:v>
                </c:pt>
                <c:pt idx="104">
                  <c:v>2452565.2811500002</c:v>
                </c:pt>
                <c:pt idx="105">
                  <c:v>2452566.5218699998</c:v>
                </c:pt>
                <c:pt idx="106">
                  <c:v>2452568.5202500001</c:v>
                </c:pt>
                <c:pt idx="107">
                  <c:v>2452578.5082</c:v>
                </c:pt>
                <c:pt idx="108">
                  <c:v>2452579.1812200001</c:v>
                </c:pt>
                <c:pt idx="109">
                  <c:v>2452684.8924699998</c:v>
                </c:pt>
                <c:pt idx="110">
                  <c:v>2452688.8945399998</c:v>
                </c:pt>
                <c:pt idx="111">
                  <c:v>2452699.89738</c:v>
                </c:pt>
                <c:pt idx="112">
                  <c:v>2452702.3821200002</c:v>
                </c:pt>
                <c:pt idx="113">
                  <c:v>2452703.3921599998</c:v>
                </c:pt>
                <c:pt idx="114">
                  <c:v>2452704.8901900002</c:v>
                </c:pt>
                <c:pt idx="115">
                  <c:v>2452706.8860999998</c:v>
                </c:pt>
                <c:pt idx="116">
                  <c:v>2452709.8829399999</c:v>
                </c:pt>
                <c:pt idx="117">
                  <c:v>2452712.8769800002</c:v>
                </c:pt>
                <c:pt idx="118">
                  <c:v>2452717.89708</c:v>
                </c:pt>
                <c:pt idx="119">
                  <c:v>2452726.841</c:v>
                </c:pt>
                <c:pt idx="120">
                  <c:v>2452728.9084399999</c:v>
                </c:pt>
                <c:pt idx="121">
                  <c:v>2452730.8898800001</c:v>
                </c:pt>
                <c:pt idx="122">
                  <c:v>2452734.8049499998</c:v>
                </c:pt>
                <c:pt idx="123">
                  <c:v>2452736.86039</c:v>
                </c:pt>
                <c:pt idx="124">
                  <c:v>2452738.8496300001</c:v>
                </c:pt>
                <c:pt idx="125">
                  <c:v>2452740.8524500001</c:v>
                </c:pt>
                <c:pt idx="126">
                  <c:v>2452742.86803</c:v>
                </c:pt>
                <c:pt idx="127">
                  <c:v>2452744.8849599999</c:v>
                </c:pt>
                <c:pt idx="128">
                  <c:v>2452755.3110799999</c:v>
                </c:pt>
                <c:pt idx="129">
                  <c:v>2452757.3177700001</c:v>
                </c:pt>
                <c:pt idx="130">
                  <c:v>2452760.7944399999</c:v>
                </c:pt>
                <c:pt idx="131">
                  <c:v>2452764.7949199998</c:v>
                </c:pt>
                <c:pt idx="132">
                  <c:v>2452770.8448200002</c:v>
                </c:pt>
                <c:pt idx="133">
                  <c:v>2452775.8412199998</c:v>
                </c:pt>
                <c:pt idx="134">
                  <c:v>2452782.80425</c:v>
                </c:pt>
                <c:pt idx="135">
                  <c:v>2452786.7246599998</c:v>
                </c:pt>
                <c:pt idx="136">
                  <c:v>2452790.7580200001</c:v>
                </c:pt>
                <c:pt idx="137">
                  <c:v>2452802.7902099998</c:v>
                </c:pt>
                <c:pt idx="138">
                  <c:v>2452808.7347200001</c:v>
                </c:pt>
                <c:pt idx="139">
                  <c:v>2452810.6617100001</c:v>
                </c:pt>
                <c:pt idx="140">
                  <c:v>2452811.8441099999</c:v>
                </c:pt>
                <c:pt idx="141">
                  <c:v>2452813.7308200002</c:v>
                </c:pt>
                <c:pt idx="142">
                  <c:v>2452821.22175</c:v>
                </c:pt>
                <c:pt idx="143">
                  <c:v>2452826.7136300001</c:v>
                </c:pt>
                <c:pt idx="144">
                  <c:v>2452830.6373999999</c:v>
                </c:pt>
                <c:pt idx="145">
                  <c:v>2452838.8042899999</c:v>
                </c:pt>
                <c:pt idx="146">
                  <c:v>2452841.1851900001</c:v>
                </c:pt>
                <c:pt idx="147">
                  <c:v>2452843.6453300002</c:v>
                </c:pt>
                <c:pt idx="148">
                  <c:v>2452851.6132800002</c:v>
                </c:pt>
                <c:pt idx="149">
                  <c:v>2452855.6466999999</c:v>
                </c:pt>
                <c:pt idx="150">
                  <c:v>2452862.59094</c:v>
                </c:pt>
                <c:pt idx="151">
                  <c:v>2452866.5913</c:v>
                </c:pt>
                <c:pt idx="152">
                  <c:v>2452867.6929299999</c:v>
                </c:pt>
                <c:pt idx="153">
                  <c:v>2452872.5626599998</c:v>
                </c:pt>
                <c:pt idx="154">
                  <c:v>2452875.5964000002</c:v>
                </c:pt>
                <c:pt idx="155">
                  <c:v>2452877.5872999998</c:v>
                </c:pt>
                <c:pt idx="156">
                  <c:v>2452879.58806</c:v>
                </c:pt>
                <c:pt idx="157">
                  <c:v>2452882.61179</c:v>
                </c:pt>
                <c:pt idx="158">
                  <c:v>2452884.57455</c:v>
                </c:pt>
                <c:pt idx="159">
                  <c:v>2452893.5977699999</c:v>
                </c:pt>
                <c:pt idx="160">
                  <c:v>2452895.5923799998</c:v>
                </c:pt>
                <c:pt idx="161">
                  <c:v>2452904.6270900001</c:v>
                </c:pt>
                <c:pt idx="162">
                  <c:v>2452906.63014</c:v>
                </c:pt>
                <c:pt idx="163">
                  <c:v>2452910.5009099999</c:v>
                </c:pt>
                <c:pt idx="164">
                  <c:v>2452916.4884000001</c:v>
                </c:pt>
                <c:pt idx="165">
                  <c:v>2452917.5884600002</c:v>
                </c:pt>
                <c:pt idx="166">
                  <c:v>2452921.57987</c:v>
                </c:pt>
                <c:pt idx="167">
                  <c:v>2452923.5760300001</c:v>
                </c:pt>
                <c:pt idx="168">
                  <c:v>2452926.5747799999</c:v>
                </c:pt>
                <c:pt idx="169">
                  <c:v>2452930.5713999998</c:v>
                </c:pt>
                <c:pt idx="170">
                  <c:v>2452932.56984</c:v>
                </c:pt>
                <c:pt idx="171">
                  <c:v>2452934.5644200002</c:v>
                </c:pt>
                <c:pt idx="172">
                  <c:v>2452937.5105400002</c:v>
                </c:pt>
                <c:pt idx="173">
                  <c:v>2452949.5062000002</c:v>
                </c:pt>
                <c:pt idx="174">
                  <c:v>2453060.8993199999</c:v>
                </c:pt>
                <c:pt idx="175">
                  <c:v>2453066.88216</c:v>
                </c:pt>
                <c:pt idx="176">
                  <c:v>2453068.9038200001</c:v>
                </c:pt>
                <c:pt idx="177">
                  <c:v>2453081.87378</c:v>
                </c:pt>
                <c:pt idx="178">
                  <c:v>2453087.8952000001</c:v>
                </c:pt>
                <c:pt idx="179">
                  <c:v>2453091.8730899999</c:v>
                </c:pt>
                <c:pt idx="180">
                  <c:v>2453097.8486899999</c:v>
                </c:pt>
                <c:pt idx="181">
                  <c:v>2453100.8892399999</c:v>
                </c:pt>
                <c:pt idx="182">
                  <c:v>2453107.91812</c:v>
                </c:pt>
                <c:pt idx="183">
                  <c:v>2453110.8999399999</c:v>
                </c:pt>
                <c:pt idx="184">
                  <c:v>2453113.3676700001</c:v>
                </c:pt>
                <c:pt idx="185">
                  <c:v>2453116.8442099998</c:v>
                </c:pt>
                <c:pt idx="186">
                  <c:v>2453122.8719899999</c:v>
                </c:pt>
                <c:pt idx="187">
                  <c:v>2453125.7807999998</c:v>
                </c:pt>
                <c:pt idx="188">
                  <c:v>2453142.7718400001</c:v>
                </c:pt>
                <c:pt idx="189">
                  <c:v>2453152.8366100001</c:v>
                </c:pt>
                <c:pt idx="190">
                  <c:v>2453154.74205</c:v>
                </c:pt>
                <c:pt idx="191">
                  <c:v>2453162.7681800001</c:v>
                </c:pt>
                <c:pt idx="192">
                  <c:v>2453164.7954199999</c:v>
                </c:pt>
                <c:pt idx="193">
                  <c:v>2453170.7448499999</c:v>
                </c:pt>
                <c:pt idx="194">
                  <c:v>2453173.7039399999</c:v>
                </c:pt>
                <c:pt idx="195">
                  <c:v>2453176.7489999998</c:v>
                </c:pt>
                <c:pt idx="196">
                  <c:v>2453179.67288</c:v>
                </c:pt>
                <c:pt idx="197">
                  <c:v>2453182.68579</c:v>
                </c:pt>
                <c:pt idx="198">
                  <c:v>2453184.67289</c:v>
                </c:pt>
                <c:pt idx="199">
                  <c:v>2453186.6986500002</c:v>
                </c:pt>
                <c:pt idx="200">
                  <c:v>2453189.7258899999</c:v>
                </c:pt>
                <c:pt idx="201">
                  <c:v>2453191.8276999998</c:v>
                </c:pt>
                <c:pt idx="202">
                  <c:v>2453266.5267500002</c:v>
                </c:pt>
                <c:pt idx="203">
                  <c:v>2453272.49107</c:v>
                </c:pt>
                <c:pt idx="204">
                  <c:v>2453274.6100699999</c:v>
                </c:pt>
                <c:pt idx="205">
                  <c:v>2453277.5733099999</c:v>
                </c:pt>
                <c:pt idx="206">
                  <c:v>2453279.59632</c:v>
                </c:pt>
                <c:pt idx="207">
                  <c:v>2453292.5480999998</c:v>
                </c:pt>
                <c:pt idx="208">
                  <c:v>2453299.49743</c:v>
                </c:pt>
                <c:pt idx="209">
                  <c:v>2453417.8909900002</c:v>
                </c:pt>
                <c:pt idx="210">
                  <c:v>2453421.89995</c:v>
                </c:pt>
                <c:pt idx="211">
                  <c:v>2453425.8967599999</c:v>
                </c:pt>
                <c:pt idx="212">
                  <c:v>2453444.8801299999</c:v>
                </c:pt>
                <c:pt idx="213">
                  <c:v>2453447.8666300001</c:v>
                </c:pt>
                <c:pt idx="214">
                  <c:v>2453448.8947700001</c:v>
                </c:pt>
                <c:pt idx="215">
                  <c:v>2453452.89904</c:v>
                </c:pt>
                <c:pt idx="216">
                  <c:v>2453455.8563899999</c:v>
                </c:pt>
                <c:pt idx="217">
                  <c:v>2453459.3604600001</c:v>
                </c:pt>
                <c:pt idx="218">
                  <c:v>2453464.8536100001</c:v>
                </c:pt>
                <c:pt idx="219">
                  <c:v>2453468.8562699999</c:v>
                </c:pt>
                <c:pt idx="220">
                  <c:v>2453471.8844699999</c:v>
                </c:pt>
                <c:pt idx="221">
                  <c:v>2453474.8621999999</c:v>
                </c:pt>
                <c:pt idx="222">
                  <c:v>2453477.8465</c:v>
                </c:pt>
                <c:pt idx="223">
                  <c:v>2453480.8323300001</c:v>
                </c:pt>
                <c:pt idx="224">
                  <c:v>2453483.8057900001</c:v>
                </c:pt>
                <c:pt idx="225">
                  <c:v>2453487.8732500002</c:v>
                </c:pt>
                <c:pt idx="226">
                  <c:v>2453490.8689700002</c:v>
                </c:pt>
                <c:pt idx="227">
                  <c:v>2453499.83243</c:v>
                </c:pt>
                <c:pt idx="228">
                  <c:v>2453502.7918400001</c:v>
                </c:pt>
                <c:pt idx="229">
                  <c:v>2453504.8272199999</c:v>
                </c:pt>
                <c:pt idx="230">
                  <c:v>2453506.8055400001</c:v>
                </c:pt>
                <c:pt idx="231">
                  <c:v>2453508.8279300001</c:v>
                </c:pt>
                <c:pt idx="232">
                  <c:v>2453509.83984</c:v>
                </c:pt>
                <c:pt idx="233">
                  <c:v>2453512.2607</c:v>
                </c:pt>
                <c:pt idx="234">
                  <c:v>2453517.79446</c:v>
                </c:pt>
                <c:pt idx="235">
                  <c:v>2453521.8023199998</c:v>
                </c:pt>
                <c:pt idx="236">
                  <c:v>2453524.2749000001</c:v>
                </c:pt>
                <c:pt idx="237">
                  <c:v>2453526.7210200001</c:v>
                </c:pt>
                <c:pt idx="238">
                  <c:v>2453528.8142599999</c:v>
                </c:pt>
                <c:pt idx="239">
                  <c:v>2453537.8025000002</c:v>
                </c:pt>
                <c:pt idx="240">
                  <c:v>2453539.7474000002</c:v>
                </c:pt>
                <c:pt idx="241">
                  <c:v>2453542.69405</c:v>
                </c:pt>
                <c:pt idx="242">
                  <c:v>2453550.7141499999</c:v>
                </c:pt>
                <c:pt idx="243">
                  <c:v>2453552.7448700001</c:v>
                </c:pt>
                <c:pt idx="244">
                  <c:v>2453555.7508100001</c:v>
                </c:pt>
                <c:pt idx="245">
                  <c:v>2453559.2477000002</c:v>
                </c:pt>
                <c:pt idx="246">
                  <c:v>2453561.2384799998</c:v>
                </c:pt>
                <c:pt idx="247">
                  <c:v>2453563.6623900002</c:v>
                </c:pt>
                <c:pt idx="248">
                  <c:v>2453568.8009000001</c:v>
                </c:pt>
                <c:pt idx="249">
                  <c:v>2453573.2337099998</c:v>
                </c:pt>
                <c:pt idx="250">
                  <c:v>2453575.6309400001</c:v>
                </c:pt>
                <c:pt idx="251">
                  <c:v>2453577.6696000001</c:v>
                </c:pt>
                <c:pt idx="252">
                  <c:v>2453582.7717900001</c:v>
                </c:pt>
                <c:pt idx="253">
                  <c:v>2453584.7286700001</c:v>
                </c:pt>
                <c:pt idx="254">
                  <c:v>2453586.6751999999</c:v>
                </c:pt>
                <c:pt idx="255">
                  <c:v>2453588.6982800001</c:v>
                </c:pt>
                <c:pt idx="256">
                  <c:v>2453591.554</c:v>
                </c:pt>
                <c:pt idx="257">
                  <c:v>2453594.53229</c:v>
                </c:pt>
                <c:pt idx="258">
                  <c:v>2453602.5682799998</c:v>
                </c:pt>
                <c:pt idx="259">
                  <c:v>2453604.5844999999</c:v>
                </c:pt>
                <c:pt idx="260">
                  <c:v>2453609.5323600001</c:v>
                </c:pt>
                <c:pt idx="261">
                  <c:v>2453615.5226799999</c:v>
                </c:pt>
                <c:pt idx="262">
                  <c:v>2453618.5597999999</c:v>
                </c:pt>
                <c:pt idx="263">
                  <c:v>2453620.6078300001</c:v>
                </c:pt>
                <c:pt idx="264">
                  <c:v>2453622.6471299999</c:v>
                </c:pt>
                <c:pt idx="265">
                  <c:v>2453628.4936199998</c:v>
                </c:pt>
                <c:pt idx="266">
                  <c:v>2453630.5745600001</c:v>
                </c:pt>
                <c:pt idx="267">
                  <c:v>2453632.58115</c:v>
                </c:pt>
                <c:pt idx="268">
                  <c:v>2453634.60934</c:v>
                </c:pt>
                <c:pt idx="269">
                  <c:v>2453637.6267499998</c:v>
                </c:pt>
                <c:pt idx="270">
                  <c:v>2453641.58494</c:v>
                </c:pt>
                <c:pt idx="271">
                  <c:v>2453644.0787900002</c:v>
                </c:pt>
                <c:pt idx="272">
                  <c:v>2453648.5225200001</c:v>
                </c:pt>
                <c:pt idx="273">
                  <c:v>2453650.5525400001</c:v>
                </c:pt>
                <c:pt idx="274">
                  <c:v>2453657.56586</c:v>
                </c:pt>
                <c:pt idx="275">
                  <c:v>2453662.5415599998</c:v>
                </c:pt>
                <c:pt idx="276">
                  <c:v>2453664.55651</c:v>
                </c:pt>
                <c:pt idx="277">
                  <c:v>2453668.5348499999</c:v>
                </c:pt>
                <c:pt idx="278">
                  <c:v>2453671.5263800002</c:v>
                </c:pt>
                <c:pt idx="279">
                  <c:v>2453674.5302400002</c:v>
                </c:pt>
                <c:pt idx="280">
                  <c:v>2453677.517</c:v>
                </c:pt>
                <c:pt idx="281">
                  <c:v>2453792.8922899999</c:v>
                </c:pt>
                <c:pt idx="282">
                  <c:v>2453796.8936000001</c:v>
                </c:pt>
                <c:pt idx="283">
                  <c:v>2453798.9047400001</c:v>
                </c:pt>
                <c:pt idx="284">
                  <c:v>2453800.8939499999</c:v>
                </c:pt>
                <c:pt idx="285">
                  <c:v>2453808.8785999999</c:v>
                </c:pt>
                <c:pt idx="286">
                  <c:v>2453809.89806</c:v>
                </c:pt>
                <c:pt idx="287">
                  <c:v>2453812.8804199998</c:v>
                </c:pt>
                <c:pt idx="288">
                  <c:v>2453813.8838300002</c:v>
                </c:pt>
                <c:pt idx="289">
                  <c:v>2453820.3753</c:v>
                </c:pt>
                <c:pt idx="290">
                  <c:v>2453823.8555700001</c:v>
                </c:pt>
                <c:pt idx="291">
                  <c:v>2453824.86271</c:v>
                </c:pt>
                <c:pt idx="292">
                  <c:v>2453827.8862000001</c:v>
                </c:pt>
                <c:pt idx="293">
                  <c:v>2453831.3870700002</c:v>
                </c:pt>
                <c:pt idx="294">
                  <c:v>2453834.8327899999</c:v>
                </c:pt>
                <c:pt idx="295">
                  <c:v>2453837.8613</c:v>
                </c:pt>
                <c:pt idx="296">
                  <c:v>2453847.9046399998</c:v>
                </c:pt>
                <c:pt idx="297">
                  <c:v>2453850.8432100001</c:v>
                </c:pt>
                <c:pt idx="298">
                  <c:v>2453853.8324000002</c:v>
                </c:pt>
                <c:pt idx="299">
                  <c:v>2453856.8157000002</c:v>
                </c:pt>
                <c:pt idx="300">
                  <c:v>2453859.8071699999</c:v>
                </c:pt>
                <c:pt idx="301">
                  <c:v>2453862.7882400001</c:v>
                </c:pt>
                <c:pt idx="302">
                  <c:v>2453864.7999200001</c:v>
                </c:pt>
                <c:pt idx="303">
                  <c:v>2453866.8185999999</c:v>
                </c:pt>
                <c:pt idx="304">
                  <c:v>2453868.8182000001</c:v>
                </c:pt>
                <c:pt idx="305">
                  <c:v>2453870.7867999999</c:v>
                </c:pt>
                <c:pt idx="306">
                  <c:v>2453874.81005</c:v>
                </c:pt>
                <c:pt idx="307">
                  <c:v>2453877.7739200001</c:v>
                </c:pt>
                <c:pt idx="308">
                  <c:v>2453880.83464</c:v>
                </c:pt>
                <c:pt idx="309">
                  <c:v>2453883.8322899998</c:v>
                </c:pt>
                <c:pt idx="310">
                  <c:v>2453887.77098</c:v>
                </c:pt>
                <c:pt idx="311">
                  <c:v>2453892.25544</c:v>
                </c:pt>
                <c:pt idx="312">
                  <c:v>2453894.2504199999</c:v>
                </c:pt>
                <c:pt idx="313">
                  <c:v>2453902.2571299998</c:v>
                </c:pt>
                <c:pt idx="314">
                  <c:v>2453903.7644400001</c:v>
                </c:pt>
                <c:pt idx="315">
                  <c:v>2453906.2941399999</c:v>
                </c:pt>
                <c:pt idx="316">
                  <c:v>2453907.7850899999</c:v>
                </c:pt>
                <c:pt idx="317">
                  <c:v>2453909.8879900002</c:v>
                </c:pt>
                <c:pt idx="318">
                  <c:v>2453912.79372</c:v>
                </c:pt>
                <c:pt idx="319">
                  <c:v>2453913.8409799999</c:v>
                </c:pt>
                <c:pt idx="320">
                  <c:v>2453925.1381999999</c:v>
                </c:pt>
                <c:pt idx="321">
                  <c:v>2453927.5712000001</c:v>
                </c:pt>
                <c:pt idx="322">
                  <c:v>2453935.0424000002</c:v>
                </c:pt>
                <c:pt idx="323">
                  <c:v>2453938.9785000002</c:v>
                </c:pt>
                <c:pt idx="324">
                  <c:v>2453945.0306000002</c:v>
                </c:pt>
                <c:pt idx="325">
                  <c:v>2453946.1139000002</c:v>
                </c:pt>
                <c:pt idx="326">
                  <c:v>2453948.0353999999</c:v>
                </c:pt>
                <c:pt idx="327">
                  <c:v>2454161.90142</c:v>
                </c:pt>
                <c:pt idx="328">
                  <c:v>2454175.8917299998</c:v>
                </c:pt>
                <c:pt idx="329">
                  <c:v>2454179.8966999999</c:v>
                </c:pt>
                <c:pt idx="330">
                  <c:v>2454183.8801600002</c:v>
                </c:pt>
                <c:pt idx="331">
                  <c:v>2454187.9105600002</c:v>
                </c:pt>
                <c:pt idx="332">
                  <c:v>2454190.8551699999</c:v>
                </c:pt>
                <c:pt idx="333">
                  <c:v>2454191.86564</c:v>
                </c:pt>
                <c:pt idx="334">
                  <c:v>2454194.8755100002</c:v>
                </c:pt>
                <c:pt idx="335">
                  <c:v>2454203.87463</c:v>
                </c:pt>
                <c:pt idx="336">
                  <c:v>2454207.8906999999</c:v>
                </c:pt>
                <c:pt idx="337">
                  <c:v>2454216.86583</c:v>
                </c:pt>
                <c:pt idx="338">
                  <c:v>2454229.8687300002</c:v>
                </c:pt>
                <c:pt idx="339">
                  <c:v>2454231.8671499998</c:v>
                </c:pt>
                <c:pt idx="340">
                  <c:v>2454235.2933700001</c:v>
                </c:pt>
                <c:pt idx="341">
                  <c:v>2454247.2499199999</c:v>
                </c:pt>
                <c:pt idx="342">
                  <c:v>2454250.7837499999</c:v>
                </c:pt>
                <c:pt idx="343">
                  <c:v>2454256.7837200002</c:v>
                </c:pt>
                <c:pt idx="344">
                  <c:v>2454266.7472999999</c:v>
                </c:pt>
                <c:pt idx="345">
                  <c:v>2454269.6928300001</c:v>
                </c:pt>
                <c:pt idx="346">
                  <c:v>2454272.7572400002</c:v>
                </c:pt>
                <c:pt idx="347">
                  <c:v>2454274.7566800001</c:v>
                </c:pt>
                <c:pt idx="348">
                  <c:v>2454277.7051200001</c:v>
                </c:pt>
                <c:pt idx="349">
                  <c:v>2454284.7185800001</c:v>
                </c:pt>
                <c:pt idx="350">
                  <c:v>2454290.7145099998</c:v>
                </c:pt>
                <c:pt idx="351">
                  <c:v>2454292.6960200001</c:v>
                </c:pt>
                <c:pt idx="352">
                  <c:v>2454295.69184</c:v>
                </c:pt>
                <c:pt idx="353">
                  <c:v>2454298.6993100001</c:v>
                </c:pt>
                <c:pt idx="354">
                  <c:v>2454300.67521</c:v>
                </c:pt>
                <c:pt idx="355">
                  <c:v>2454302.71563</c:v>
                </c:pt>
                <c:pt idx="356">
                  <c:v>2454304.6565999999</c:v>
                </c:pt>
                <c:pt idx="357">
                  <c:v>2454306.6395100001</c:v>
                </c:pt>
                <c:pt idx="358">
                  <c:v>2454310.6243500002</c:v>
                </c:pt>
                <c:pt idx="359">
                  <c:v>2454311.6444600001</c:v>
                </c:pt>
                <c:pt idx="360">
                  <c:v>2454316.6961300001</c:v>
                </c:pt>
                <c:pt idx="361">
                  <c:v>2454319.6818200001</c:v>
                </c:pt>
                <c:pt idx="362">
                  <c:v>2454329.58366</c:v>
                </c:pt>
                <c:pt idx="363">
                  <c:v>2454331.5778399999</c:v>
                </c:pt>
                <c:pt idx="364">
                  <c:v>2454333.1543000001</c:v>
                </c:pt>
                <c:pt idx="365">
                  <c:v>2454338.62347</c:v>
                </c:pt>
                <c:pt idx="366">
                  <c:v>2454340.6379499999</c:v>
                </c:pt>
                <c:pt idx="367">
                  <c:v>2454342.6732200002</c:v>
                </c:pt>
                <c:pt idx="368">
                  <c:v>2454344.6336699999</c:v>
                </c:pt>
                <c:pt idx="369">
                  <c:v>2454346.67368</c:v>
                </c:pt>
                <c:pt idx="370">
                  <c:v>2454348.67888</c:v>
                </c:pt>
                <c:pt idx="371">
                  <c:v>2454350.4104200001</c:v>
                </c:pt>
                <c:pt idx="372">
                  <c:v>2454353.0785300001</c:v>
                </c:pt>
                <c:pt idx="373">
                  <c:v>2454355.6376</c:v>
                </c:pt>
                <c:pt idx="374">
                  <c:v>2454357.6452799998</c:v>
                </c:pt>
                <c:pt idx="375">
                  <c:v>2454359.6787999999</c:v>
                </c:pt>
                <c:pt idx="376">
                  <c:v>2454362.4400999998</c:v>
                </c:pt>
                <c:pt idx="377">
                  <c:v>2454364.8545400002</c:v>
                </c:pt>
                <c:pt idx="378">
                  <c:v>2454367.4925299999</c:v>
                </c:pt>
                <c:pt idx="379">
                  <c:v>2454369.0320000001</c:v>
                </c:pt>
                <c:pt idx="380">
                  <c:v>2454371.5603900002</c:v>
                </c:pt>
                <c:pt idx="381">
                  <c:v>2454372.93585</c:v>
                </c:pt>
                <c:pt idx="382">
                  <c:v>2454376.0841000001</c:v>
                </c:pt>
                <c:pt idx="383">
                  <c:v>2454378.5436999998</c:v>
                </c:pt>
                <c:pt idx="384">
                  <c:v>2454380.36497</c:v>
                </c:pt>
                <c:pt idx="385">
                  <c:v>2454383.54422</c:v>
                </c:pt>
                <c:pt idx="386">
                  <c:v>2454386.0577799999</c:v>
                </c:pt>
                <c:pt idx="387">
                  <c:v>2454387.6068699998</c:v>
                </c:pt>
                <c:pt idx="388">
                  <c:v>2454393.6492900001</c:v>
                </c:pt>
                <c:pt idx="389">
                  <c:v>2454396.9438299998</c:v>
                </c:pt>
                <c:pt idx="390">
                  <c:v>2454399.5333400001</c:v>
                </c:pt>
                <c:pt idx="391">
                  <c:v>2454402.26969</c:v>
                </c:pt>
                <c:pt idx="392">
                  <c:v>2454403.5263100001</c:v>
                </c:pt>
                <c:pt idx="393">
                  <c:v>2454407.5165599999</c:v>
                </c:pt>
                <c:pt idx="394">
                  <c:v>2454411.5042300001</c:v>
                </c:pt>
                <c:pt idx="395">
                  <c:v>2454414.9391600001</c:v>
                </c:pt>
                <c:pt idx="396">
                  <c:v>2454520.9015100002</c:v>
                </c:pt>
                <c:pt idx="397">
                  <c:v>2454530.9021899998</c:v>
                </c:pt>
                <c:pt idx="398">
                  <c:v>2454538.9029999999</c:v>
                </c:pt>
                <c:pt idx="399">
                  <c:v>2454542.9006099999</c:v>
                </c:pt>
                <c:pt idx="400">
                  <c:v>2454546.8876399999</c:v>
                </c:pt>
                <c:pt idx="401">
                  <c:v>2454558.8585999999</c:v>
                </c:pt>
                <c:pt idx="402">
                  <c:v>2454561.8890999998</c:v>
                </c:pt>
                <c:pt idx="403">
                  <c:v>2454565.87371</c:v>
                </c:pt>
                <c:pt idx="404">
                  <c:v>2454569.8666300001</c:v>
                </c:pt>
                <c:pt idx="405">
                  <c:v>2454572.8668200001</c:v>
                </c:pt>
                <c:pt idx="406">
                  <c:v>2454575.8601700002</c:v>
                </c:pt>
                <c:pt idx="407">
                  <c:v>2454579.87268</c:v>
                </c:pt>
                <c:pt idx="408">
                  <c:v>2454585.8705699998</c:v>
                </c:pt>
                <c:pt idx="409">
                  <c:v>2454588.85311</c:v>
                </c:pt>
                <c:pt idx="410">
                  <c:v>2454591.82614</c:v>
                </c:pt>
                <c:pt idx="411">
                  <c:v>2454594.8131400002</c:v>
                </c:pt>
                <c:pt idx="412">
                  <c:v>2454597.8136900002</c:v>
                </c:pt>
                <c:pt idx="413">
                  <c:v>2454602.8189099999</c:v>
                </c:pt>
                <c:pt idx="414">
                  <c:v>2454615.8013599999</c:v>
                </c:pt>
                <c:pt idx="415">
                  <c:v>2454616.82222</c:v>
                </c:pt>
                <c:pt idx="416">
                  <c:v>2454623.74186</c:v>
                </c:pt>
                <c:pt idx="417">
                  <c:v>2454626.6472800002</c:v>
                </c:pt>
                <c:pt idx="418">
                  <c:v>2454627.7697899998</c:v>
                </c:pt>
                <c:pt idx="419">
                  <c:v>2454629.7567799999</c:v>
                </c:pt>
                <c:pt idx="420">
                  <c:v>2454631.7695900002</c:v>
                </c:pt>
                <c:pt idx="421">
                  <c:v>2454633.7596900002</c:v>
                </c:pt>
                <c:pt idx="422">
                  <c:v>2454639.7449500002</c:v>
                </c:pt>
                <c:pt idx="423">
                  <c:v>2454641.7475200002</c:v>
                </c:pt>
                <c:pt idx="424">
                  <c:v>2454643.7430699999</c:v>
                </c:pt>
                <c:pt idx="425">
                  <c:v>2454645.7728200001</c:v>
                </c:pt>
                <c:pt idx="426">
                  <c:v>2454647.8347200002</c:v>
                </c:pt>
                <c:pt idx="427">
                  <c:v>2454650.6694299998</c:v>
                </c:pt>
                <c:pt idx="428">
                  <c:v>2454652.7130499999</c:v>
                </c:pt>
                <c:pt idx="429">
                  <c:v>2454654.7083000001</c:v>
                </c:pt>
                <c:pt idx="430">
                  <c:v>2454656.7023800001</c:v>
                </c:pt>
                <c:pt idx="431">
                  <c:v>2454662.6814199998</c:v>
                </c:pt>
                <c:pt idx="432">
                  <c:v>2454666.6834300002</c:v>
                </c:pt>
                <c:pt idx="433">
                  <c:v>2454670.6645999998</c:v>
                </c:pt>
                <c:pt idx="434">
                  <c:v>2454672.6882199999</c:v>
                </c:pt>
                <c:pt idx="435">
                  <c:v>2454681.6383199999</c:v>
                </c:pt>
                <c:pt idx="436">
                  <c:v>2454683.63839</c:v>
                </c:pt>
                <c:pt idx="437">
                  <c:v>2454685.63</c:v>
                </c:pt>
                <c:pt idx="438">
                  <c:v>2454687.62519</c:v>
                </c:pt>
                <c:pt idx="439">
                  <c:v>2454694.59516</c:v>
                </c:pt>
                <c:pt idx="440">
                  <c:v>2454697.6941499999</c:v>
                </c:pt>
                <c:pt idx="441">
                  <c:v>2454701.6741800001</c:v>
                </c:pt>
                <c:pt idx="442">
                  <c:v>2454705.7349899998</c:v>
                </c:pt>
                <c:pt idx="443">
                  <c:v>2455045.2881700001</c:v>
                </c:pt>
                <c:pt idx="444">
                  <c:v>2455408.6673599998</c:v>
                </c:pt>
                <c:pt idx="445">
                  <c:v>2455463.602</c:v>
                </c:pt>
                <c:pt idx="446">
                  <c:v>2455663.9819999998</c:v>
                </c:pt>
                <c:pt idx="447">
                  <c:v>2455676.966</c:v>
                </c:pt>
                <c:pt idx="448">
                  <c:v>2455739.03785</c:v>
                </c:pt>
                <c:pt idx="449">
                  <c:v>2455741.0349400002</c:v>
                </c:pt>
                <c:pt idx="450">
                  <c:v>2455848.5980000002</c:v>
                </c:pt>
                <c:pt idx="451">
                  <c:v>2455980.0219999999</c:v>
                </c:pt>
                <c:pt idx="452">
                  <c:v>2456160.665</c:v>
                </c:pt>
                <c:pt idx="453">
                  <c:v>2456172.7009999999</c:v>
                </c:pt>
                <c:pt idx="454">
                  <c:v>2456359.0240000002</c:v>
                </c:pt>
                <c:pt idx="455">
                  <c:v>2456470.7429999998</c:v>
                </c:pt>
                <c:pt idx="456">
                  <c:v>2456475.503</c:v>
                </c:pt>
                <c:pt idx="457">
                  <c:v>2456512.7179999999</c:v>
                </c:pt>
                <c:pt idx="458">
                  <c:v>2456712.2799999998</c:v>
                </c:pt>
                <c:pt idx="459">
                  <c:v>2456721.0279999999</c:v>
                </c:pt>
                <c:pt idx="460">
                  <c:v>2456729.2680000002</c:v>
                </c:pt>
                <c:pt idx="461">
                  <c:v>2456735.2620000001</c:v>
                </c:pt>
                <c:pt idx="462">
                  <c:v>2456761.2039999999</c:v>
                </c:pt>
                <c:pt idx="463">
                  <c:v>2456770.264</c:v>
                </c:pt>
                <c:pt idx="464">
                  <c:v>2456793.1039999998</c:v>
                </c:pt>
                <c:pt idx="465">
                  <c:v>2456798.2930000001</c:v>
                </c:pt>
                <c:pt idx="466">
                  <c:v>2456826.2179999999</c:v>
                </c:pt>
                <c:pt idx="467">
                  <c:v>2456834.6294999998</c:v>
                </c:pt>
                <c:pt idx="468">
                  <c:v>2456843.0094900001</c:v>
                </c:pt>
                <c:pt idx="469">
                  <c:v>2456875.0136000002</c:v>
                </c:pt>
                <c:pt idx="470">
                  <c:v>2456887.00404</c:v>
                </c:pt>
                <c:pt idx="471">
                  <c:v>2457226.9855900002</c:v>
                </c:pt>
                <c:pt idx="472">
                  <c:v>2457281.02575</c:v>
                </c:pt>
                <c:pt idx="473">
                  <c:v>2457283.7695300002</c:v>
                </c:pt>
                <c:pt idx="474">
                  <c:v>2457286.3913699999</c:v>
                </c:pt>
                <c:pt idx="475">
                  <c:v>2457287.9784599999</c:v>
                </c:pt>
                <c:pt idx="476">
                  <c:v>2457289.9140599999</c:v>
                </c:pt>
                <c:pt idx="477">
                  <c:v>2457291.3128900002</c:v>
                </c:pt>
                <c:pt idx="478">
                  <c:v>2457292.9708199999</c:v>
                </c:pt>
                <c:pt idx="479">
                  <c:v>2457294.4292100002</c:v>
                </c:pt>
                <c:pt idx="480">
                  <c:v>2457300.9111199998</c:v>
                </c:pt>
                <c:pt idx="481">
                  <c:v>2457302.2952299998</c:v>
                </c:pt>
                <c:pt idx="482">
                  <c:v>2457305.2265699999</c:v>
                </c:pt>
                <c:pt idx="483">
                  <c:v>2457309.26834</c:v>
                </c:pt>
                <c:pt idx="484">
                  <c:v>2457311.2650000001</c:v>
                </c:pt>
                <c:pt idx="485">
                  <c:v>2457312.9358399999</c:v>
                </c:pt>
                <c:pt idx="486">
                  <c:v>2457493.9792999998</c:v>
                </c:pt>
                <c:pt idx="487">
                  <c:v>2457543.9438</c:v>
                </c:pt>
                <c:pt idx="488">
                  <c:v>2457686.9229299999</c:v>
                </c:pt>
                <c:pt idx="489">
                  <c:v>2457848.9780999999</c:v>
                </c:pt>
                <c:pt idx="490">
                  <c:v>2457852.9555000002</c:v>
                </c:pt>
                <c:pt idx="491">
                  <c:v>2457857.2252000002</c:v>
                </c:pt>
                <c:pt idx="492">
                  <c:v>2457936.0733699999</c:v>
                </c:pt>
              </c:numCache>
            </c:numRef>
          </c:xVal>
          <c:yVal>
            <c:numRef>
              <c:f>V!$C$1:$C$1203</c:f>
              <c:numCache>
                <c:formatCode>General</c:formatCode>
                <c:ptCount val="1203"/>
                <c:pt idx="0">
                  <c:v>12.2</c:v>
                </c:pt>
                <c:pt idx="1">
                  <c:v>11.6</c:v>
                </c:pt>
                <c:pt idx="2">
                  <c:v>11.6</c:v>
                </c:pt>
                <c:pt idx="3">
                  <c:v>11.7</c:v>
                </c:pt>
                <c:pt idx="4">
                  <c:v>13.178000000000001</c:v>
                </c:pt>
                <c:pt idx="5">
                  <c:v>13.179</c:v>
                </c:pt>
                <c:pt idx="6">
                  <c:v>13.211</c:v>
                </c:pt>
                <c:pt idx="7">
                  <c:v>13.214</c:v>
                </c:pt>
                <c:pt idx="8">
                  <c:v>13.5465</c:v>
                </c:pt>
                <c:pt idx="9">
                  <c:v>13.154</c:v>
                </c:pt>
                <c:pt idx="10">
                  <c:v>13.329000000000001</c:v>
                </c:pt>
                <c:pt idx="11">
                  <c:v>13.401999999999999</c:v>
                </c:pt>
                <c:pt idx="12">
                  <c:v>13.077</c:v>
                </c:pt>
                <c:pt idx="13">
                  <c:v>13.098000000000001</c:v>
                </c:pt>
                <c:pt idx="14">
                  <c:v>13.013999999999999</c:v>
                </c:pt>
                <c:pt idx="15">
                  <c:v>13.231</c:v>
                </c:pt>
                <c:pt idx="16">
                  <c:v>12.978</c:v>
                </c:pt>
                <c:pt idx="17">
                  <c:v>13.016</c:v>
                </c:pt>
                <c:pt idx="18">
                  <c:v>13.2</c:v>
                </c:pt>
                <c:pt idx="19">
                  <c:v>13.04</c:v>
                </c:pt>
                <c:pt idx="20">
                  <c:v>13.025</c:v>
                </c:pt>
                <c:pt idx="21">
                  <c:v>12.993</c:v>
                </c:pt>
                <c:pt idx="22">
                  <c:v>12.990667</c:v>
                </c:pt>
                <c:pt idx="23">
                  <c:v>12.999000000000001</c:v>
                </c:pt>
                <c:pt idx="24">
                  <c:v>12.936</c:v>
                </c:pt>
                <c:pt idx="25">
                  <c:v>12.901</c:v>
                </c:pt>
                <c:pt idx="26">
                  <c:v>12.9785</c:v>
                </c:pt>
                <c:pt idx="27">
                  <c:v>12.923999999999999</c:v>
                </c:pt>
                <c:pt idx="28">
                  <c:v>12.893000000000001</c:v>
                </c:pt>
                <c:pt idx="29">
                  <c:v>12.827</c:v>
                </c:pt>
                <c:pt idx="30">
                  <c:v>12.95</c:v>
                </c:pt>
                <c:pt idx="31">
                  <c:v>12.999000000000001</c:v>
                </c:pt>
                <c:pt idx="32">
                  <c:v>12.904999999999999</c:v>
                </c:pt>
                <c:pt idx="33">
                  <c:v>12.7895</c:v>
                </c:pt>
                <c:pt idx="34">
                  <c:v>12.741</c:v>
                </c:pt>
                <c:pt idx="35">
                  <c:v>12.827999999999999</c:v>
                </c:pt>
                <c:pt idx="36">
                  <c:v>12.754</c:v>
                </c:pt>
                <c:pt idx="37">
                  <c:v>12.888</c:v>
                </c:pt>
                <c:pt idx="38">
                  <c:v>12.712</c:v>
                </c:pt>
                <c:pt idx="39">
                  <c:v>12.781000000000001</c:v>
                </c:pt>
                <c:pt idx="40">
                  <c:v>12.782249999999999</c:v>
                </c:pt>
                <c:pt idx="41">
                  <c:v>12.744</c:v>
                </c:pt>
                <c:pt idx="42">
                  <c:v>12.683999999999999</c:v>
                </c:pt>
                <c:pt idx="43">
                  <c:v>12.93</c:v>
                </c:pt>
                <c:pt idx="44">
                  <c:v>12.792999999999999</c:v>
                </c:pt>
                <c:pt idx="45">
                  <c:v>12.651</c:v>
                </c:pt>
                <c:pt idx="46">
                  <c:v>12.7035</c:v>
                </c:pt>
                <c:pt idx="47">
                  <c:v>12.672000000000001</c:v>
                </c:pt>
                <c:pt idx="48">
                  <c:v>12.85</c:v>
                </c:pt>
                <c:pt idx="49">
                  <c:v>12.6305</c:v>
                </c:pt>
                <c:pt idx="50">
                  <c:v>12.670500000000001</c:v>
                </c:pt>
                <c:pt idx="51">
                  <c:v>12.67</c:v>
                </c:pt>
                <c:pt idx="52">
                  <c:v>12.667999999999999</c:v>
                </c:pt>
                <c:pt idx="53">
                  <c:v>12.595000000000001</c:v>
                </c:pt>
                <c:pt idx="54">
                  <c:v>12.731</c:v>
                </c:pt>
                <c:pt idx="55">
                  <c:v>12.653499999999999</c:v>
                </c:pt>
                <c:pt idx="56">
                  <c:v>12.645</c:v>
                </c:pt>
                <c:pt idx="57">
                  <c:v>12.79</c:v>
                </c:pt>
                <c:pt idx="58">
                  <c:v>12.678000000000001</c:v>
                </c:pt>
                <c:pt idx="59">
                  <c:v>12.585000000000001</c:v>
                </c:pt>
                <c:pt idx="60">
                  <c:v>12.657</c:v>
                </c:pt>
                <c:pt idx="61">
                  <c:v>12.613</c:v>
                </c:pt>
                <c:pt idx="62">
                  <c:v>12.906000000000001</c:v>
                </c:pt>
                <c:pt idx="63">
                  <c:v>12.694000000000001</c:v>
                </c:pt>
                <c:pt idx="64">
                  <c:v>12.785</c:v>
                </c:pt>
                <c:pt idx="65">
                  <c:v>12.811999999999999</c:v>
                </c:pt>
                <c:pt idx="66">
                  <c:v>12.725</c:v>
                </c:pt>
                <c:pt idx="67">
                  <c:v>12.811999999999999</c:v>
                </c:pt>
                <c:pt idx="68">
                  <c:v>12.731</c:v>
                </c:pt>
                <c:pt idx="69">
                  <c:v>12.86</c:v>
                </c:pt>
                <c:pt idx="70">
                  <c:v>13.048500000000001</c:v>
                </c:pt>
                <c:pt idx="71">
                  <c:v>12.9505</c:v>
                </c:pt>
                <c:pt idx="72">
                  <c:v>12.965999999999999</c:v>
                </c:pt>
                <c:pt idx="73">
                  <c:v>13.266999999999999</c:v>
                </c:pt>
                <c:pt idx="74">
                  <c:v>13.147500000000001</c:v>
                </c:pt>
                <c:pt idx="75">
                  <c:v>13.196999999999999</c:v>
                </c:pt>
                <c:pt idx="76">
                  <c:v>13.657</c:v>
                </c:pt>
                <c:pt idx="77">
                  <c:v>13.346</c:v>
                </c:pt>
                <c:pt idx="78">
                  <c:v>13.339</c:v>
                </c:pt>
                <c:pt idx="79">
                  <c:v>13.724</c:v>
                </c:pt>
                <c:pt idx="80">
                  <c:v>13.411</c:v>
                </c:pt>
                <c:pt idx="81">
                  <c:v>13.593999999999999</c:v>
                </c:pt>
                <c:pt idx="82">
                  <c:v>13.5</c:v>
                </c:pt>
                <c:pt idx="83">
                  <c:v>13.327999999999999</c:v>
                </c:pt>
                <c:pt idx="84">
                  <c:v>13.26</c:v>
                </c:pt>
                <c:pt idx="85">
                  <c:v>13.523999999999999</c:v>
                </c:pt>
                <c:pt idx="86">
                  <c:v>13.632999999999999</c:v>
                </c:pt>
                <c:pt idx="87">
                  <c:v>13.555999999999999</c:v>
                </c:pt>
                <c:pt idx="88">
                  <c:v>13.646000000000001</c:v>
                </c:pt>
                <c:pt idx="89">
                  <c:v>13.566000000000001</c:v>
                </c:pt>
                <c:pt idx="90">
                  <c:v>13.544</c:v>
                </c:pt>
                <c:pt idx="91">
                  <c:v>13.499000000000001</c:v>
                </c:pt>
                <c:pt idx="92">
                  <c:v>13.691000000000001</c:v>
                </c:pt>
                <c:pt idx="93">
                  <c:v>13.580285999999999</c:v>
                </c:pt>
                <c:pt idx="94">
                  <c:v>13.555999999999999</c:v>
                </c:pt>
                <c:pt idx="95">
                  <c:v>13.543357</c:v>
                </c:pt>
                <c:pt idx="96">
                  <c:v>13.613375</c:v>
                </c:pt>
                <c:pt idx="97">
                  <c:v>13.585667000000001</c:v>
                </c:pt>
                <c:pt idx="98">
                  <c:v>13.429</c:v>
                </c:pt>
                <c:pt idx="99">
                  <c:v>13.449</c:v>
                </c:pt>
                <c:pt idx="100">
                  <c:v>13.343</c:v>
                </c:pt>
                <c:pt idx="101">
                  <c:v>13.429</c:v>
                </c:pt>
                <c:pt idx="102">
                  <c:v>13.486713999999999</c:v>
                </c:pt>
                <c:pt idx="103">
                  <c:v>13.59125</c:v>
                </c:pt>
                <c:pt idx="104">
                  <c:v>13.514749999999999</c:v>
                </c:pt>
                <c:pt idx="105">
                  <c:v>13.452166999999999</c:v>
                </c:pt>
                <c:pt idx="106">
                  <c:v>13.419667</c:v>
                </c:pt>
                <c:pt idx="107">
                  <c:v>13.583</c:v>
                </c:pt>
                <c:pt idx="108">
                  <c:v>13.356332999999999</c:v>
                </c:pt>
                <c:pt idx="109">
                  <c:v>12.816000000000001</c:v>
                </c:pt>
                <c:pt idx="110">
                  <c:v>12.686</c:v>
                </c:pt>
                <c:pt idx="111">
                  <c:v>12.8895</c:v>
                </c:pt>
                <c:pt idx="112">
                  <c:v>12.811999999999999</c:v>
                </c:pt>
                <c:pt idx="113">
                  <c:v>12.7875</c:v>
                </c:pt>
                <c:pt idx="114">
                  <c:v>12.842499999999999</c:v>
                </c:pt>
                <c:pt idx="115">
                  <c:v>12.875</c:v>
                </c:pt>
                <c:pt idx="116">
                  <c:v>12.896000000000001</c:v>
                </c:pt>
                <c:pt idx="117">
                  <c:v>12.911</c:v>
                </c:pt>
                <c:pt idx="118">
                  <c:v>12.804</c:v>
                </c:pt>
                <c:pt idx="119">
                  <c:v>12.832000000000001</c:v>
                </c:pt>
                <c:pt idx="120">
                  <c:v>12.842000000000001</c:v>
                </c:pt>
                <c:pt idx="121">
                  <c:v>12.769</c:v>
                </c:pt>
                <c:pt idx="122">
                  <c:v>12.481</c:v>
                </c:pt>
                <c:pt idx="123">
                  <c:v>12.249499999999999</c:v>
                </c:pt>
                <c:pt idx="124">
                  <c:v>12.170999999999999</c:v>
                </c:pt>
                <c:pt idx="125">
                  <c:v>12.132999999999999</c:v>
                </c:pt>
                <c:pt idx="126">
                  <c:v>12.087999999999999</c:v>
                </c:pt>
                <c:pt idx="127">
                  <c:v>12.097</c:v>
                </c:pt>
                <c:pt idx="128">
                  <c:v>12.07</c:v>
                </c:pt>
                <c:pt idx="129">
                  <c:v>12.04</c:v>
                </c:pt>
                <c:pt idx="130">
                  <c:v>12.0395</c:v>
                </c:pt>
                <c:pt idx="131">
                  <c:v>12.013500000000001</c:v>
                </c:pt>
                <c:pt idx="132">
                  <c:v>12.15</c:v>
                </c:pt>
                <c:pt idx="133">
                  <c:v>12.08</c:v>
                </c:pt>
                <c:pt idx="134">
                  <c:v>12.195</c:v>
                </c:pt>
                <c:pt idx="135">
                  <c:v>12.148999999999999</c:v>
                </c:pt>
                <c:pt idx="136">
                  <c:v>12.3325</c:v>
                </c:pt>
                <c:pt idx="137">
                  <c:v>12.335000000000001</c:v>
                </c:pt>
                <c:pt idx="138">
                  <c:v>12.355</c:v>
                </c:pt>
                <c:pt idx="139">
                  <c:v>12.227</c:v>
                </c:pt>
                <c:pt idx="140">
                  <c:v>12.414</c:v>
                </c:pt>
                <c:pt idx="141">
                  <c:v>12.288</c:v>
                </c:pt>
                <c:pt idx="142">
                  <c:v>12.3835</c:v>
                </c:pt>
                <c:pt idx="143">
                  <c:v>12.46</c:v>
                </c:pt>
                <c:pt idx="144">
                  <c:v>12.337</c:v>
                </c:pt>
                <c:pt idx="145">
                  <c:v>12.311999999999999</c:v>
                </c:pt>
                <c:pt idx="146">
                  <c:v>12.403499999999999</c:v>
                </c:pt>
                <c:pt idx="147">
                  <c:v>12.439</c:v>
                </c:pt>
                <c:pt idx="148">
                  <c:v>12.452</c:v>
                </c:pt>
                <c:pt idx="149">
                  <c:v>12.391500000000001</c:v>
                </c:pt>
                <c:pt idx="150">
                  <c:v>12.42</c:v>
                </c:pt>
                <c:pt idx="151">
                  <c:v>12.554</c:v>
                </c:pt>
                <c:pt idx="152">
                  <c:v>12.445</c:v>
                </c:pt>
                <c:pt idx="153">
                  <c:v>12.436</c:v>
                </c:pt>
                <c:pt idx="154">
                  <c:v>12.537000000000001</c:v>
                </c:pt>
                <c:pt idx="155">
                  <c:v>12.519</c:v>
                </c:pt>
                <c:pt idx="156">
                  <c:v>12.462999999999999</c:v>
                </c:pt>
                <c:pt idx="157">
                  <c:v>12.516</c:v>
                </c:pt>
                <c:pt idx="158">
                  <c:v>12.561</c:v>
                </c:pt>
                <c:pt idx="159">
                  <c:v>12.481</c:v>
                </c:pt>
                <c:pt idx="160">
                  <c:v>12.634</c:v>
                </c:pt>
                <c:pt idx="161">
                  <c:v>12.629</c:v>
                </c:pt>
                <c:pt idx="162">
                  <c:v>12.709</c:v>
                </c:pt>
                <c:pt idx="163">
                  <c:v>12.654</c:v>
                </c:pt>
                <c:pt idx="164">
                  <c:v>12.452999999999999</c:v>
                </c:pt>
                <c:pt idx="165">
                  <c:v>12.662000000000001</c:v>
                </c:pt>
                <c:pt idx="166">
                  <c:v>12.525</c:v>
                </c:pt>
                <c:pt idx="167">
                  <c:v>12.798</c:v>
                </c:pt>
                <c:pt idx="168">
                  <c:v>12.875999999999999</c:v>
                </c:pt>
                <c:pt idx="169">
                  <c:v>12.769</c:v>
                </c:pt>
                <c:pt idx="170">
                  <c:v>12.7</c:v>
                </c:pt>
                <c:pt idx="171">
                  <c:v>12.79</c:v>
                </c:pt>
                <c:pt idx="172">
                  <c:v>12.728</c:v>
                </c:pt>
                <c:pt idx="173">
                  <c:v>12.738</c:v>
                </c:pt>
                <c:pt idx="174">
                  <c:v>13.238</c:v>
                </c:pt>
                <c:pt idx="175">
                  <c:v>13.51</c:v>
                </c:pt>
                <c:pt idx="176">
                  <c:v>13.994999999999999</c:v>
                </c:pt>
                <c:pt idx="177">
                  <c:v>13.837</c:v>
                </c:pt>
                <c:pt idx="178">
                  <c:v>13.740500000000001</c:v>
                </c:pt>
                <c:pt idx="179">
                  <c:v>13.624000000000001</c:v>
                </c:pt>
                <c:pt idx="180">
                  <c:v>13.64</c:v>
                </c:pt>
                <c:pt idx="181">
                  <c:v>13.89</c:v>
                </c:pt>
                <c:pt idx="182">
                  <c:v>13.571999999999999</c:v>
                </c:pt>
                <c:pt idx="183">
                  <c:v>13.646000000000001</c:v>
                </c:pt>
                <c:pt idx="184">
                  <c:v>13.622</c:v>
                </c:pt>
                <c:pt idx="185">
                  <c:v>13.657999999999999</c:v>
                </c:pt>
                <c:pt idx="186">
                  <c:v>13.46</c:v>
                </c:pt>
                <c:pt idx="187">
                  <c:v>13.25</c:v>
                </c:pt>
                <c:pt idx="188">
                  <c:v>13.301</c:v>
                </c:pt>
                <c:pt idx="189">
                  <c:v>13.198</c:v>
                </c:pt>
                <c:pt idx="190">
                  <c:v>13.396000000000001</c:v>
                </c:pt>
                <c:pt idx="191">
                  <c:v>13.109</c:v>
                </c:pt>
                <c:pt idx="192">
                  <c:v>13.067</c:v>
                </c:pt>
                <c:pt idx="193">
                  <c:v>13.31</c:v>
                </c:pt>
                <c:pt idx="194">
                  <c:v>12.833</c:v>
                </c:pt>
                <c:pt idx="195">
                  <c:v>13.058999999999999</c:v>
                </c:pt>
                <c:pt idx="196">
                  <c:v>12.997999999999999</c:v>
                </c:pt>
                <c:pt idx="197">
                  <c:v>13.066000000000001</c:v>
                </c:pt>
                <c:pt idx="198">
                  <c:v>12.974</c:v>
                </c:pt>
                <c:pt idx="199">
                  <c:v>13.138</c:v>
                </c:pt>
                <c:pt idx="200">
                  <c:v>13.289</c:v>
                </c:pt>
                <c:pt idx="201">
                  <c:v>12.843999999999999</c:v>
                </c:pt>
                <c:pt idx="202">
                  <c:v>12.814500000000001</c:v>
                </c:pt>
                <c:pt idx="203">
                  <c:v>12.741</c:v>
                </c:pt>
                <c:pt idx="204">
                  <c:v>12.7865</c:v>
                </c:pt>
                <c:pt idx="205">
                  <c:v>12.8925</c:v>
                </c:pt>
                <c:pt idx="206">
                  <c:v>12.858499999999999</c:v>
                </c:pt>
                <c:pt idx="207">
                  <c:v>12.726000000000001</c:v>
                </c:pt>
                <c:pt idx="208">
                  <c:v>12.833</c:v>
                </c:pt>
                <c:pt idx="209">
                  <c:v>12.266</c:v>
                </c:pt>
                <c:pt idx="210">
                  <c:v>12.271000000000001</c:v>
                </c:pt>
                <c:pt idx="211">
                  <c:v>12.291</c:v>
                </c:pt>
                <c:pt idx="212">
                  <c:v>12.427</c:v>
                </c:pt>
                <c:pt idx="213">
                  <c:v>12.455</c:v>
                </c:pt>
                <c:pt idx="214">
                  <c:v>12.45</c:v>
                </c:pt>
                <c:pt idx="215">
                  <c:v>12.542999999999999</c:v>
                </c:pt>
                <c:pt idx="216">
                  <c:v>12.64</c:v>
                </c:pt>
                <c:pt idx="217">
                  <c:v>12.6105</c:v>
                </c:pt>
                <c:pt idx="218">
                  <c:v>12.554500000000001</c:v>
                </c:pt>
                <c:pt idx="219">
                  <c:v>12.708500000000001</c:v>
                </c:pt>
                <c:pt idx="220">
                  <c:v>12.553000000000001</c:v>
                </c:pt>
                <c:pt idx="221">
                  <c:v>12.615</c:v>
                </c:pt>
                <c:pt idx="222">
                  <c:v>12.644</c:v>
                </c:pt>
                <c:pt idx="223">
                  <c:v>12.715</c:v>
                </c:pt>
                <c:pt idx="224">
                  <c:v>12.693</c:v>
                </c:pt>
                <c:pt idx="225">
                  <c:v>12.654999999999999</c:v>
                </c:pt>
                <c:pt idx="226">
                  <c:v>12.538</c:v>
                </c:pt>
                <c:pt idx="227">
                  <c:v>12.8</c:v>
                </c:pt>
                <c:pt idx="228">
                  <c:v>12.682</c:v>
                </c:pt>
                <c:pt idx="229">
                  <c:v>12.804</c:v>
                </c:pt>
                <c:pt idx="230">
                  <c:v>12.667</c:v>
                </c:pt>
                <c:pt idx="231">
                  <c:v>12.711</c:v>
                </c:pt>
                <c:pt idx="232">
                  <c:v>12.749000000000001</c:v>
                </c:pt>
                <c:pt idx="233">
                  <c:v>12.762</c:v>
                </c:pt>
                <c:pt idx="234">
                  <c:v>12.768000000000001</c:v>
                </c:pt>
                <c:pt idx="235">
                  <c:v>12.814</c:v>
                </c:pt>
                <c:pt idx="236">
                  <c:v>12.805</c:v>
                </c:pt>
                <c:pt idx="237">
                  <c:v>12.75</c:v>
                </c:pt>
                <c:pt idx="238">
                  <c:v>12.808999999999999</c:v>
                </c:pt>
                <c:pt idx="239">
                  <c:v>12.737</c:v>
                </c:pt>
                <c:pt idx="240">
                  <c:v>12.836</c:v>
                </c:pt>
                <c:pt idx="241">
                  <c:v>12.879</c:v>
                </c:pt>
                <c:pt idx="242">
                  <c:v>12.9095</c:v>
                </c:pt>
                <c:pt idx="243">
                  <c:v>12.901</c:v>
                </c:pt>
                <c:pt idx="244">
                  <c:v>12.970499999999999</c:v>
                </c:pt>
                <c:pt idx="245">
                  <c:v>12.907999999999999</c:v>
                </c:pt>
                <c:pt idx="246">
                  <c:v>12.834</c:v>
                </c:pt>
                <c:pt idx="247">
                  <c:v>12.945499999999999</c:v>
                </c:pt>
                <c:pt idx="248">
                  <c:v>12.972</c:v>
                </c:pt>
                <c:pt idx="249">
                  <c:v>12.949</c:v>
                </c:pt>
                <c:pt idx="250">
                  <c:v>12.987500000000001</c:v>
                </c:pt>
                <c:pt idx="251">
                  <c:v>12.9625</c:v>
                </c:pt>
                <c:pt idx="252">
                  <c:v>12.885999999999999</c:v>
                </c:pt>
                <c:pt idx="253">
                  <c:v>13.021000000000001</c:v>
                </c:pt>
                <c:pt idx="254">
                  <c:v>13.0055</c:v>
                </c:pt>
                <c:pt idx="255">
                  <c:v>12.952</c:v>
                </c:pt>
                <c:pt idx="256">
                  <c:v>13.09</c:v>
                </c:pt>
                <c:pt idx="257">
                  <c:v>13.025</c:v>
                </c:pt>
                <c:pt idx="258">
                  <c:v>13.2</c:v>
                </c:pt>
                <c:pt idx="259">
                  <c:v>13.176</c:v>
                </c:pt>
                <c:pt idx="260">
                  <c:v>13.2515</c:v>
                </c:pt>
                <c:pt idx="261">
                  <c:v>13.222</c:v>
                </c:pt>
                <c:pt idx="262">
                  <c:v>13.192</c:v>
                </c:pt>
                <c:pt idx="263">
                  <c:v>13.577500000000001</c:v>
                </c:pt>
                <c:pt idx="264">
                  <c:v>13.411</c:v>
                </c:pt>
                <c:pt idx="265">
                  <c:v>13.397</c:v>
                </c:pt>
                <c:pt idx="266">
                  <c:v>13.97</c:v>
                </c:pt>
                <c:pt idx="267">
                  <c:v>13.451000000000001</c:v>
                </c:pt>
                <c:pt idx="268">
                  <c:v>13.430999999999999</c:v>
                </c:pt>
                <c:pt idx="269">
                  <c:v>13.654</c:v>
                </c:pt>
                <c:pt idx="270">
                  <c:v>13.718999999999999</c:v>
                </c:pt>
                <c:pt idx="271">
                  <c:v>13.509</c:v>
                </c:pt>
                <c:pt idx="272">
                  <c:v>13.507999999999999</c:v>
                </c:pt>
                <c:pt idx="273">
                  <c:v>13.614000000000001</c:v>
                </c:pt>
                <c:pt idx="274">
                  <c:v>13.839</c:v>
                </c:pt>
                <c:pt idx="275">
                  <c:v>13.535</c:v>
                </c:pt>
                <c:pt idx="276">
                  <c:v>13.763</c:v>
                </c:pt>
                <c:pt idx="277">
                  <c:v>13.686500000000001</c:v>
                </c:pt>
                <c:pt idx="278">
                  <c:v>13.5945</c:v>
                </c:pt>
                <c:pt idx="279">
                  <c:v>13.58</c:v>
                </c:pt>
                <c:pt idx="280">
                  <c:v>13.461</c:v>
                </c:pt>
                <c:pt idx="281">
                  <c:v>12.792</c:v>
                </c:pt>
                <c:pt idx="282">
                  <c:v>12.923</c:v>
                </c:pt>
                <c:pt idx="283">
                  <c:v>12.872999999999999</c:v>
                </c:pt>
                <c:pt idx="284">
                  <c:v>12.923</c:v>
                </c:pt>
                <c:pt idx="285">
                  <c:v>12.891999999999999</c:v>
                </c:pt>
                <c:pt idx="286">
                  <c:v>12.792</c:v>
                </c:pt>
                <c:pt idx="287">
                  <c:v>12.925000000000001</c:v>
                </c:pt>
                <c:pt idx="288">
                  <c:v>12.811</c:v>
                </c:pt>
                <c:pt idx="289">
                  <c:v>12.743</c:v>
                </c:pt>
                <c:pt idx="290">
                  <c:v>12.993</c:v>
                </c:pt>
                <c:pt idx="291">
                  <c:v>12.785</c:v>
                </c:pt>
                <c:pt idx="292">
                  <c:v>12.840999999999999</c:v>
                </c:pt>
                <c:pt idx="293">
                  <c:v>12.7235</c:v>
                </c:pt>
                <c:pt idx="294">
                  <c:v>12.622</c:v>
                </c:pt>
                <c:pt idx="295">
                  <c:v>12.843</c:v>
                </c:pt>
                <c:pt idx="296">
                  <c:v>12.861000000000001</c:v>
                </c:pt>
                <c:pt idx="297">
                  <c:v>12.7455</c:v>
                </c:pt>
                <c:pt idx="298">
                  <c:v>12.787000000000001</c:v>
                </c:pt>
                <c:pt idx="299">
                  <c:v>12.829000000000001</c:v>
                </c:pt>
                <c:pt idx="300">
                  <c:v>12.712</c:v>
                </c:pt>
                <c:pt idx="301">
                  <c:v>12.832000000000001</c:v>
                </c:pt>
                <c:pt idx="302">
                  <c:v>12.6785</c:v>
                </c:pt>
                <c:pt idx="303">
                  <c:v>12.725</c:v>
                </c:pt>
                <c:pt idx="304">
                  <c:v>12.808999999999999</c:v>
                </c:pt>
                <c:pt idx="305">
                  <c:v>12.79</c:v>
                </c:pt>
                <c:pt idx="306">
                  <c:v>12.7395</c:v>
                </c:pt>
                <c:pt idx="307">
                  <c:v>12.76</c:v>
                </c:pt>
                <c:pt idx="308">
                  <c:v>12.718999999999999</c:v>
                </c:pt>
                <c:pt idx="309">
                  <c:v>12.8965</c:v>
                </c:pt>
                <c:pt idx="310">
                  <c:v>12.829499999999999</c:v>
                </c:pt>
                <c:pt idx="311">
                  <c:v>12.8345</c:v>
                </c:pt>
                <c:pt idx="312">
                  <c:v>12.9815</c:v>
                </c:pt>
                <c:pt idx="313">
                  <c:v>12.9535</c:v>
                </c:pt>
                <c:pt idx="314">
                  <c:v>12.866</c:v>
                </c:pt>
                <c:pt idx="315">
                  <c:v>13.065</c:v>
                </c:pt>
                <c:pt idx="316">
                  <c:v>12.981</c:v>
                </c:pt>
                <c:pt idx="317">
                  <c:v>12.942</c:v>
                </c:pt>
                <c:pt idx="318">
                  <c:v>13.071</c:v>
                </c:pt>
                <c:pt idx="319">
                  <c:v>13.119</c:v>
                </c:pt>
                <c:pt idx="320">
                  <c:v>12.17</c:v>
                </c:pt>
                <c:pt idx="321">
                  <c:v>12.015000000000001</c:v>
                </c:pt>
                <c:pt idx="322">
                  <c:v>11.79</c:v>
                </c:pt>
                <c:pt idx="323">
                  <c:v>11.94</c:v>
                </c:pt>
                <c:pt idx="324">
                  <c:v>11.89</c:v>
                </c:pt>
                <c:pt idx="325">
                  <c:v>11.84</c:v>
                </c:pt>
                <c:pt idx="326">
                  <c:v>11.83</c:v>
                </c:pt>
                <c:pt idx="327">
                  <c:v>13.582000000000001</c:v>
                </c:pt>
                <c:pt idx="328">
                  <c:v>13.455</c:v>
                </c:pt>
                <c:pt idx="329">
                  <c:v>13.544</c:v>
                </c:pt>
                <c:pt idx="330">
                  <c:v>13.683999999999999</c:v>
                </c:pt>
                <c:pt idx="331">
                  <c:v>13.706</c:v>
                </c:pt>
                <c:pt idx="332">
                  <c:v>13.654</c:v>
                </c:pt>
                <c:pt idx="333">
                  <c:v>13.653</c:v>
                </c:pt>
                <c:pt idx="334">
                  <c:v>13.522</c:v>
                </c:pt>
                <c:pt idx="335">
                  <c:v>13.811999999999999</c:v>
                </c:pt>
                <c:pt idx="336">
                  <c:v>13.502000000000001</c:v>
                </c:pt>
                <c:pt idx="337">
                  <c:v>13.372</c:v>
                </c:pt>
                <c:pt idx="338">
                  <c:v>13.335000000000001</c:v>
                </c:pt>
                <c:pt idx="339">
                  <c:v>13.444000000000001</c:v>
                </c:pt>
                <c:pt idx="340">
                  <c:v>13.476000000000001</c:v>
                </c:pt>
                <c:pt idx="341">
                  <c:v>13.436500000000001</c:v>
                </c:pt>
                <c:pt idx="342">
                  <c:v>13.385999999999999</c:v>
                </c:pt>
                <c:pt idx="343">
                  <c:v>13.441000000000001</c:v>
                </c:pt>
                <c:pt idx="344">
                  <c:v>13.487</c:v>
                </c:pt>
                <c:pt idx="345">
                  <c:v>13.515000000000001</c:v>
                </c:pt>
                <c:pt idx="346">
                  <c:v>13.265000000000001</c:v>
                </c:pt>
                <c:pt idx="347">
                  <c:v>13.265000000000001</c:v>
                </c:pt>
                <c:pt idx="348">
                  <c:v>13.315</c:v>
                </c:pt>
                <c:pt idx="349">
                  <c:v>13.081</c:v>
                </c:pt>
                <c:pt idx="350">
                  <c:v>13.138</c:v>
                </c:pt>
                <c:pt idx="351">
                  <c:v>13.156000000000001</c:v>
                </c:pt>
                <c:pt idx="352">
                  <c:v>13.239000000000001</c:v>
                </c:pt>
                <c:pt idx="353">
                  <c:v>12.932</c:v>
                </c:pt>
                <c:pt idx="354">
                  <c:v>13.029</c:v>
                </c:pt>
                <c:pt idx="355">
                  <c:v>12.851000000000001</c:v>
                </c:pt>
                <c:pt idx="356">
                  <c:v>12.816000000000001</c:v>
                </c:pt>
                <c:pt idx="357">
                  <c:v>13.03</c:v>
                </c:pt>
                <c:pt idx="358">
                  <c:v>12.824999999999999</c:v>
                </c:pt>
                <c:pt idx="359">
                  <c:v>12.798</c:v>
                </c:pt>
                <c:pt idx="360">
                  <c:v>13.002000000000001</c:v>
                </c:pt>
                <c:pt idx="361">
                  <c:v>12.829000000000001</c:v>
                </c:pt>
                <c:pt idx="362">
                  <c:v>12.045999999999999</c:v>
                </c:pt>
                <c:pt idx="363">
                  <c:v>12.239000000000001</c:v>
                </c:pt>
                <c:pt idx="364">
                  <c:v>12.1785</c:v>
                </c:pt>
                <c:pt idx="365">
                  <c:v>12.009</c:v>
                </c:pt>
                <c:pt idx="366">
                  <c:v>11.9505</c:v>
                </c:pt>
                <c:pt idx="367">
                  <c:v>11.83</c:v>
                </c:pt>
                <c:pt idx="368">
                  <c:v>11.7165</c:v>
                </c:pt>
                <c:pt idx="369">
                  <c:v>11.669</c:v>
                </c:pt>
                <c:pt idx="370">
                  <c:v>11.637</c:v>
                </c:pt>
                <c:pt idx="371">
                  <c:v>11.622</c:v>
                </c:pt>
                <c:pt idx="372">
                  <c:v>11.5755</c:v>
                </c:pt>
                <c:pt idx="373">
                  <c:v>12.077999999999999</c:v>
                </c:pt>
                <c:pt idx="374">
                  <c:v>11.547000000000001</c:v>
                </c:pt>
                <c:pt idx="375">
                  <c:v>11.882999999999999</c:v>
                </c:pt>
                <c:pt idx="376">
                  <c:v>11.426500000000001</c:v>
                </c:pt>
                <c:pt idx="377">
                  <c:v>11.345000000000001</c:v>
                </c:pt>
                <c:pt idx="378">
                  <c:v>11.231999999999999</c:v>
                </c:pt>
                <c:pt idx="379">
                  <c:v>11.232333000000001</c:v>
                </c:pt>
                <c:pt idx="380">
                  <c:v>11.233000000000001</c:v>
                </c:pt>
                <c:pt idx="381">
                  <c:v>11.166667</c:v>
                </c:pt>
                <c:pt idx="382">
                  <c:v>11.125</c:v>
                </c:pt>
                <c:pt idx="383">
                  <c:v>11.1435</c:v>
                </c:pt>
                <c:pt idx="384">
                  <c:v>11.188000000000001</c:v>
                </c:pt>
                <c:pt idx="385">
                  <c:v>11.189500000000001</c:v>
                </c:pt>
                <c:pt idx="386">
                  <c:v>11.11</c:v>
                </c:pt>
                <c:pt idx="387">
                  <c:v>11.117000000000001</c:v>
                </c:pt>
                <c:pt idx="388">
                  <c:v>11.154</c:v>
                </c:pt>
                <c:pt idx="389">
                  <c:v>11.12</c:v>
                </c:pt>
                <c:pt idx="390">
                  <c:v>11.170500000000001</c:v>
                </c:pt>
                <c:pt idx="391">
                  <c:v>11.1615</c:v>
                </c:pt>
                <c:pt idx="392">
                  <c:v>11.153</c:v>
                </c:pt>
                <c:pt idx="393">
                  <c:v>11.1935</c:v>
                </c:pt>
                <c:pt idx="394">
                  <c:v>11.206</c:v>
                </c:pt>
                <c:pt idx="395">
                  <c:v>11.11</c:v>
                </c:pt>
                <c:pt idx="396">
                  <c:v>11.034000000000001</c:v>
                </c:pt>
                <c:pt idx="397">
                  <c:v>11.163</c:v>
                </c:pt>
                <c:pt idx="398">
                  <c:v>11.18</c:v>
                </c:pt>
                <c:pt idx="399">
                  <c:v>11.186</c:v>
                </c:pt>
                <c:pt idx="400">
                  <c:v>11.191000000000001</c:v>
                </c:pt>
                <c:pt idx="401">
                  <c:v>11.204000000000001</c:v>
                </c:pt>
                <c:pt idx="402">
                  <c:v>11.227</c:v>
                </c:pt>
                <c:pt idx="403">
                  <c:v>11.292</c:v>
                </c:pt>
                <c:pt idx="404">
                  <c:v>11.244999999999999</c:v>
                </c:pt>
                <c:pt idx="405">
                  <c:v>11.246</c:v>
                </c:pt>
                <c:pt idx="406">
                  <c:v>11.295999999999999</c:v>
                </c:pt>
                <c:pt idx="407">
                  <c:v>11.278</c:v>
                </c:pt>
                <c:pt idx="408">
                  <c:v>11.331</c:v>
                </c:pt>
                <c:pt idx="409">
                  <c:v>11.284000000000001</c:v>
                </c:pt>
                <c:pt idx="410">
                  <c:v>11.3125</c:v>
                </c:pt>
                <c:pt idx="411">
                  <c:v>11.323</c:v>
                </c:pt>
                <c:pt idx="412">
                  <c:v>11.305999999999999</c:v>
                </c:pt>
                <c:pt idx="413">
                  <c:v>11.345000000000001</c:v>
                </c:pt>
                <c:pt idx="414">
                  <c:v>11.347</c:v>
                </c:pt>
                <c:pt idx="415">
                  <c:v>11.372</c:v>
                </c:pt>
                <c:pt idx="416">
                  <c:v>11.411</c:v>
                </c:pt>
                <c:pt idx="417">
                  <c:v>11.436</c:v>
                </c:pt>
                <c:pt idx="418">
                  <c:v>11.458</c:v>
                </c:pt>
                <c:pt idx="419">
                  <c:v>11.481999999999999</c:v>
                </c:pt>
                <c:pt idx="420">
                  <c:v>11.45</c:v>
                </c:pt>
                <c:pt idx="421">
                  <c:v>11.45</c:v>
                </c:pt>
                <c:pt idx="422">
                  <c:v>11.512</c:v>
                </c:pt>
                <c:pt idx="423">
                  <c:v>11.568</c:v>
                </c:pt>
                <c:pt idx="424">
                  <c:v>11.481</c:v>
                </c:pt>
                <c:pt idx="425">
                  <c:v>11.423999999999999</c:v>
                </c:pt>
                <c:pt idx="426">
                  <c:v>11.505000000000001</c:v>
                </c:pt>
                <c:pt idx="427">
                  <c:v>11.531000000000001</c:v>
                </c:pt>
                <c:pt idx="428">
                  <c:v>11.509</c:v>
                </c:pt>
                <c:pt idx="429">
                  <c:v>11.603999999999999</c:v>
                </c:pt>
                <c:pt idx="430">
                  <c:v>11.686999999999999</c:v>
                </c:pt>
                <c:pt idx="431">
                  <c:v>11.62</c:v>
                </c:pt>
                <c:pt idx="432">
                  <c:v>11.664</c:v>
                </c:pt>
                <c:pt idx="433">
                  <c:v>11.616</c:v>
                </c:pt>
                <c:pt idx="434">
                  <c:v>11.708</c:v>
                </c:pt>
                <c:pt idx="435">
                  <c:v>11.788</c:v>
                </c:pt>
                <c:pt idx="436">
                  <c:v>11.911</c:v>
                </c:pt>
                <c:pt idx="437">
                  <c:v>11.753</c:v>
                </c:pt>
                <c:pt idx="438">
                  <c:v>11.765000000000001</c:v>
                </c:pt>
                <c:pt idx="439">
                  <c:v>11.894</c:v>
                </c:pt>
                <c:pt idx="440">
                  <c:v>12.021000000000001</c:v>
                </c:pt>
                <c:pt idx="441">
                  <c:v>11.933999999999999</c:v>
                </c:pt>
                <c:pt idx="442">
                  <c:v>11.939</c:v>
                </c:pt>
                <c:pt idx="443">
                  <c:v>11.3</c:v>
                </c:pt>
                <c:pt idx="444">
                  <c:v>13.2</c:v>
                </c:pt>
                <c:pt idx="445">
                  <c:v>13</c:v>
                </c:pt>
                <c:pt idx="446">
                  <c:v>12.2</c:v>
                </c:pt>
                <c:pt idx="447">
                  <c:v>12.28</c:v>
                </c:pt>
                <c:pt idx="448">
                  <c:v>12.4</c:v>
                </c:pt>
                <c:pt idx="449">
                  <c:v>12.59</c:v>
                </c:pt>
                <c:pt idx="450">
                  <c:v>12.798</c:v>
                </c:pt>
                <c:pt idx="451">
                  <c:v>13.21</c:v>
                </c:pt>
                <c:pt idx="452">
                  <c:v>11.84</c:v>
                </c:pt>
                <c:pt idx="453">
                  <c:v>12.09</c:v>
                </c:pt>
                <c:pt idx="454">
                  <c:v>12.68</c:v>
                </c:pt>
                <c:pt idx="455">
                  <c:v>13.59</c:v>
                </c:pt>
                <c:pt idx="456">
                  <c:v>13.63</c:v>
                </c:pt>
                <c:pt idx="457">
                  <c:v>13.38</c:v>
                </c:pt>
                <c:pt idx="458">
                  <c:v>11.95</c:v>
                </c:pt>
                <c:pt idx="459">
                  <c:v>12</c:v>
                </c:pt>
                <c:pt idx="460">
                  <c:v>12.2</c:v>
                </c:pt>
                <c:pt idx="461">
                  <c:v>12.28</c:v>
                </c:pt>
                <c:pt idx="462">
                  <c:v>12.43</c:v>
                </c:pt>
                <c:pt idx="463">
                  <c:v>12.45</c:v>
                </c:pt>
                <c:pt idx="464">
                  <c:v>12.33</c:v>
                </c:pt>
                <c:pt idx="465">
                  <c:v>12.34</c:v>
                </c:pt>
                <c:pt idx="466">
                  <c:v>12.48</c:v>
                </c:pt>
                <c:pt idx="467">
                  <c:v>12.491</c:v>
                </c:pt>
                <c:pt idx="468">
                  <c:v>12.472</c:v>
                </c:pt>
                <c:pt idx="469">
                  <c:v>12.593</c:v>
                </c:pt>
                <c:pt idx="470">
                  <c:v>12.630385</c:v>
                </c:pt>
                <c:pt idx="471">
                  <c:v>12.761347000000001</c:v>
                </c:pt>
                <c:pt idx="472">
                  <c:v>11.012352999999999</c:v>
                </c:pt>
                <c:pt idx="473">
                  <c:v>11.191000000000001</c:v>
                </c:pt>
                <c:pt idx="474">
                  <c:v>11.211375</c:v>
                </c:pt>
                <c:pt idx="475">
                  <c:v>11.311</c:v>
                </c:pt>
                <c:pt idx="476">
                  <c:v>11.382</c:v>
                </c:pt>
                <c:pt idx="477">
                  <c:v>11.346166999999999</c:v>
                </c:pt>
                <c:pt idx="478">
                  <c:v>11.332000000000001</c:v>
                </c:pt>
                <c:pt idx="479">
                  <c:v>11.354666999999999</c:v>
                </c:pt>
                <c:pt idx="480">
                  <c:v>11.61</c:v>
                </c:pt>
                <c:pt idx="481">
                  <c:v>11.668625</c:v>
                </c:pt>
                <c:pt idx="482">
                  <c:v>11.763286000000001</c:v>
                </c:pt>
                <c:pt idx="483">
                  <c:v>11.721571000000001</c:v>
                </c:pt>
                <c:pt idx="484">
                  <c:v>11.688650000000001</c:v>
                </c:pt>
                <c:pt idx="485">
                  <c:v>11.699</c:v>
                </c:pt>
                <c:pt idx="486">
                  <c:v>12.71</c:v>
                </c:pt>
                <c:pt idx="487">
                  <c:v>12.98</c:v>
                </c:pt>
                <c:pt idx="488">
                  <c:v>13.131</c:v>
                </c:pt>
                <c:pt idx="489">
                  <c:v>11.95</c:v>
                </c:pt>
                <c:pt idx="490">
                  <c:v>11.88</c:v>
                </c:pt>
                <c:pt idx="491">
                  <c:v>11.9</c:v>
                </c:pt>
                <c:pt idx="492">
                  <c:v>12.489000000000001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3F-4AE6-9411-E174B8765B10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noFill/>
              </a:ln>
              <a:effectLst/>
            </c:spPr>
          </c:marker>
          <c:xVal>
            <c:numRef>
              <c:f>Index!$M$24:$M$28</c:f>
              <c:numCache>
                <c:formatCode>0</c:formatCode>
                <c:ptCount val="5"/>
                <c:pt idx="0">
                  <c:v>2456515.4268999998</c:v>
                </c:pt>
                <c:pt idx="1">
                  <c:v>2456834.9572000001</c:v>
                </c:pt>
                <c:pt idx="2">
                  <c:v>2456834.9572000001</c:v>
                </c:pt>
                <c:pt idx="3">
                  <c:v>2456841.0299999998</c:v>
                </c:pt>
                <c:pt idx="4">
                  <c:v>2457936.0772000002</c:v>
                </c:pt>
              </c:numCache>
            </c:numRef>
          </c:xVal>
          <c:yVal>
            <c:numRef>
              <c:f>Index!$N$24:$N$28</c:f>
              <c:numCache>
                <c:formatCode>General</c:formatCode>
                <c:ptCount val="5"/>
                <c:pt idx="0">
                  <c:v>10.5</c:v>
                </c:pt>
                <c:pt idx="1">
                  <c:v>0</c:v>
                </c:pt>
                <c:pt idx="2">
                  <c:v>10.5</c:v>
                </c:pt>
                <c:pt idx="3">
                  <c:v>0</c:v>
                </c:pt>
                <c:pt idx="4">
                  <c:v>10.5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13F-4AE6-9411-E174B8765B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136256"/>
        <c:axId val="480140568"/>
      </c:scatterChart>
      <c:valAx>
        <c:axId val="480136256"/>
        <c:scaling>
          <c:orientation val="minMax"/>
          <c:max val="2458300"/>
          <c:min val="2450999.9999999995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80140568"/>
        <c:crosses val="max"/>
        <c:crossBetween val="midCat"/>
        <c:majorUnit val="3650"/>
      </c:valAx>
      <c:valAx>
        <c:axId val="480140568"/>
        <c:scaling>
          <c:orientation val="maxMin"/>
          <c:max val="14.5"/>
          <c:min val="10.5"/>
        </c:scaling>
        <c:delete val="0"/>
        <c:axPos val="l"/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80136256"/>
        <c:crosses val="autoZero"/>
        <c:crossBetween val="midCat"/>
        <c:majorUnit val="0.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30" dropStyle="combo" dx="16" fmlaLink="$J$9" fmlaRange="$C$16:$C$34" noThreeD="1" sel="4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Style="combo" dx="16" fmlaLink="$E$13" fmlaRange="Feuil1!$B$3:$B$6" noThreeD="1" sel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276225</xdr:colOff>
      <xdr:row>4</xdr:row>
      <xdr:rowOff>171450</xdr:rowOff>
    </xdr:from>
    <xdr:to>
      <xdr:col>14</xdr:col>
      <xdr:colOff>66673</xdr:colOff>
      <xdr:row>14</xdr:row>
      <xdr:rowOff>9525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0</xdr:rowOff>
        </xdr:from>
        <xdr:to>
          <xdr:col>10</xdr:col>
          <xdr:colOff>457200</xdr:colOff>
          <xdr:row>7</xdr:row>
          <xdr:rowOff>57150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552450</xdr:colOff>
          <xdr:row>5</xdr:row>
          <xdr:rowOff>180975</xdr:rowOff>
        </xdr:from>
        <xdr:to>
          <xdr:col>11</xdr:col>
          <xdr:colOff>476250</xdr:colOff>
          <xdr:row>7</xdr:row>
          <xdr:rowOff>66675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6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12</xdr:row>
          <xdr:rowOff>9525</xdr:rowOff>
        </xdr:from>
        <xdr:to>
          <xdr:col>3</xdr:col>
          <xdr:colOff>638175</xdr:colOff>
          <xdr:row>13</xdr:row>
          <xdr:rowOff>9525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Cyg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ICyg_AAVSO_V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Aras_DataBase/Symbiotic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V"/>
      <sheetName val="Vis"/>
      <sheetName val="B-V"/>
      <sheetName val="M"/>
      <sheetName val="Feuil1"/>
      <sheetName val="Feuil2"/>
      <sheetName val="M_Phot"/>
    </sheetNames>
    <sheetDataSet>
      <sheetData sheetId="0"/>
      <sheetData sheetId="1"/>
      <sheetData sheetId="2"/>
      <sheetData sheetId="3"/>
      <sheetData sheetId="4"/>
      <sheetData sheetId="5">
        <row r="3">
          <cell r="A3">
            <v>1</v>
          </cell>
          <cell r="B3" t="str">
            <v>b</v>
          </cell>
        </row>
        <row r="4">
          <cell r="A4">
            <v>2</v>
          </cell>
          <cell r="B4" t="str">
            <v>r</v>
          </cell>
        </row>
        <row r="5">
          <cell r="A5">
            <v>3</v>
          </cell>
          <cell r="B5" t="str">
            <v>k</v>
          </cell>
        </row>
        <row r="6">
          <cell r="A6">
            <v>4</v>
          </cell>
          <cell r="B6" t="str">
            <v>g</v>
          </cell>
        </row>
      </sheetData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Vis"/>
      <sheetName val="V"/>
      <sheetName val="B-V"/>
      <sheetName val="B"/>
      <sheetName val="M"/>
      <sheetName val="CICyg_AAVSO_V"/>
    </sheetNames>
    <definedNames>
      <definedName name="m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Feuil1"/>
      <sheetName val="Data"/>
      <sheetName val="MAJ"/>
      <sheetName val="Alias"/>
      <sheetName val="Sites"/>
      <sheetName val="f1"/>
      <sheetName val="AGDra"/>
      <sheetName val="AGPeg"/>
      <sheetName val="AS270"/>
      <sheetName val="AS289"/>
      <sheetName val="AXPer"/>
      <sheetName val="BDCam"/>
      <sheetName val="BFCyg"/>
      <sheetName val="BXMon"/>
      <sheetName val="CHCyg"/>
      <sheetName val="CICyg"/>
      <sheetName val="CQDra"/>
      <sheetName val="EGAnd"/>
      <sheetName val="ERDel"/>
      <sheetName val="FGSer"/>
      <sheetName val="FNSgr"/>
      <sheetName val="GHGem"/>
      <sheetName val="HMSge"/>
      <sheetName val="IVVir"/>
      <sheetName val="LTDel"/>
      <sheetName val="NQGem"/>
      <sheetName val="OmiCet"/>
      <sheetName val="PUVul"/>
      <sheetName val="QWSge"/>
      <sheetName val="RAqr"/>
      <sheetName val="RSOph"/>
      <sheetName val="RTSer"/>
      <sheetName val="RWHya"/>
      <sheetName val="StHa55"/>
      <sheetName val="StHa149"/>
      <sheetName val="StHa169"/>
      <sheetName val="StHa190"/>
      <sheetName val="SULyn"/>
      <sheetName val="TCrB"/>
      <sheetName val="TXCVn"/>
      <sheetName val="UVAur"/>
      <sheetName val="V335Vul"/>
      <sheetName val="V407Cyg"/>
      <sheetName val="V443Her"/>
      <sheetName val="V471Per"/>
      <sheetName val="V503Her"/>
      <sheetName val="V627Cas"/>
      <sheetName val="V694Mon"/>
      <sheetName val="V919Sgr"/>
      <sheetName val="V934Her"/>
      <sheetName val="V1016Cyg"/>
      <sheetName val="V1413Aql"/>
      <sheetName val="V1329Cyg"/>
      <sheetName val="V1261Ori"/>
      <sheetName val="ZZCMi"/>
      <sheetName val="YYHer"/>
      <sheetName val="ZAn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>
        <row r="13">
          <cell r="B13">
            <v>1</v>
          </cell>
          <cell r="C13">
            <v>41496</v>
          </cell>
          <cell r="D13">
            <v>0.91023148148148147</v>
          </cell>
          <cell r="E13">
            <v>2456515.4268999998</v>
          </cell>
          <cell r="F13" t="str">
            <v>BUI</v>
          </cell>
          <cell r="G13" t="str">
            <v>OHP-FR</v>
          </cell>
          <cell r="H13" t="str">
            <v>CN212ALPY600ATIK6</v>
          </cell>
          <cell r="I13">
            <v>612</v>
          </cell>
          <cell r="J13">
            <v>3798</v>
          </cell>
          <cell r="K13">
            <v>8013</v>
          </cell>
        </row>
        <row r="14">
          <cell r="B14">
            <v>2</v>
          </cell>
          <cell r="C14">
            <v>41816</v>
          </cell>
          <cell r="D14">
            <v>0.44678240740740738</v>
          </cell>
          <cell r="E14">
            <v>2456834.9572000001</v>
          </cell>
          <cell r="F14" t="str">
            <v>TBO</v>
          </cell>
          <cell r="G14" t="str">
            <v>ARM-AU</v>
          </cell>
          <cell r="H14" t="str">
            <v>LISAC11Atik314L+</v>
          </cell>
          <cell r="I14">
            <v>1643</v>
          </cell>
          <cell r="J14">
            <v>3801</v>
          </cell>
          <cell r="K14">
            <v>7250</v>
          </cell>
        </row>
        <row r="15">
          <cell r="B15">
            <v>3</v>
          </cell>
          <cell r="C15">
            <v>41816</v>
          </cell>
          <cell r="D15">
            <v>0.44678240740740738</v>
          </cell>
          <cell r="E15">
            <v>2456834.9572000001</v>
          </cell>
          <cell r="F15" t="str">
            <v>TBO</v>
          </cell>
          <cell r="G15" t="str">
            <v>ARM-AU</v>
          </cell>
          <cell r="H15" t="str">
            <v>LISAC11Atik314L+</v>
          </cell>
          <cell r="I15">
            <v>1643</v>
          </cell>
          <cell r="J15">
            <v>3801</v>
          </cell>
          <cell r="K15">
            <v>7250</v>
          </cell>
        </row>
        <row r="16">
          <cell r="B16">
            <v>4</v>
          </cell>
          <cell r="C16">
            <v>41822</v>
          </cell>
          <cell r="D16">
            <v>0.52475694444444443</v>
          </cell>
          <cell r="E16">
            <v>2456841.0299999998</v>
          </cell>
          <cell r="F16" t="str">
            <v>TBO</v>
          </cell>
          <cell r="G16" t="str">
            <v>ARM-AU</v>
          </cell>
          <cell r="H16" t="str">
            <v>LISAC11Atik314L+</v>
          </cell>
          <cell r="I16">
            <v>1573</v>
          </cell>
          <cell r="J16">
            <v>3800</v>
          </cell>
          <cell r="K16">
            <v>7250</v>
          </cell>
        </row>
        <row r="17">
          <cell r="B17">
            <v>5</v>
          </cell>
          <cell r="C17">
            <v>42917</v>
          </cell>
          <cell r="D17">
            <v>0.56840277777777781</v>
          </cell>
          <cell r="E17">
            <v>2457936.0772000002</v>
          </cell>
          <cell r="F17" t="str">
            <v>TBO</v>
          </cell>
          <cell r="G17" t="str">
            <v>ARM-AU</v>
          </cell>
          <cell r="H17" t="str">
            <v>LISAC11Atik314L+</v>
          </cell>
          <cell r="I17">
            <v>1708</v>
          </cell>
          <cell r="J17">
            <v>3800</v>
          </cell>
          <cell r="K17">
            <v>7267</v>
          </cell>
        </row>
      </sheetData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>
        <row r="13">
          <cell r="B13">
            <v>1</v>
          </cell>
        </row>
      </sheetData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B3:N28"/>
  <sheetViews>
    <sheetView showGridLines="0" tabSelected="1" workbookViewId="0">
      <selection activeCell="K19" sqref="K19"/>
    </sheetView>
  </sheetViews>
  <sheetFormatPr baseColWidth="10" defaultRowHeight="15" x14ac:dyDescent="0.25"/>
  <cols>
    <col min="3" max="3" width="11.85546875" style="4" bestFit="1" customWidth="1"/>
    <col min="5" max="5" width="13" bestFit="1" customWidth="1"/>
  </cols>
  <sheetData>
    <row r="3" spans="8:13" x14ac:dyDescent="0.25">
      <c r="M3" t="s">
        <v>6</v>
      </c>
    </row>
    <row r="7" spans="8:13" x14ac:dyDescent="0.25">
      <c r="H7">
        <v>7437</v>
      </c>
    </row>
    <row r="8" spans="8:13" x14ac:dyDescent="0.25">
      <c r="H8">
        <v>7774</v>
      </c>
    </row>
    <row r="9" spans="8:13" x14ac:dyDescent="0.25">
      <c r="H9">
        <f>+H8-H7</f>
        <v>337</v>
      </c>
    </row>
    <row r="21" spans="2:14" x14ac:dyDescent="0.25">
      <c r="C21" s="4" t="s">
        <v>0</v>
      </c>
    </row>
    <row r="22" spans="2:14" x14ac:dyDescent="0.25">
      <c r="N22">
        <v>10.5</v>
      </c>
    </row>
    <row r="24" spans="2:14" ht="15.75" x14ac:dyDescent="0.25">
      <c r="B24" s="2">
        <f>+[3]FNSgr!B13</f>
        <v>1</v>
      </c>
      <c r="C24" s="2">
        <f>+[3]FNSgr!C13</f>
        <v>41496</v>
      </c>
      <c r="D24" s="2">
        <f>+[3]FNSgr!D13</f>
        <v>0.91023148148148147</v>
      </c>
      <c r="E24" s="2">
        <f>+[3]FNSgr!E13</f>
        <v>2456515.4268999998</v>
      </c>
      <c r="F24" s="2" t="str">
        <f>+[3]FNSgr!F13</f>
        <v>BUI</v>
      </c>
      <c r="G24" s="2" t="str">
        <f>+[3]FNSgr!G13</f>
        <v>OHP-FR</v>
      </c>
      <c r="H24" s="2" t="str">
        <f>+[3]FNSgr!H13</f>
        <v>CN212ALPY600ATIK6</v>
      </c>
      <c r="I24" s="2">
        <f>+[3]FNSgr!I13</f>
        <v>612</v>
      </c>
      <c r="J24" s="2">
        <f>+[3]FNSgr!J13</f>
        <v>3798</v>
      </c>
      <c r="K24" s="2">
        <f>+[3]FNSgr!K13</f>
        <v>8013</v>
      </c>
      <c r="M24" s="3">
        <f>+E24</f>
        <v>2456515.4268999998</v>
      </c>
      <c r="N24">
        <f>+N22</f>
        <v>10.5</v>
      </c>
    </row>
    <row r="25" spans="2:14" ht="15.75" x14ac:dyDescent="0.25">
      <c r="B25" s="2">
        <f>+[3]FNSgr!B14</f>
        <v>2</v>
      </c>
      <c r="C25" s="2">
        <f>+[3]FNSgr!C14</f>
        <v>41816</v>
      </c>
      <c r="D25" s="2">
        <f>+[3]FNSgr!D14</f>
        <v>0.44678240740740738</v>
      </c>
      <c r="E25" s="2">
        <f>+[3]FNSgr!E14</f>
        <v>2456834.9572000001</v>
      </c>
      <c r="F25" s="2" t="str">
        <f>+[3]FNSgr!F14</f>
        <v>TBO</v>
      </c>
      <c r="G25" s="2" t="str">
        <f>+[3]FNSgr!G14</f>
        <v>ARM-AU</v>
      </c>
      <c r="H25" s="2" t="str">
        <f>+[3]FNSgr!H14</f>
        <v>LISAC11Atik314L+</v>
      </c>
      <c r="I25" s="2">
        <f>+[3]FNSgr!I14</f>
        <v>1643</v>
      </c>
      <c r="J25" s="2">
        <f>+[3]FNSgr!J14</f>
        <v>3801</v>
      </c>
      <c r="K25" s="2">
        <f>+[3]FNSgr!K14</f>
        <v>7250</v>
      </c>
      <c r="M25" s="3">
        <f t="shared" ref="M25:M28" si="0">+E25</f>
        <v>2456834.9572000001</v>
      </c>
      <c r="N25">
        <f t="shared" ref="N25:N28" si="1">+N23</f>
        <v>0</v>
      </c>
    </row>
    <row r="26" spans="2:14" ht="15.75" x14ac:dyDescent="0.25">
      <c r="B26" s="2">
        <f>+[3]FNSgr!B15</f>
        <v>3</v>
      </c>
      <c r="C26" s="2">
        <f>+[3]FNSgr!C15</f>
        <v>41816</v>
      </c>
      <c r="D26" s="2">
        <f>+[3]FNSgr!D15</f>
        <v>0.44678240740740738</v>
      </c>
      <c r="E26" s="2">
        <f>+[3]FNSgr!E15</f>
        <v>2456834.9572000001</v>
      </c>
      <c r="F26" s="2" t="str">
        <f>+[3]FNSgr!F15</f>
        <v>TBO</v>
      </c>
      <c r="G26" s="2" t="str">
        <f>+[3]FNSgr!G15</f>
        <v>ARM-AU</v>
      </c>
      <c r="H26" s="2" t="str">
        <f>+[3]FNSgr!H15</f>
        <v>LISAC11Atik314L+</v>
      </c>
      <c r="I26" s="2">
        <f>+[3]FNSgr!I15</f>
        <v>1643</v>
      </c>
      <c r="J26" s="2">
        <f>+[3]FNSgr!J15</f>
        <v>3801</v>
      </c>
      <c r="K26" s="2">
        <f>+[3]FNSgr!K15</f>
        <v>7250</v>
      </c>
      <c r="M26" s="3">
        <f t="shared" si="0"/>
        <v>2456834.9572000001</v>
      </c>
      <c r="N26">
        <f t="shared" si="1"/>
        <v>10.5</v>
      </c>
    </row>
    <row r="27" spans="2:14" ht="15.75" x14ac:dyDescent="0.25">
      <c r="B27" s="2">
        <f>+[3]FNSgr!B16</f>
        <v>4</v>
      </c>
      <c r="C27" s="2">
        <f>+[3]FNSgr!C16</f>
        <v>41822</v>
      </c>
      <c r="D27" s="2">
        <f>+[3]FNSgr!D16</f>
        <v>0.52475694444444443</v>
      </c>
      <c r="E27" s="2">
        <f>+[3]FNSgr!E16</f>
        <v>2456841.0299999998</v>
      </c>
      <c r="F27" s="2" t="str">
        <f>+[3]FNSgr!F16</f>
        <v>TBO</v>
      </c>
      <c r="G27" s="2" t="str">
        <f>+[3]FNSgr!G16</f>
        <v>ARM-AU</v>
      </c>
      <c r="H27" s="2" t="str">
        <f>+[3]FNSgr!H16</f>
        <v>LISAC11Atik314L+</v>
      </c>
      <c r="I27" s="2">
        <f>+[3]FNSgr!I16</f>
        <v>1573</v>
      </c>
      <c r="J27" s="2">
        <f>+[3]FNSgr!J16</f>
        <v>3800</v>
      </c>
      <c r="K27" s="2">
        <f>+[3]FNSgr!K16</f>
        <v>7250</v>
      </c>
      <c r="M27" s="3">
        <f t="shared" si="0"/>
        <v>2456841.0299999998</v>
      </c>
      <c r="N27">
        <f t="shared" si="1"/>
        <v>0</v>
      </c>
    </row>
    <row r="28" spans="2:14" ht="15.75" x14ac:dyDescent="0.25">
      <c r="B28" s="2">
        <f>+[3]FNSgr!B17</f>
        <v>5</v>
      </c>
      <c r="C28" s="2">
        <f>+[3]FNSgr!C17</f>
        <v>42917</v>
      </c>
      <c r="D28" s="2">
        <f>+[3]FNSgr!D17</f>
        <v>0.56840277777777781</v>
      </c>
      <c r="E28" s="2">
        <f>+[3]FNSgr!E17</f>
        <v>2457936.0772000002</v>
      </c>
      <c r="F28" s="2" t="str">
        <f>+[3]FNSgr!F17</f>
        <v>TBO</v>
      </c>
      <c r="G28" s="2" t="str">
        <f>+[3]FNSgr!G17</f>
        <v>ARM-AU</v>
      </c>
      <c r="H28" s="2" t="str">
        <f>+[3]FNSgr!H17</f>
        <v>LISAC11Atik314L+</v>
      </c>
      <c r="I28" s="2">
        <f>+[3]FNSgr!I17</f>
        <v>1708</v>
      </c>
      <c r="J28" s="2">
        <f>+[3]FNSgr!J17</f>
        <v>3800</v>
      </c>
      <c r="K28" s="2">
        <f>+[3]FNSgr!K17</f>
        <v>7267</v>
      </c>
      <c r="M28" s="3">
        <f t="shared" si="0"/>
        <v>2457936.0772000002</v>
      </c>
      <c r="N28">
        <f t="shared" si="1"/>
        <v>10.5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3"/>
  <sheetViews>
    <sheetView workbookViewId="0">
      <selection activeCell="J16" sqref="J16"/>
    </sheetView>
  </sheetViews>
  <sheetFormatPr baseColWidth="10" defaultRowHeight="15" x14ac:dyDescent="0.25"/>
  <cols>
    <col min="1" max="1" width="3" style="5" bestFit="1" customWidth="1"/>
    <col min="2" max="2" width="11.42578125" style="6"/>
    <col min="3" max="3" width="11.42578125" style="5"/>
    <col min="4" max="4" width="5.140625" style="5" bestFit="1" customWidth="1"/>
    <col min="5" max="5" width="6" style="5" bestFit="1" customWidth="1"/>
    <col min="6" max="7" width="5" style="5" bestFit="1" customWidth="1"/>
  </cols>
  <sheetData>
    <row r="1" spans="1:7" ht="15.75" x14ac:dyDescent="0.3">
      <c r="A1" s="7" t="s">
        <v>15</v>
      </c>
      <c r="B1" s="8" t="s">
        <v>16</v>
      </c>
      <c r="C1" s="7" t="s">
        <v>17</v>
      </c>
      <c r="D1" s="7" t="s">
        <v>18</v>
      </c>
      <c r="E1" s="7" t="s">
        <v>19</v>
      </c>
      <c r="F1" s="18" t="s">
        <v>20</v>
      </c>
      <c r="G1" s="18"/>
    </row>
    <row r="2" spans="1:7" x14ac:dyDescent="0.25">
      <c r="A2" s="9">
        <v>22</v>
      </c>
      <c r="B2" s="10">
        <v>42824</v>
      </c>
      <c r="C2" s="9">
        <v>2457843.3245999999</v>
      </c>
      <c r="D2" s="9" t="s">
        <v>13</v>
      </c>
      <c r="E2" s="9">
        <v>16528</v>
      </c>
      <c r="F2" s="9">
        <v>6481</v>
      </c>
      <c r="G2" s="9">
        <v>6634</v>
      </c>
    </row>
    <row r="3" spans="1:7" x14ac:dyDescent="0.25">
      <c r="A3" s="9">
        <v>17</v>
      </c>
      <c r="B3" s="10">
        <v>42821</v>
      </c>
      <c r="C3" s="9">
        <v>2457840.3536</v>
      </c>
      <c r="D3" s="9" t="s">
        <v>10</v>
      </c>
      <c r="E3" s="9">
        <v>11000</v>
      </c>
      <c r="F3" s="9">
        <v>4208</v>
      </c>
      <c r="G3" s="9">
        <v>7396</v>
      </c>
    </row>
    <row r="4" spans="1:7" x14ac:dyDescent="0.25">
      <c r="A4" s="9">
        <v>19</v>
      </c>
      <c r="B4" s="10">
        <v>42822</v>
      </c>
      <c r="C4" s="9">
        <v>2457841.4338000002</v>
      </c>
      <c r="D4" s="9" t="s">
        <v>12</v>
      </c>
      <c r="E4" s="9">
        <v>11000</v>
      </c>
      <c r="F4" s="9">
        <v>4185</v>
      </c>
      <c r="G4" s="9">
        <v>7313</v>
      </c>
    </row>
    <row r="5" spans="1:7" x14ac:dyDescent="0.25">
      <c r="A5" s="9">
        <v>20</v>
      </c>
      <c r="B5" s="10">
        <v>42823</v>
      </c>
      <c r="C5" s="9">
        <v>2457842.33</v>
      </c>
      <c r="D5" s="9" t="s">
        <v>7</v>
      </c>
      <c r="E5" s="9">
        <v>11000</v>
      </c>
      <c r="F5" s="9">
        <v>3979</v>
      </c>
      <c r="G5" s="9">
        <v>7497</v>
      </c>
    </row>
    <row r="6" spans="1:7" x14ac:dyDescent="0.25">
      <c r="A6" s="9">
        <v>21</v>
      </c>
      <c r="B6" s="10">
        <v>42823</v>
      </c>
      <c r="C6" s="9">
        <v>2457842.3690999998</v>
      </c>
      <c r="D6" s="9" t="s">
        <v>13</v>
      </c>
      <c r="E6" s="9">
        <v>5766</v>
      </c>
      <c r="F6" s="9">
        <v>6325</v>
      </c>
      <c r="G6" s="9">
        <v>6797</v>
      </c>
    </row>
    <row r="7" spans="1:7" x14ac:dyDescent="0.25">
      <c r="A7" s="9">
        <v>11</v>
      </c>
      <c r="B7" s="10">
        <v>42805</v>
      </c>
      <c r="C7" s="9">
        <v>2457824.3273</v>
      </c>
      <c r="D7" s="9" t="s">
        <v>7</v>
      </c>
      <c r="E7" s="9">
        <v>992</v>
      </c>
      <c r="F7" s="9">
        <v>3745</v>
      </c>
      <c r="G7" s="9">
        <v>7419</v>
      </c>
    </row>
    <row r="8" spans="1:7" x14ac:dyDescent="0.25">
      <c r="A8" s="9">
        <v>12</v>
      </c>
      <c r="B8" s="10">
        <v>42809</v>
      </c>
      <c r="C8" s="9">
        <v>2457828.3292999999</v>
      </c>
      <c r="D8" s="9" t="s">
        <v>7</v>
      </c>
      <c r="E8" s="9">
        <v>953</v>
      </c>
      <c r="F8" s="9">
        <v>3629</v>
      </c>
      <c r="G8" s="9">
        <v>7419</v>
      </c>
    </row>
    <row r="9" spans="1:7" x14ac:dyDescent="0.25">
      <c r="A9" s="9">
        <v>13</v>
      </c>
      <c r="B9" s="10">
        <v>42812</v>
      </c>
      <c r="C9" s="9">
        <v>2457831.3051</v>
      </c>
      <c r="D9" s="9" t="s">
        <v>7</v>
      </c>
      <c r="E9" s="9">
        <v>1148</v>
      </c>
      <c r="F9" s="9">
        <v>3837</v>
      </c>
      <c r="G9" s="9">
        <v>7394</v>
      </c>
    </row>
    <row r="10" spans="1:7" x14ac:dyDescent="0.25">
      <c r="A10" s="9">
        <v>14</v>
      </c>
      <c r="B10" s="10">
        <v>42814</v>
      </c>
      <c r="C10" s="9">
        <v>2457833.3982000002</v>
      </c>
      <c r="D10" s="9" t="s">
        <v>8</v>
      </c>
      <c r="E10" s="9">
        <v>876</v>
      </c>
      <c r="F10" s="9">
        <v>3906</v>
      </c>
      <c r="G10" s="9">
        <v>7463</v>
      </c>
    </row>
    <row r="11" spans="1:7" x14ac:dyDescent="0.25">
      <c r="A11" s="9">
        <v>16</v>
      </c>
      <c r="B11" s="10">
        <v>42816</v>
      </c>
      <c r="C11" s="9">
        <v>2457835.3824999998</v>
      </c>
      <c r="D11" s="9" t="s">
        <v>9</v>
      </c>
      <c r="E11" s="9">
        <v>1000</v>
      </c>
      <c r="F11" s="9">
        <v>3901</v>
      </c>
      <c r="G11" s="9">
        <v>7370</v>
      </c>
    </row>
    <row r="12" spans="1:7" x14ac:dyDescent="0.25">
      <c r="A12" s="9">
        <v>18</v>
      </c>
      <c r="B12" s="10">
        <v>42822</v>
      </c>
      <c r="C12" s="9">
        <v>2457841.3316000002</v>
      </c>
      <c r="D12" s="9" t="s">
        <v>11</v>
      </c>
      <c r="E12" s="9">
        <v>1000</v>
      </c>
      <c r="F12" s="9">
        <v>4000</v>
      </c>
      <c r="G12" s="9">
        <v>7501</v>
      </c>
    </row>
    <row r="13" spans="1:7" x14ac:dyDescent="0.25">
      <c r="A13" s="9">
        <v>23</v>
      </c>
      <c r="B13" s="10">
        <v>42824</v>
      </c>
      <c r="C13" s="9">
        <v>2457843.3396000001</v>
      </c>
      <c r="D13" s="9" t="s">
        <v>14</v>
      </c>
      <c r="E13" s="9">
        <v>916</v>
      </c>
      <c r="F13" s="9">
        <v>3568</v>
      </c>
      <c r="G13" s="9">
        <v>7372</v>
      </c>
    </row>
  </sheetData>
  <sortState ref="A7:G13">
    <sortCondition ref="B7:B13"/>
  </sortState>
  <mergeCells count="1">
    <mergeCell ref="F1:G1"/>
  </mergeCells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A1167"/>
  <sheetViews>
    <sheetView workbookViewId="0">
      <selection activeCell="H12" sqref="H12"/>
    </sheetView>
  </sheetViews>
  <sheetFormatPr baseColWidth="10" defaultRowHeight="15" x14ac:dyDescent="0.25"/>
  <cols>
    <col min="1" max="1" width="13.5703125" bestFit="1" customWidth="1"/>
    <col min="2" max="2" width="16.28515625" customWidth="1"/>
    <col min="3" max="3" width="22.28515625" customWidth="1"/>
    <col min="4" max="4" width="8.5703125" bestFit="1" customWidth="1"/>
    <col min="5" max="5" width="10" bestFit="1" customWidth="1"/>
    <col min="6" max="6" width="6.140625" bestFit="1" customWidth="1"/>
    <col min="7" max="7" width="11.42578125" customWidth="1"/>
  </cols>
  <sheetData>
    <row r="1" spans="1:27" ht="18" customHeight="1" x14ac:dyDescent="0.25">
      <c r="A1" s="1">
        <v>2451466.5277999998</v>
      </c>
      <c r="B1" s="1" t="s">
        <v>93</v>
      </c>
      <c r="C1" s="1">
        <v>12.2</v>
      </c>
      <c r="D1" s="1">
        <v>0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ht="18" customHeight="1" x14ac:dyDescent="0.25">
      <c r="A2" s="1">
        <v>2451714.7492999998</v>
      </c>
      <c r="B2" s="1" t="s">
        <v>94</v>
      </c>
      <c r="C2" s="1">
        <v>11.6</v>
      </c>
      <c r="D2" s="1">
        <v>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ht="18" customHeight="1" x14ac:dyDescent="0.25">
      <c r="A3" s="1">
        <v>2451799.0646000002</v>
      </c>
      <c r="B3" s="1" t="s">
        <v>95</v>
      </c>
      <c r="C3" s="1">
        <v>11.6</v>
      </c>
      <c r="D3" s="1">
        <v>0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ht="18" customHeight="1" x14ac:dyDescent="0.25">
      <c r="A4" s="1">
        <v>2451808.0277999998</v>
      </c>
      <c r="B4" s="1" t="s">
        <v>96</v>
      </c>
      <c r="C4" s="1">
        <v>11.7</v>
      </c>
      <c r="D4" s="1">
        <v>0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ht="18" customHeight="1" x14ac:dyDescent="0.25">
      <c r="A5" s="1">
        <v>2451963.89493</v>
      </c>
      <c r="B5" s="1" t="s">
        <v>97</v>
      </c>
      <c r="C5" s="1">
        <v>13.178000000000001</v>
      </c>
      <c r="D5" s="1">
        <v>0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ht="18" customHeight="1" x14ac:dyDescent="0.25">
      <c r="A6" s="1">
        <v>2451964.90515</v>
      </c>
      <c r="B6" s="1" t="s">
        <v>98</v>
      </c>
      <c r="C6" s="1">
        <v>13.179</v>
      </c>
      <c r="D6" s="1">
        <v>0</v>
      </c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ht="18" customHeight="1" x14ac:dyDescent="0.25">
      <c r="A7" s="1">
        <v>2451967.8988700002</v>
      </c>
      <c r="B7" s="1" t="s">
        <v>99</v>
      </c>
      <c r="C7" s="1">
        <v>13.211</v>
      </c>
      <c r="D7" s="1">
        <v>0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 ht="18" customHeight="1" x14ac:dyDescent="0.25">
      <c r="A8" s="1">
        <v>2451978.9002399999</v>
      </c>
      <c r="B8" s="1" t="s">
        <v>100</v>
      </c>
      <c r="C8" s="1">
        <v>13.214</v>
      </c>
      <c r="D8" s="1">
        <v>0</v>
      </c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 ht="18" customHeight="1" x14ac:dyDescent="0.25">
      <c r="A9" s="1">
        <v>2451981.36356</v>
      </c>
      <c r="B9" s="1" t="s">
        <v>101</v>
      </c>
      <c r="C9" s="1">
        <v>13.5465</v>
      </c>
      <c r="D9" s="1">
        <v>2.35E-2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ht="18" customHeight="1" x14ac:dyDescent="0.25">
      <c r="A10" s="1">
        <v>2451982.8621</v>
      </c>
      <c r="B10" s="1" t="s">
        <v>102</v>
      </c>
      <c r="C10" s="1">
        <v>13.154</v>
      </c>
      <c r="D10" s="1">
        <v>0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ht="18" customHeight="1" x14ac:dyDescent="0.25">
      <c r="A11" s="1">
        <v>2451994.8498800001</v>
      </c>
      <c r="B11" s="1" t="s">
        <v>103</v>
      </c>
      <c r="C11" s="1">
        <v>13.329000000000001</v>
      </c>
      <c r="D11" s="1">
        <v>0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ht="18" customHeight="1" x14ac:dyDescent="0.25">
      <c r="A12" s="1">
        <v>2451996.84938</v>
      </c>
      <c r="B12" s="1" t="s">
        <v>104</v>
      </c>
      <c r="C12" s="1">
        <v>13.401999999999999</v>
      </c>
      <c r="D12" s="1">
        <v>0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ht="18" customHeight="1" x14ac:dyDescent="0.25">
      <c r="A13" s="1">
        <v>2451998.8415700002</v>
      </c>
      <c r="B13" s="1" t="s">
        <v>105</v>
      </c>
      <c r="C13" s="1">
        <v>13.077</v>
      </c>
      <c r="D13" s="1">
        <v>0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ht="18" customHeight="1" x14ac:dyDescent="0.25">
      <c r="A14" s="1">
        <v>2452000.84357</v>
      </c>
      <c r="B14" s="1" t="s">
        <v>106</v>
      </c>
      <c r="C14" s="1">
        <v>13.098000000000001</v>
      </c>
      <c r="D14" s="1">
        <v>0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ht="18" customHeight="1" x14ac:dyDescent="0.25">
      <c r="A15" s="1">
        <v>2452009.84027</v>
      </c>
      <c r="B15" s="1" t="s">
        <v>107</v>
      </c>
      <c r="C15" s="1">
        <v>13.013999999999999</v>
      </c>
      <c r="D15" s="1">
        <v>0</v>
      </c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ht="18" customHeight="1" x14ac:dyDescent="0.25">
      <c r="A16" s="1">
        <v>2452016.8130100002</v>
      </c>
      <c r="B16" s="1" t="s">
        <v>108</v>
      </c>
      <c r="C16" s="1">
        <v>13.231</v>
      </c>
      <c r="D16" s="1">
        <v>0</v>
      </c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ht="18" customHeight="1" x14ac:dyDescent="0.25">
      <c r="A17" s="1">
        <v>2452025.8091099998</v>
      </c>
      <c r="B17" s="1" t="s">
        <v>109</v>
      </c>
      <c r="C17" s="1">
        <v>12.978</v>
      </c>
      <c r="D17" s="1">
        <v>0</v>
      </c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ht="18" customHeight="1" x14ac:dyDescent="0.25">
      <c r="A18" s="1">
        <v>2452026.83855</v>
      </c>
      <c r="B18" s="1" t="s">
        <v>110</v>
      </c>
      <c r="C18" s="1">
        <v>13.016</v>
      </c>
      <c r="D18" s="1">
        <v>0</v>
      </c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ht="18" customHeight="1" x14ac:dyDescent="0.25">
      <c r="A19" s="1">
        <v>2452028.8457999998</v>
      </c>
      <c r="B19" s="1" t="s">
        <v>111</v>
      </c>
      <c r="C19" s="1">
        <v>13.2</v>
      </c>
      <c r="D19" s="1">
        <v>0</v>
      </c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ht="18" customHeight="1" x14ac:dyDescent="0.25">
      <c r="A20" s="1">
        <v>2452030.7952100001</v>
      </c>
      <c r="B20" s="1" t="s">
        <v>112</v>
      </c>
      <c r="C20" s="1">
        <v>13.04</v>
      </c>
      <c r="D20" s="1">
        <v>0</v>
      </c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ht="18" customHeight="1" x14ac:dyDescent="0.25">
      <c r="A21" s="1">
        <v>2452031.8067100001</v>
      </c>
      <c r="B21" s="1" t="s">
        <v>113</v>
      </c>
      <c r="C21" s="1">
        <v>13.025</v>
      </c>
      <c r="D21" s="1">
        <v>0</v>
      </c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ht="18" customHeight="1" x14ac:dyDescent="0.25">
      <c r="A22" s="1">
        <v>2452033.2877199999</v>
      </c>
      <c r="B22" s="1" t="s">
        <v>114</v>
      </c>
      <c r="C22" s="1">
        <v>12.993</v>
      </c>
      <c r="D22" s="1">
        <v>0.04</v>
      </c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ht="18" customHeight="1" x14ac:dyDescent="0.25">
      <c r="A23" s="1">
        <v>2452037.79574</v>
      </c>
      <c r="B23" s="1" t="s">
        <v>115</v>
      </c>
      <c r="C23" s="1">
        <v>12.990667</v>
      </c>
      <c r="D23" s="1">
        <v>0.100953</v>
      </c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ht="18" customHeight="1" x14ac:dyDescent="0.25">
      <c r="A24" s="1">
        <v>2452052.7384799998</v>
      </c>
      <c r="B24" s="1" t="s">
        <v>116</v>
      </c>
      <c r="C24" s="1">
        <v>12.999000000000001</v>
      </c>
      <c r="D24" s="1">
        <v>0</v>
      </c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ht="18" customHeight="1" x14ac:dyDescent="0.25">
      <c r="A25" s="1">
        <v>2452053.7511800001</v>
      </c>
      <c r="B25" s="1" t="s">
        <v>117</v>
      </c>
      <c r="C25" s="1">
        <v>12.936</v>
      </c>
      <c r="D25" s="1">
        <v>0</v>
      </c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ht="18" customHeight="1" x14ac:dyDescent="0.25">
      <c r="A26" s="1">
        <v>2452055.2402599999</v>
      </c>
      <c r="B26" s="1" t="s">
        <v>118</v>
      </c>
      <c r="C26" s="1">
        <v>12.901</v>
      </c>
      <c r="D26" s="1">
        <v>0.105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ht="18" customHeight="1" x14ac:dyDescent="0.25">
      <c r="A27" s="1">
        <v>2452057.2335899998</v>
      </c>
      <c r="B27" s="1" t="s">
        <v>119</v>
      </c>
      <c r="C27" s="1">
        <v>12.9785</v>
      </c>
      <c r="D27" s="1">
        <v>7.4999999999999997E-3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ht="18" customHeight="1" x14ac:dyDescent="0.25">
      <c r="A28" s="1">
        <v>2452058.7327800002</v>
      </c>
      <c r="B28" s="1" t="s">
        <v>120</v>
      </c>
      <c r="C28" s="1">
        <v>12.923999999999999</v>
      </c>
      <c r="D28" s="1">
        <v>0</v>
      </c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ht="18" customHeight="1" x14ac:dyDescent="0.25">
      <c r="A29" s="1">
        <v>2452061.7256999998</v>
      </c>
      <c r="B29" s="1" t="s">
        <v>121</v>
      </c>
      <c r="C29" s="1">
        <v>12.893000000000001</v>
      </c>
      <c r="D29" s="1">
        <v>0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ht="18" customHeight="1" x14ac:dyDescent="0.25">
      <c r="A30" s="1">
        <v>2452070.7592000002</v>
      </c>
      <c r="B30" s="1" t="s">
        <v>122</v>
      </c>
      <c r="C30" s="1">
        <v>12.827</v>
      </c>
      <c r="D30" s="1">
        <v>0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ht="18" customHeight="1" x14ac:dyDescent="0.25">
      <c r="A31" s="1">
        <v>2452078.7507000002</v>
      </c>
      <c r="B31" s="1" t="s">
        <v>123</v>
      </c>
      <c r="C31" s="1">
        <v>12.95</v>
      </c>
      <c r="D31" s="1">
        <v>0</v>
      </c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ht="18" customHeight="1" x14ac:dyDescent="0.25">
      <c r="A32" s="1">
        <v>2452080.6364799999</v>
      </c>
      <c r="B32" s="1" t="s">
        <v>124</v>
      </c>
      <c r="C32" s="1">
        <v>12.999000000000001</v>
      </c>
      <c r="D32" s="1">
        <v>7.2999999999999995E-2</v>
      </c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ht="18" customHeight="1" x14ac:dyDescent="0.25">
      <c r="A33" s="1">
        <v>2452081.6751000001</v>
      </c>
      <c r="B33" s="1" t="s">
        <v>125</v>
      </c>
      <c r="C33" s="1">
        <v>12.904999999999999</v>
      </c>
      <c r="D33" s="1">
        <v>0</v>
      </c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ht="18" customHeight="1" x14ac:dyDescent="0.25">
      <c r="A34" s="1">
        <v>2452082.6951700002</v>
      </c>
      <c r="B34" s="1" t="s">
        <v>126</v>
      </c>
      <c r="C34" s="1">
        <v>12.7895</v>
      </c>
      <c r="D34" s="1">
        <v>2.35E-2</v>
      </c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ht="18" customHeight="1" x14ac:dyDescent="0.25">
      <c r="A35" s="1">
        <v>2452085.6661</v>
      </c>
      <c r="B35" s="1" t="s">
        <v>127</v>
      </c>
      <c r="C35" s="1">
        <v>12.741</v>
      </c>
      <c r="D35" s="1">
        <v>0</v>
      </c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ht="18" customHeight="1" x14ac:dyDescent="0.25">
      <c r="A36" s="1">
        <v>2452086.6910999999</v>
      </c>
      <c r="B36" s="1" t="s">
        <v>128</v>
      </c>
      <c r="C36" s="1">
        <v>12.827999999999999</v>
      </c>
      <c r="D36" s="1">
        <v>4.4999999999999998E-2</v>
      </c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ht="18" customHeight="1" x14ac:dyDescent="0.25">
      <c r="A37" s="1">
        <v>2452088.1608500001</v>
      </c>
      <c r="B37" s="1" t="s">
        <v>129</v>
      </c>
      <c r="C37" s="1">
        <v>12.754</v>
      </c>
      <c r="D37" s="1">
        <v>1.7000000000000001E-2</v>
      </c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ht="18" customHeight="1" x14ac:dyDescent="0.25">
      <c r="A38" s="1">
        <v>2452093.5979900002</v>
      </c>
      <c r="B38" s="1" t="s">
        <v>130</v>
      </c>
      <c r="C38" s="1">
        <v>12.888</v>
      </c>
      <c r="D38" s="1">
        <v>0</v>
      </c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ht="18" customHeight="1" x14ac:dyDescent="0.25">
      <c r="A39" s="1">
        <v>2452102.6176700001</v>
      </c>
      <c r="B39" s="1" t="s">
        <v>131</v>
      </c>
      <c r="C39" s="1">
        <v>12.712</v>
      </c>
      <c r="D39" s="1">
        <v>2.8000000000000001E-2</v>
      </c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ht="18" customHeight="1" x14ac:dyDescent="0.25">
      <c r="A40" s="1">
        <v>2452103.6340000001</v>
      </c>
      <c r="B40" s="1" t="s">
        <v>132</v>
      </c>
      <c r="C40" s="1">
        <v>12.781000000000001</v>
      </c>
      <c r="D40" s="1">
        <v>0</v>
      </c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ht="18" customHeight="1" x14ac:dyDescent="0.25">
      <c r="A41" s="1">
        <v>2452105.1304799998</v>
      </c>
      <c r="B41" s="1" t="s">
        <v>133</v>
      </c>
      <c r="C41" s="1">
        <v>12.782249999999999</v>
      </c>
      <c r="D41" s="1">
        <v>1.7322000000000001E-2</v>
      </c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ht="18" customHeight="1" x14ac:dyDescent="0.25">
      <c r="A42" s="1">
        <v>2452106.6262400001</v>
      </c>
      <c r="B42" s="1" t="s">
        <v>134</v>
      </c>
      <c r="C42" s="1">
        <v>12.744</v>
      </c>
      <c r="D42" s="1">
        <v>5.2999999999999999E-2</v>
      </c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ht="18" customHeight="1" x14ac:dyDescent="0.25">
      <c r="A43" s="1">
        <v>2452109.6224099998</v>
      </c>
      <c r="B43" s="1" t="s">
        <v>135</v>
      </c>
      <c r="C43" s="1">
        <v>12.683999999999999</v>
      </c>
      <c r="D43" s="1">
        <v>2.1000000000000001E-2</v>
      </c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ht="18" customHeight="1" x14ac:dyDescent="0.25">
      <c r="A44" s="1">
        <v>2452110.6617999999</v>
      </c>
      <c r="B44" s="1" t="s">
        <v>136</v>
      </c>
      <c r="C44" s="1">
        <v>12.93</v>
      </c>
      <c r="D44" s="1">
        <v>0</v>
      </c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ht="18" customHeight="1" x14ac:dyDescent="0.25">
      <c r="A45" s="1">
        <v>2452115.5791000002</v>
      </c>
      <c r="B45" s="1" t="s">
        <v>137</v>
      </c>
      <c r="C45" s="1">
        <v>12.792999999999999</v>
      </c>
      <c r="D45" s="1">
        <v>4.7E-2</v>
      </c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ht="18" customHeight="1" x14ac:dyDescent="0.25">
      <c r="A46" s="1">
        <v>2452116.9257100001</v>
      </c>
      <c r="B46" s="1" t="s">
        <v>138</v>
      </c>
      <c r="C46" s="1">
        <v>12.651</v>
      </c>
      <c r="D46" s="1">
        <v>1.3795999999999999E-2</v>
      </c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1:27" ht="18" customHeight="1" x14ac:dyDescent="0.25">
      <c r="A47" s="1">
        <v>2452125.5842900001</v>
      </c>
      <c r="B47" s="1" t="s">
        <v>139</v>
      </c>
      <c r="C47" s="1">
        <v>12.7035</v>
      </c>
      <c r="D47" s="1">
        <v>5.7500000000000002E-2</v>
      </c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1:27" ht="18" customHeight="1" x14ac:dyDescent="0.25">
      <c r="A48" s="1">
        <v>2452128.57583</v>
      </c>
      <c r="B48" s="1" t="s">
        <v>140</v>
      </c>
      <c r="C48" s="1">
        <v>12.672000000000001</v>
      </c>
      <c r="D48" s="1">
        <v>0</v>
      </c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1:27" ht="18" customHeight="1" x14ac:dyDescent="0.25">
      <c r="A49" s="1">
        <v>2452129.6246000002</v>
      </c>
      <c r="B49" s="1" t="s">
        <v>141</v>
      </c>
      <c r="C49" s="1">
        <v>12.85</v>
      </c>
      <c r="D49" s="1">
        <v>0.05</v>
      </c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1:27" ht="18" customHeight="1" x14ac:dyDescent="0.25">
      <c r="A50" s="1">
        <v>2452131.0770100001</v>
      </c>
      <c r="B50" s="1" t="s">
        <v>142</v>
      </c>
      <c r="C50" s="1">
        <v>12.6305</v>
      </c>
      <c r="D50" s="1">
        <v>3.5000000000000001E-3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1:27" ht="18" customHeight="1" x14ac:dyDescent="0.25">
      <c r="A51" s="1">
        <v>2452133.0729299998</v>
      </c>
      <c r="B51" s="1" t="s">
        <v>143</v>
      </c>
      <c r="C51" s="1">
        <v>12.670500000000001</v>
      </c>
      <c r="D51" s="1">
        <v>5.9499999999999997E-2</v>
      </c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1:27" ht="18" customHeight="1" x14ac:dyDescent="0.25">
      <c r="A52" s="1">
        <v>2452134.57192</v>
      </c>
      <c r="B52" s="1" t="s">
        <v>144</v>
      </c>
      <c r="C52" s="1">
        <v>12.67</v>
      </c>
      <c r="D52" s="1">
        <v>9.2999999999999999E-2</v>
      </c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1:27" ht="18" customHeight="1" x14ac:dyDescent="0.25">
      <c r="A53" s="1">
        <v>2452136.0668500001</v>
      </c>
      <c r="B53" s="1" t="s">
        <v>145</v>
      </c>
      <c r="C53" s="1">
        <v>12.667999999999999</v>
      </c>
      <c r="D53" s="1">
        <v>3.9E-2</v>
      </c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1:27" ht="18" customHeight="1" x14ac:dyDescent="0.25">
      <c r="A54" s="1">
        <v>2452140.5400999999</v>
      </c>
      <c r="B54" s="1" t="s">
        <v>146</v>
      </c>
      <c r="C54" s="1">
        <v>12.595000000000001</v>
      </c>
      <c r="D54" s="1">
        <v>0</v>
      </c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1:27" ht="18" customHeight="1" x14ac:dyDescent="0.25">
      <c r="A55" s="1">
        <v>2452141.5586899999</v>
      </c>
      <c r="B55" s="1" t="s">
        <v>147</v>
      </c>
      <c r="C55" s="1">
        <v>12.731</v>
      </c>
      <c r="D55" s="1">
        <v>0</v>
      </c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1:27" ht="18" customHeight="1" x14ac:dyDescent="0.25">
      <c r="A56" s="1">
        <v>2452143.0498000002</v>
      </c>
      <c r="B56" s="1" t="s">
        <v>148</v>
      </c>
      <c r="C56" s="1">
        <v>12.653499999999999</v>
      </c>
      <c r="D56" s="1">
        <v>2.8500000000000001E-2</v>
      </c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1:27" ht="18" customHeight="1" x14ac:dyDescent="0.25">
      <c r="A57" s="1">
        <v>2452145.0423300001</v>
      </c>
      <c r="B57" s="1" t="s">
        <v>149</v>
      </c>
      <c r="C57" s="1">
        <v>12.645</v>
      </c>
      <c r="D57" s="1">
        <v>8.5000000000000006E-2</v>
      </c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1:27" ht="18" customHeight="1" x14ac:dyDescent="0.25">
      <c r="A58" s="1">
        <v>2452147.6006999998</v>
      </c>
      <c r="B58" s="1" t="s">
        <v>150</v>
      </c>
      <c r="C58" s="1">
        <v>12.79</v>
      </c>
      <c r="D58" s="1">
        <v>0</v>
      </c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1:27" ht="18" customHeight="1" x14ac:dyDescent="0.25">
      <c r="A59" s="1">
        <v>2452156.5062000002</v>
      </c>
      <c r="B59" s="1" t="s">
        <v>151</v>
      </c>
      <c r="C59" s="1">
        <v>12.678000000000001</v>
      </c>
      <c r="D59" s="1">
        <v>0</v>
      </c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1:27" ht="18" customHeight="1" x14ac:dyDescent="0.25">
      <c r="A60" s="1">
        <v>2452167.4853099999</v>
      </c>
      <c r="B60" s="1" t="s">
        <v>152</v>
      </c>
      <c r="C60" s="1">
        <v>12.585000000000001</v>
      </c>
      <c r="D60" s="1">
        <v>0</v>
      </c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1:27" ht="18" customHeight="1" x14ac:dyDescent="0.25">
      <c r="A61" s="1">
        <v>2452171.48697</v>
      </c>
      <c r="B61" s="1" t="s">
        <v>153</v>
      </c>
      <c r="C61" s="1">
        <v>12.657</v>
      </c>
      <c r="D61" s="1">
        <v>0</v>
      </c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1:27" ht="18" customHeight="1" x14ac:dyDescent="0.25">
      <c r="A62" s="1">
        <v>2452173.5392100001</v>
      </c>
      <c r="B62" s="1" t="s">
        <v>154</v>
      </c>
      <c r="C62" s="1">
        <v>12.613</v>
      </c>
      <c r="D62" s="1">
        <v>0</v>
      </c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1:27" ht="18" customHeight="1" x14ac:dyDescent="0.25">
      <c r="A63" s="1">
        <v>2452179.4800999998</v>
      </c>
      <c r="B63" s="1" t="s">
        <v>155</v>
      </c>
      <c r="C63" s="1">
        <v>12.906000000000001</v>
      </c>
      <c r="D63" s="1">
        <v>0</v>
      </c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1:27" ht="18" customHeight="1" x14ac:dyDescent="0.25">
      <c r="A64" s="1">
        <v>2452184.5181</v>
      </c>
      <c r="B64" s="1" t="s">
        <v>156</v>
      </c>
      <c r="C64" s="1">
        <v>12.694000000000001</v>
      </c>
      <c r="D64" s="1">
        <v>0</v>
      </c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1:27" ht="18" customHeight="1" x14ac:dyDescent="0.25">
      <c r="A65" s="1">
        <v>2452188.4988600002</v>
      </c>
      <c r="B65" s="1" t="s">
        <v>157</v>
      </c>
      <c r="C65" s="1">
        <v>12.785</v>
      </c>
      <c r="D65" s="1">
        <v>0</v>
      </c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1:27" ht="18" customHeight="1" x14ac:dyDescent="0.25">
      <c r="A66" s="1">
        <v>2452191.5130500002</v>
      </c>
      <c r="B66" s="1" t="s">
        <v>158</v>
      </c>
      <c r="C66" s="1">
        <v>12.811999999999999</v>
      </c>
      <c r="D66" s="1">
        <v>0</v>
      </c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1:27" ht="18" customHeight="1" x14ac:dyDescent="0.25">
      <c r="A67" s="1">
        <v>2452194.51633</v>
      </c>
      <c r="B67" s="1" t="s">
        <v>159</v>
      </c>
      <c r="C67" s="1">
        <v>12.725</v>
      </c>
      <c r="D67" s="1">
        <v>0</v>
      </c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1:27" ht="18" customHeight="1" x14ac:dyDescent="0.25">
      <c r="A68" s="1">
        <v>2452198.5000300002</v>
      </c>
      <c r="B68" s="1" t="s">
        <v>160</v>
      </c>
      <c r="C68" s="1">
        <v>12.811999999999999</v>
      </c>
      <c r="D68" s="1">
        <v>0</v>
      </c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1:27" ht="18" customHeight="1" x14ac:dyDescent="0.25">
      <c r="A69" s="1">
        <v>2452206.5041899998</v>
      </c>
      <c r="B69" s="1" t="s">
        <v>161</v>
      </c>
      <c r="C69" s="1">
        <v>12.731</v>
      </c>
      <c r="D69" s="1">
        <v>0</v>
      </c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1:27" ht="18" customHeight="1" x14ac:dyDescent="0.25">
      <c r="A70" s="1">
        <v>2452389.8549000002</v>
      </c>
      <c r="B70" s="1" t="s">
        <v>162</v>
      </c>
      <c r="C70" s="1">
        <v>12.86</v>
      </c>
      <c r="D70" s="1">
        <v>0</v>
      </c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1:27" ht="18" customHeight="1" x14ac:dyDescent="0.25">
      <c r="A71" s="1">
        <v>2452443.1821699999</v>
      </c>
      <c r="B71" s="1" t="s">
        <v>163</v>
      </c>
      <c r="C71" s="1">
        <v>13.048500000000001</v>
      </c>
      <c r="D71" s="1">
        <v>1.2500000000000001E-2</v>
      </c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1:27" ht="18" customHeight="1" x14ac:dyDescent="0.25">
      <c r="A72" s="1">
        <v>2452445.1759899999</v>
      </c>
      <c r="B72" s="1" t="s">
        <v>164</v>
      </c>
      <c r="C72" s="1">
        <v>12.9505</v>
      </c>
      <c r="D72" s="1">
        <v>2.9499999999999998E-2</v>
      </c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1:27" ht="18" customHeight="1" x14ac:dyDescent="0.25">
      <c r="A73" s="1">
        <v>2452446.6854300001</v>
      </c>
      <c r="B73" s="1" t="s">
        <v>165</v>
      </c>
      <c r="C73" s="1">
        <v>12.965999999999999</v>
      </c>
      <c r="D73" s="1">
        <v>0</v>
      </c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1:27" ht="18" customHeight="1" x14ac:dyDescent="0.25">
      <c r="A74" s="1">
        <v>2452464.6383500001</v>
      </c>
      <c r="B74" s="1" t="s">
        <v>166</v>
      </c>
      <c r="C74" s="1">
        <v>13.266999999999999</v>
      </c>
      <c r="D74" s="1">
        <v>0</v>
      </c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1:27" ht="18" customHeight="1" x14ac:dyDescent="0.25">
      <c r="A75" s="1">
        <v>2452466.1350500002</v>
      </c>
      <c r="B75" s="1" t="s">
        <v>167</v>
      </c>
      <c r="C75" s="1">
        <v>13.147500000000001</v>
      </c>
      <c r="D75" s="1">
        <v>2.6499999999999999E-2</v>
      </c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1:27" x14ac:dyDescent="0.25">
      <c r="A76" s="1">
        <v>2452468.1325699999</v>
      </c>
      <c r="B76" s="1" t="s">
        <v>168</v>
      </c>
      <c r="C76" s="1">
        <v>13.196999999999999</v>
      </c>
      <c r="D76" s="1">
        <v>0.04</v>
      </c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x14ac:dyDescent="0.25">
      <c r="A77" s="1">
        <v>2452470.5827899999</v>
      </c>
      <c r="B77" s="1" t="s">
        <v>169</v>
      </c>
      <c r="C77" s="1">
        <v>13.657</v>
      </c>
      <c r="D77" s="1">
        <v>0</v>
      </c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1:27" x14ac:dyDescent="0.25">
      <c r="A78" s="1">
        <v>2452473.59766</v>
      </c>
      <c r="B78" s="1" t="s">
        <v>170</v>
      </c>
      <c r="C78" s="1">
        <v>13.346</v>
      </c>
      <c r="D78" s="1">
        <v>0</v>
      </c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1:27" x14ac:dyDescent="0.25">
      <c r="A79" s="1">
        <v>2452474.6423499999</v>
      </c>
      <c r="B79" s="1" t="s">
        <v>171</v>
      </c>
      <c r="C79" s="1">
        <v>13.339</v>
      </c>
      <c r="D79" s="1">
        <v>0</v>
      </c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1:27" x14ac:dyDescent="0.25">
      <c r="A80" s="1">
        <v>2452489.59002</v>
      </c>
      <c r="B80" s="1" t="s">
        <v>172</v>
      </c>
      <c r="C80" s="1">
        <v>13.724</v>
      </c>
      <c r="D80" s="1">
        <v>0</v>
      </c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1:27" x14ac:dyDescent="0.25">
      <c r="A81" s="1">
        <v>2452490.6227000002</v>
      </c>
      <c r="B81" s="1" t="s">
        <v>173</v>
      </c>
      <c r="C81" s="1">
        <v>13.411</v>
      </c>
      <c r="D81" s="1">
        <v>0</v>
      </c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1:27" x14ac:dyDescent="0.25">
      <c r="A82" s="1">
        <v>2452497.57418</v>
      </c>
      <c r="B82" s="1" t="s">
        <v>174</v>
      </c>
      <c r="C82" s="1">
        <v>13.593999999999999</v>
      </c>
      <c r="D82" s="1">
        <v>0</v>
      </c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1:27" x14ac:dyDescent="0.25">
      <c r="A83" s="1">
        <v>2452499.0659500002</v>
      </c>
      <c r="B83" s="1" t="s">
        <v>175</v>
      </c>
      <c r="C83" s="1">
        <v>13.5</v>
      </c>
      <c r="D83" s="1">
        <v>8.0000000000000002E-3</v>
      </c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1:27" x14ac:dyDescent="0.25">
      <c r="A84" s="1">
        <v>2452501.5622999999</v>
      </c>
      <c r="B84" s="1" t="s">
        <v>176</v>
      </c>
      <c r="C84" s="1">
        <v>13.327999999999999</v>
      </c>
      <c r="D84" s="1">
        <v>0</v>
      </c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1:27" x14ac:dyDescent="0.25">
      <c r="A85" s="1">
        <v>2452508.6907100002</v>
      </c>
      <c r="B85" s="1" t="s">
        <v>177</v>
      </c>
      <c r="C85" s="1">
        <v>13.26</v>
      </c>
      <c r="D85" s="1">
        <v>0</v>
      </c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1:27" x14ac:dyDescent="0.25">
      <c r="A86" s="1">
        <v>2452510.6591400001</v>
      </c>
      <c r="B86" s="1" t="s">
        <v>178</v>
      </c>
      <c r="C86" s="1">
        <v>13.523999999999999</v>
      </c>
      <c r="D86" s="1">
        <v>0</v>
      </c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1:27" x14ac:dyDescent="0.25">
      <c r="A87" s="1">
        <v>2452512.51602</v>
      </c>
      <c r="B87" s="1" t="s">
        <v>179</v>
      </c>
      <c r="C87" s="1">
        <v>13.632999999999999</v>
      </c>
      <c r="D87" s="1">
        <v>0</v>
      </c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1:27" x14ac:dyDescent="0.25">
      <c r="A88" s="1">
        <v>2452520.5682899999</v>
      </c>
      <c r="B88" s="1" t="s">
        <v>180</v>
      </c>
      <c r="C88" s="1">
        <v>13.555999999999999</v>
      </c>
      <c r="D88" s="1">
        <v>0</v>
      </c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1:27" x14ac:dyDescent="0.25">
      <c r="A89" s="1">
        <v>2452521.5779900001</v>
      </c>
      <c r="B89" s="1" t="s">
        <v>181</v>
      </c>
      <c r="C89" s="1">
        <v>13.646000000000001</v>
      </c>
      <c r="D89" s="1">
        <v>0</v>
      </c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1:27" x14ac:dyDescent="0.25">
      <c r="A90" s="1">
        <v>2452524.5686300001</v>
      </c>
      <c r="B90" s="1" t="s">
        <v>182</v>
      </c>
      <c r="C90" s="1">
        <v>13.566000000000001</v>
      </c>
      <c r="D90" s="1">
        <v>0</v>
      </c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1:27" x14ac:dyDescent="0.25">
      <c r="A91" s="1">
        <v>2452526.6289499998</v>
      </c>
      <c r="B91" s="1" t="s">
        <v>183</v>
      </c>
      <c r="C91" s="1">
        <v>13.544</v>
      </c>
      <c r="D91" s="1">
        <v>2E-3</v>
      </c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1:27" x14ac:dyDescent="0.25">
      <c r="A92" s="1">
        <v>2452543.4824799998</v>
      </c>
      <c r="B92" s="1" t="s">
        <v>184</v>
      </c>
      <c r="C92" s="1">
        <v>13.499000000000001</v>
      </c>
      <c r="D92" s="1">
        <v>0</v>
      </c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1:27" x14ac:dyDescent="0.25">
      <c r="A93" s="1">
        <v>2452544.4846700002</v>
      </c>
      <c r="B93" s="1" t="s">
        <v>185</v>
      </c>
      <c r="C93" s="1">
        <v>13.691000000000001</v>
      </c>
      <c r="D93" s="1">
        <v>0</v>
      </c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1:27" x14ac:dyDescent="0.25">
      <c r="A94" s="1">
        <v>2452545.5269300002</v>
      </c>
      <c r="B94" s="1" t="s">
        <v>186</v>
      </c>
      <c r="C94" s="1">
        <v>13.580285999999999</v>
      </c>
      <c r="D94" s="1">
        <v>2.6429000000000001E-2</v>
      </c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1:27" x14ac:dyDescent="0.25">
      <c r="A95" s="1">
        <v>2452545.8767200001</v>
      </c>
      <c r="B95" s="1" t="s">
        <v>186</v>
      </c>
      <c r="C95" s="1">
        <v>13.555999999999999</v>
      </c>
      <c r="D95" s="1">
        <v>1.7073000000000001E-2</v>
      </c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1:27" x14ac:dyDescent="0.25">
      <c r="A96" s="1">
        <v>2452547.1200899999</v>
      </c>
      <c r="B96" s="1" t="s">
        <v>187</v>
      </c>
      <c r="C96" s="1">
        <v>13.543357</v>
      </c>
      <c r="D96" s="1">
        <v>3.5043999999999999E-2</v>
      </c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1:27" x14ac:dyDescent="0.25">
      <c r="A97" s="1">
        <v>2452548.5255900002</v>
      </c>
      <c r="B97" s="1" t="s">
        <v>188</v>
      </c>
      <c r="C97" s="1">
        <v>13.613375</v>
      </c>
      <c r="D97" s="1">
        <v>4.7413999999999998E-2</v>
      </c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1:27" x14ac:dyDescent="0.25">
      <c r="A98" s="1">
        <v>2452549.29837</v>
      </c>
      <c r="B98" s="1" t="s">
        <v>188</v>
      </c>
      <c r="C98" s="1">
        <v>13.585667000000001</v>
      </c>
      <c r="D98" s="1">
        <v>2.9402999999999999E-2</v>
      </c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1:27" x14ac:dyDescent="0.25">
      <c r="A99" s="1">
        <v>2452552.5344500002</v>
      </c>
      <c r="B99" s="1" t="s">
        <v>189</v>
      </c>
      <c r="C99" s="1">
        <v>13.429</v>
      </c>
      <c r="D99" s="1">
        <v>0</v>
      </c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1:27" x14ac:dyDescent="0.25">
      <c r="A100" s="1">
        <v>2452553.5427000001</v>
      </c>
      <c r="B100" s="1" t="s">
        <v>190</v>
      </c>
      <c r="C100" s="1">
        <v>13.449</v>
      </c>
      <c r="D100" s="1">
        <v>3.0346000000000001E-2</v>
      </c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1:27" x14ac:dyDescent="0.25">
      <c r="A101" s="1">
        <v>2452561.4871499999</v>
      </c>
      <c r="B101" s="1" t="s">
        <v>191</v>
      </c>
      <c r="C101" s="1">
        <v>13.343</v>
      </c>
      <c r="D101" s="1">
        <v>0</v>
      </c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1:27" x14ac:dyDescent="0.25">
      <c r="A102" s="1">
        <v>2452562.5265600001</v>
      </c>
      <c r="B102" s="1" t="s">
        <v>192</v>
      </c>
      <c r="C102" s="1">
        <v>13.429</v>
      </c>
      <c r="D102" s="1">
        <v>3.6856E-2</v>
      </c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1:27" x14ac:dyDescent="0.25">
      <c r="A103" s="1">
        <v>2452563.1104000001</v>
      </c>
      <c r="B103" s="1" t="s">
        <v>192</v>
      </c>
      <c r="C103" s="1">
        <v>13.486713999999999</v>
      </c>
      <c r="D103" s="1">
        <v>1.9903000000000001E-2</v>
      </c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1:27" x14ac:dyDescent="0.25">
      <c r="A104" s="1">
        <v>2452564.2819099999</v>
      </c>
      <c r="B104" s="1" t="s">
        <v>193</v>
      </c>
      <c r="C104" s="1">
        <v>13.59125</v>
      </c>
      <c r="D104" s="1">
        <v>6.1378000000000002E-2</v>
      </c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1:27" x14ac:dyDescent="0.25">
      <c r="A105" s="1">
        <v>2452565.2811500002</v>
      </c>
      <c r="B105" s="1" t="s">
        <v>194</v>
      </c>
      <c r="C105" s="1">
        <v>13.514749999999999</v>
      </c>
      <c r="D105" s="1">
        <v>3.8192999999999998E-2</v>
      </c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1:27" x14ac:dyDescent="0.25">
      <c r="A106" s="1">
        <v>2452566.5218699998</v>
      </c>
      <c r="B106" s="1" t="s">
        <v>195</v>
      </c>
      <c r="C106" s="1">
        <v>13.452166999999999</v>
      </c>
      <c r="D106" s="1">
        <v>7.6201000000000005E-2</v>
      </c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1:27" x14ac:dyDescent="0.25">
      <c r="A107" s="1">
        <v>2452568.5202500001</v>
      </c>
      <c r="B107" s="1" t="s">
        <v>196</v>
      </c>
      <c r="C107" s="1">
        <v>13.419667</v>
      </c>
      <c r="D107" s="1">
        <v>8.1433000000000005E-2</v>
      </c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1:27" x14ac:dyDescent="0.25">
      <c r="A108" s="1">
        <v>2452578.5082</v>
      </c>
      <c r="B108" s="1" t="s">
        <v>197</v>
      </c>
      <c r="C108" s="1">
        <v>13.583</v>
      </c>
      <c r="D108" s="1">
        <v>0</v>
      </c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1:27" x14ac:dyDescent="0.25">
      <c r="A109" s="1">
        <v>2452579.1812200001</v>
      </c>
      <c r="B109" s="1" t="s">
        <v>197</v>
      </c>
      <c r="C109" s="1">
        <v>13.356332999999999</v>
      </c>
      <c r="D109" s="1">
        <v>1.4992999999999999E-2</v>
      </c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1:27" x14ac:dyDescent="0.25">
      <c r="A110" s="1">
        <v>2452684.8924699998</v>
      </c>
      <c r="B110" s="1" t="s">
        <v>198</v>
      </c>
      <c r="C110" s="1">
        <v>12.816000000000001</v>
      </c>
      <c r="D110" s="1">
        <v>0</v>
      </c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1:27" x14ac:dyDescent="0.25">
      <c r="A111" s="1">
        <v>2452688.8945399998</v>
      </c>
      <c r="B111" s="1" t="s">
        <v>199</v>
      </c>
      <c r="C111" s="1">
        <v>12.686</v>
      </c>
      <c r="D111" s="1">
        <v>0</v>
      </c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1:27" x14ac:dyDescent="0.25">
      <c r="A112" s="1">
        <v>2452699.89738</v>
      </c>
      <c r="B112" s="1" t="s">
        <v>200</v>
      </c>
      <c r="C112" s="1">
        <v>12.8895</v>
      </c>
      <c r="D112" s="1">
        <v>2.5000000000000001E-3</v>
      </c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1:27" x14ac:dyDescent="0.25">
      <c r="A113" s="1">
        <v>2452702.3821200002</v>
      </c>
      <c r="B113" s="1" t="s">
        <v>201</v>
      </c>
      <c r="C113" s="1">
        <v>12.811999999999999</v>
      </c>
      <c r="D113" s="1">
        <v>3.2000000000000001E-2</v>
      </c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1:27" x14ac:dyDescent="0.25">
      <c r="A114" s="1">
        <v>2452703.3921599998</v>
      </c>
      <c r="B114" s="1" t="s">
        <v>202</v>
      </c>
      <c r="C114" s="1">
        <v>12.7875</v>
      </c>
      <c r="D114" s="1">
        <v>3.15E-2</v>
      </c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1:27" x14ac:dyDescent="0.25">
      <c r="A115" s="1">
        <v>2452704.8901900002</v>
      </c>
      <c r="B115" s="1" t="s">
        <v>203</v>
      </c>
      <c r="C115" s="1">
        <v>12.842499999999999</v>
      </c>
      <c r="D115" s="1">
        <v>4.4999999999999997E-3</v>
      </c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1:27" x14ac:dyDescent="0.25">
      <c r="A116" s="1">
        <v>2452706.8860999998</v>
      </c>
      <c r="B116" s="1" t="s">
        <v>204</v>
      </c>
      <c r="C116" s="1">
        <v>12.875</v>
      </c>
      <c r="D116" s="1">
        <v>0</v>
      </c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1:27" x14ac:dyDescent="0.25">
      <c r="A117" s="1">
        <v>2452709.8829399999</v>
      </c>
      <c r="B117" s="1" t="s">
        <v>205</v>
      </c>
      <c r="C117" s="1">
        <v>12.896000000000001</v>
      </c>
      <c r="D117" s="1">
        <v>0</v>
      </c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1:27" x14ac:dyDescent="0.25">
      <c r="A118" s="1">
        <v>2452712.8769800002</v>
      </c>
      <c r="B118" s="1" t="s">
        <v>206</v>
      </c>
      <c r="C118" s="1">
        <v>12.911</v>
      </c>
      <c r="D118" s="1">
        <v>0</v>
      </c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1:27" x14ac:dyDescent="0.25">
      <c r="A119" s="1">
        <v>2452717.89708</v>
      </c>
      <c r="B119" s="1" t="s">
        <v>207</v>
      </c>
      <c r="C119" s="1">
        <v>12.804</v>
      </c>
      <c r="D119" s="1">
        <v>0</v>
      </c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1:27" x14ac:dyDescent="0.25">
      <c r="A120" s="1">
        <v>2452726.841</v>
      </c>
      <c r="B120" s="1" t="s">
        <v>208</v>
      </c>
      <c r="C120" s="1">
        <v>12.832000000000001</v>
      </c>
      <c r="D120" s="1">
        <v>0</v>
      </c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1:27" x14ac:dyDescent="0.25">
      <c r="A121" s="1">
        <v>2452728.9084399999</v>
      </c>
      <c r="B121" s="1" t="s">
        <v>209</v>
      </c>
      <c r="C121" s="1">
        <v>12.842000000000001</v>
      </c>
      <c r="D121" s="1">
        <v>0</v>
      </c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1:27" x14ac:dyDescent="0.25">
      <c r="A122" s="1">
        <v>2452730.8898800001</v>
      </c>
      <c r="B122" s="1" t="s">
        <v>210</v>
      </c>
      <c r="C122" s="1">
        <v>12.769</v>
      </c>
      <c r="D122" s="1">
        <v>0</v>
      </c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1:27" x14ac:dyDescent="0.25">
      <c r="A123" s="1">
        <v>2452734.8049499998</v>
      </c>
      <c r="B123" s="1" t="s">
        <v>211</v>
      </c>
      <c r="C123" s="1">
        <v>12.481</v>
      </c>
      <c r="D123" s="1">
        <v>0</v>
      </c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1:27" x14ac:dyDescent="0.25">
      <c r="A124" s="1">
        <v>2452736.86039</v>
      </c>
      <c r="B124" s="1" t="s">
        <v>212</v>
      </c>
      <c r="C124" s="1">
        <v>12.249499999999999</v>
      </c>
      <c r="D124" s="1">
        <v>6.3500000000000001E-2</v>
      </c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x14ac:dyDescent="0.25">
      <c r="A125" s="1">
        <v>2452738.8496300001</v>
      </c>
      <c r="B125" s="1" t="s">
        <v>213</v>
      </c>
      <c r="C125" s="1">
        <v>12.170999999999999</v>
      </c>
      <c r="D125" s="1">
        <v>0</v>
      </c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1:27" x14ac:dyDescent="0.25">
      <c r="A126" s="1">
        <v>2452740.8524500001</v>
      </c>
      <c r="B126" s="1" t="s">
        <v>214</v>
      </c>
      <c r="C126" s="1">
        <v>12.132999999999999</v>
      </c>
      <c r="D126" s="1">
        <v>0</v>
      </c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1:27" x14ac:dyDescent="0.25">
      <c r="A127" s="1">
        <v>2452742.86803</v>
      </c>
      <c r="B127" s="1" t="s">
        <v>215</v>
      </c>
      <c r="C127" s="1">
        <v>12.087999999999999</v>
      </c>
      <c r="D127" s="1">
        <v>2.5999999999999999E-2</v>
      </c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1:27" x14ac:dyDescent="0.25">
      <c r="A128" s="1">
        <v>2452744.8849599999</v>
      </c>
      <c r="B128" s="1" t="s">
        <v>216</v>
      </c>
      <c r="C128" s="1">
        <v>12.097</v>
      </c>
      <c r="D128" s="1">
        <v>0</v>
      </c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1:27" x14ac:dyDescent="0.25">
      <c r="A129" s="1">
        <v>2452755.3110799999</v>
      </c>
      <c r="B129" s="1" t="s">
        <v>217</v>
      </c>
      <c r="C129" s="1">
        <v>12.07</v>
      </c>
      <c r="D129" s="1">
        <v>3.7999999999999999E-2</v>
      </c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1:27" x14ac:dyDescent="0.25">
      <c r="A130" s="1">
        <v>2452757.3177700001</v>
      </c>
      <c r="B130" s="1" t="s">
        <v>218</v>
      </c>
      <c r="C130" s="1">
        <v>12.04</v>
      </c>
      <c r="D130" s="1">
        <v>2.5000000000000001E-2</v>
      </c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1:27" x14ac:dyDescent="0.25">
      <c r="A131" s="1">
        <v>2452760.7944399999</v>
      </c>
      <c r="B131" s="1" t="s">
        <v>219</v>
      </c>
      <c r="C131" s="1">
        <v>12.0395</v>
      </c>
      <c r="D131" s="1">
        <v>2.8500000000000001E-2</v>
      </c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1:27" x14ac:dyDescent="0.25">
      <c r="A132" s="1">
        <v>2452764.7949199998</v>
      </c>
      <c r="B132" s="1" t="s">
        <v>220</v>
      </c>
      <c r="C132" s="1">
        <v>12.013500000000001</v>
      </c>
      <c r="D132" s="1">
        <v>9.4999999999999998E-3</v>
      </c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1:27" x14ac:dyDescent="0.25">
      <c r="A133" s="1">
        <v>2452770.8448200002</v>
      </c>
      <c r="B133" s="1" t="s">
        <v>221</v>
      </c>
      <c r="C133" s="1">
        <v>12.15</v>
      </c>
      <c r="D133" s="1">
        <v>0</v>
      </c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1:27" x14ac:dyDescent="0.25">
      <c r="A134" s="1">
        <v>2452775.8412199998</v>
      </c>
      <c r="B134" s="1" t="s">
        <v>222</v>
      </c>
      <c r="C134" s="1">
        <v>12.08</v>
      </c>
      <c r="D134" s="1">
        <v>0</v>
      </c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1:27" x14ac:dyDescent="0.25">
      <c r="A135" s="1">
        <v>2452782.80425</v>
      </c>
      <c r="B135" s="1" t="s">
        <v>223</v>
      </c>
      <c r="C135" s="1">
        <v>12.195</v>
      </c>
      <c r="D135" s="1">
        <v>0</v>
      </c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1:27" x14ac:dyDescent="0.25">
      <c r="A136" s="1">
        <v>2452786.7246599998</v>
      </c>
      <c r="B136" s="1" t="s">
        <v>224</v>
      </c>
      <c r="C136" s="1">
        <v>12.148999999999999</v>
      </c>
      <c r="D136" s="1">
        <v>0</v>
      </c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1:27" x14ac:dyDescent="0.25">
      <c r="A137" s="1">
        <v>2452790.7580200001</v>
      </c>
      <c r="B137" s="1" t="s">
        <v>225</v>
      </c>
      <c r="C137" s="1">
        <v>12.3325</v>
      </c>
      <c r="D137" s="1">
        <v>2.75E-2</v>
      </c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1:27" x14ac:dyDescent="0.25">
      <c r="A138" s="1">
        <v>2452802.7902099998</v>
      </c>
      <c r="B138" s="1" t="s">
        <v>226</v>
      </c>
      <c r="C138" s="1">
        <v>12.335000000000001</v>
      </c>
      <c r="D138" s="1">
        <v>0</v>
      </c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1:27" x14ac:dyDescent="0.25">
      <c r="A139" s="1">
        <v>2452808.7347200001</v>
      </c>
      <c r="B139" s="1" t="s">
        <v>227</v>
      </c>
      <c r="C139" s="1">
        <v>12.355</v>
      </c>
      <c r="D139" s="1">
        <v>0</v>
      </c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1:27" x14ac:dyDescent="0.25">
      <c r="A140" s="1">
        <v>2452810.6617100001</v>
      </c>
      <c r="B140" s="1" t="s">
        <v>228</v>
      </c>
      <c r="C140" s="1">
        <v>12.227</v>
      </c>
      <c r="D140" s="1">
        <v>0</v>
      </c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1:27" x14ac:dyDescent="0.25">
      <c r="A141" s="1">
        <v>2452811.8441099999</v>
      </c>
      <c r="B141" s="1" t="s">
        <v>229</v>
      </c>
      <c r="C141" s="1">
        <v>12.414</v>
      </c>
      <c r="D141" s="1">
        <v>0</v>
      </c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1:27" x14ac:dyDescent="0.25">
      <c r="A142" s="1">
        <v>2452813.7308200002</v>
      </c>
      <c r="B142" s="1" t="s">
        <v>230</v>
      </c>
      <c r="C142" s="1">
        <v>12.288</v>
      </c>
      <c r="D142" s="1">
        <v>0</v>
      </c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1:27" x14ac:dyDescent="0.25">
      <c r="A143" s="1">
        <v>2452821.22175</v>
      </c>
      <c r="B143" s="1" t="s">
        <v>231</v>
      </c>
      <c r="C143" s="1">
        <v>12.3835</v>
      </c>
      <c r="D143" s="1">
        <v>1.95E-2</v>
      </c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1:27" x14ac:dyDescent="0.25">
      <c r="A144" s="1">
        <v>2452826.7136300001</v>
      </c>
      <c r="B144" s="1" t="s">
        <v>232</v>
      </c>
      <c r="C144" s="1">
        <v>12.46</v>
      </c>
      <c r="D144" s="1">
        <v>0</v>
      </c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1:27" x14ac:dyDescent="0.25">
      <c r="A145" s="1">
        <v>2452830.6373999999</v>
      </c>
      <c r="B145" s="1" t="s">
        <v>233</v>
      </c>
      <c r="C145" s="1">
        <v>12.337</v>
      </c>
      <c r="D145" s="1">
        <v>0</v>
      </c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1:27" x14ac:dyDescent="0.25">
      <c r="A146" s="1">
        <v>2452838.8042899999</v>
      </c>
      <c r="B146" s="1" t="s">
        <v>234</v>
      </c>
      <c r="C146" s="1">
        <v>12.311999999999999</v>
      </c>
      <c r="D146" s="1">
        <v>0</v>
      </c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1:27" x14ac:dyDescent="0.25">
      <c r="A147" s="1">
        <v>2452841.1851900001</v>
      </c>
      <c r="B147" s="1" t="s">
        <v>235</v>
      </c>
      <c r="C147" s="1">
        <v>12.403499999999999</v>
      </c>
      <c r="D147" s="1">
        <v>4.4999999999999997E-3</v>
      </c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1:27" x14ac:dyDescent="0.25">
      <c r="A148" s="1">
        <v>2452843.6453300002</v>
      </c>
      <c r="B148" s="1" t="s">
        <v>236</v>
      </c>
      <c r="C148" s="1">
        <v>12.439</v>
      </c>
      <c r="D148" s="1">
        <v>0</v>
      </c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1:27" x14ac:dyDescent="0.25">
      <c r="A149" s="1">
        <v>2452851.6132800002</v>
      </c>
      <c r="B149" s="1" t="s">
        <v>237</v>
      </c>
      <c r="C149" s="1">
        <v>12.452</v>
      </c>
      <c r="D149" s="1">
        <v>0</v>
      </c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1:27" x14ac:dyDescent="0.25">
      <c r="A150" s="1">
        <v>2452855.6466999999</v>
      </c>
      <c r="B150" s="1" t="s">
        <v>238</v>
      </c>
      <c r="C150" s="1">
        <v>12.391500000000001</v>
      </c>
      <c r="D150" s="1">
        <v>2.8500000000000001E-2</v>
      </c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1:27" x14ac:dyDescent="0.25">
      <c r="A151" s="1">
        <v>2452862.59094</v>
      </c>
      <c r="B151" s="1" t="s">
        <v>239</v>
      </c>
      <c r="C151" s="1">
        <v>12.42</v>
      </c>
      <c r="D151" s="1">
        <v>0</v>
      </c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1:27" x14ac:dyDescent="0.25">
      <c r="A152" s="1">
        <v>2452866.5913</v>
      </c>
      <c r="B152" s="1" t="s">
        <v>240</v>
      </c>
      <c r="C152" s="1">
        <v>12.554</v>
      </c>
      <c r="D152" s="1">
        <v>0</v>
      </c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1:27" x14ac:dyDescent="0.25">
      <c r="A153" s="1">
        <v>2452867.6929299999</v>
      </c>
      <c r="B153" s="1" t="s">
        <v>241</v>
      </c>
      <c r="C153" s="1">
        <v>12.445</v>
      </c>
      <c r="D153" s="1">
        <v>0</v>
      </c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1:27" x14ac:dyDescent="0.25">
      <c r="A154" s="1">
        <v>2452872.5626599998</v>
      </c>
      <c r="B154" s="1" t="s">
        <v>242</v>
      </c>
      <c r="C154" s="1">
        <v>12.436</v>
      </c>
      <c r="D154" s="1">
        <v>0</v>
      </c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1:27" x14ac:dyDescent="0.25">
      <c r="A155" s="1">
        <v>2452875.5964000002</v>
      </c>
      <c r="B155" s="1" t="s">
        <v>243</v>
      </c>
      <c r="C155" s="1">
        <v>12.537000000000001</v>
      </c>
      <c r="D155" s="1">
        <v>0</v>
      </c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1:27" x14ac:dyDescent="0.25">
      <c r="A156" s="1">
        <v>2452877.5872999998</v>
      </c>
      <c r="B156" s="1" t="s">
        <v>244</v>
      </c>
      <c r="C156" s="1">
        <v>12.519</v>
      </c>
      <c r="D156" s="1">
        <v>0</v>
      </c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1:27" x14ac:dyDescent="0.25">
      <c r="A157" s="1">
        <v>2452879.58806</v>
      </c>
      <c r="B157" s="1" t="s">
        <v>245</v>
      </c>
      <c r="C157" s="1">
        <v>12.462999999999999</v>
      </c>
      <c r="D157" s="1">
        <v>0</v>
      </c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1:27" x14ac:dyDescent="0.25">
      <c r="A158" s="1">
        <v>2452882.61179</v>
      </c>
      <c r="B158" s="1" t="s">
        <v>246</v>
      </c>
      <c r="C158" s="1">
        <v>12.516</v>
      </c>
      <c r="D158" s="1">
        <v>0</v>
      </c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1:27" x14ac:dyDescent="0.25">
      <c r="A159" s="1">
        <v>2452884.57455</v>
      </c>
      <c r="B159" s="1" t="s">
        <v>247</v>
      </c>
      <c r="C159" s="1">
        <v>12.561</v>
      </c>
      <c r="D159" s="1">
        <v>0</v>
      </c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1:27" x14ac:dyDescent="0.25">
      <c r="A160" s="1">
        <v>2452893.5977699999</v>
      </c>
      <c r="B160" s="1" t="s">
        <v>248</v>
      </c>
      <c r="C160" s="1">
        <v>12.481</v>
      </c>
      <c r="D160" s="1">
        <v>0</v>
      </c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1:27" x14ac:dyDescent="0.25">
      <c r="A161" s="1">
        <v>2452895.5923799998</v>
      </c>
      <c r="B161" s="1" t="s">
        <v>249</v>
      </c>
      <c r="C161" s="1">
        <v>12.634</v>
      </c>
      <c r="D161" s="1">
        <v>0</v>
      </c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1:27" x14ac:dyDescent="0.25">
      <c r="A162" s="1">
        <v>2452904.6270900001</v>
      </c>
      <c r="B162" s="1" t="s">
        <v>250</v>
      </c>
      <c r="C162" s="1">
        <v>12.629</v>
      </c>
      <c r="D162" s="1">
        <v>0</v>
      </c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1:27" x14ac:dyDescent="0.25">
      <c r="A163" s="1">
        <v>2452906.63014</v>
      </c>
      <c r="B163" s="1" t="s">
        <v>251</v>
      </c>
      <c r="C163" s="1">
        <v>12.709</v>
      </c>
      <c r="D163" s="1">
        <v>0</v>
      </c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1:27" x14ac:dyDescent="0.25">
      <c r="A164" s="1">
        <v>2452910.5009099999</v>
      </c>
      <c r="B164" s="1" t="s">
        <v>252</v>
      </c>
      <c r="C164" s="1">
        <v>12.654</v>
      </c>
      <c r="D164" s="1">
        <v>0</v>
      </c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1:27" x14ac:dyDescent="0.25">
      <c r="A165" s="1">
        <v>2452916.4884000001</v>
      </c>
      <c r="B165" s="1" t="s">
        <v>253</v>
      </c>
      <c r="C165" s="1">
        <v>12.452999999999999</v>
      </c>
      <c r="D165" s="1">
        <v>0</v>
      </c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1:27" x14ac:dyDescent="0.25">
      <c r="A166" s="1">
        <v>2452917.5884600002</v>
      </c>
      <c r="B166" s="1" t="s">
        <v>254</v>
      </c>
      <c r="C166" s="1">
        <v>12.662000000000001</v>
      </c>
      <c r="D166" s="1">
        <v>0</v>
      </c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1:27" x14ac:dyDescent="0.25">
      <c r="A167" s="1">
        <v>2452921.57987</v>
      </c>
      <c r="B167" s="1" t="s">
        <v>255</v>
      </c>
      <c r="C167" s="1">
        <v>12.525</v>
      </c>
      <c r="D167" s="1">
        <v>0</v>
      </c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1:27" x14ac:dyDescent="0.25">
      <c r="A168" s="1">
        <v>2452923.5760300001</v>
      </c>
      <c r="B168" s="1" t="s">
        <v>256</v>
      </c>
      <c r="C168" s="1">
        <v>12.798</v>
      </c>
      <c r="D168" s="1">
        <v>0</v>
      </c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1:27" x14ac:dyDescent="0.25">
      <c r="A169" s="1">
        <v>2452926.5747799999</v>
      </c>
      <c r="B169" s="1" t="s">
        <v>257</v>
      </c>
      <c r="C169" s="1">
        <v>12.875999999999999</v>
      </c>
      <c r="D169" s="1">
        <v>0</v>
      </c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1:27" x14ac:dyDescent="0.25">
      <c r="A170" s="1">
        <v>2452930.5713999998</v>
      </c>
      <c r="B170" s="1" t="s">
        <v>258</v>
      </c>
      <c r="C170" s="1">
        <v>12.769</v>
      </c>
      <c r="D170" s="1">
        <v>0</v>
      </c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1:27" x14ac:dyDescent="0.25">
      <c r="A171" s="1">
        <v>2452932.56984</v>
      </c>
      <c r="B171" s="1" t="s">
        <v>259</v>
      </c>
      <c r="C171" s="1">
        <v>12.7</v>
      </c>
      <c r="D171" s="1">
        <v>0</v>
      </c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</row>
    <row r="172" spans="1:27" x14ac:dyDescent="0.25">
      <c r="A172" s="1">
        <v>2452934.5644200002</v>
      </c>
      <c r="B172" s="1" t="s">
        <v>260</v>
      </c>
      <c r="C172" s="1">
        <v>12.79</v>
      </c>
      <c r="D172" s="1">
        <v>0</v>
      </c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x14ac:dyDescent="0.25">
      <c r="A173" s="1">
        <v>2452937.5105400002</v>
      </c>
      <c r="B173" s="1" t="s">
        <v>261</v>
      </c>
      <c r="C173" s="1">
        <v>12.728</v>
      </c>
      <c r="D173" s="1">
        <v>0</v>
      </c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</row>
    <row r="174" spans="1:27" x14ac:dyDescent="0.25">
      <c r="A174" s="1">
        <v>2452949.5062000002</v>
      </c>
      <c r="B174" s="1" t="s">
        <v>262</v>
      </c>
      <c r="C174" s="1">
        <v>12.738</v>
      </c>
      <c r="D174" s="1">
        <v>0</v>
      </c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</row>
    <row r="175" spans="1:27" x14ac:dyDescent="0.25">
      <c r="A175" s="1">
        <v>2453060.8993199999</v>
      </c>
      <c r="B175" s="1" t="s">
        <v>263</v>
      </c>
      <c r="C175" s="1">
        <v>13.238</v>
      </c>
      <c r="D175" s="1">
        <v>0</v>
      </c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</row>
    <row r="176" spans="1:27" x14ac:dyDescent="0.25">
      <c r="A176" s="1">
        <v>2453066.88216</v>
      </c>
      <c r="B176" s="1" t="s">
        <v>264</v>
      </c>
      <c r="C176" s="1">
        <v>13.51</v>
      </c>
      <c r="D176" s="1">
        <v>0</v>
      </c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</row>
    <row r="177" spans="1:27" x14ac:dyDescent="0.25">
      <c r="A177" s="1">
        <v>2453068.9038200001</v>
      </c>
      <c r="B177" s="1" t="s">
        <v>265</v>
      </c>
      <c r="C177" s="1">
        <v>13.994999999999999</v>
      </c>
      <c r="D177" s="1">
        <v>0</v>
      </c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</row>
    <row r="178" spans="1:27" x14ac:dyDescent="0.25">
      <c r="A178" s="1">
        <v>2453081.87378</v>
      </c>
      <c r="B178" s="1" t="s">
        <v>266</v>
      </c>
      <c r="C178" s="1">
        <v>13.837</v>
      </c>
      <c r="D178" s="1">
        <v>0</v>
      </c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</row>
    <row r="179" spans="1:27" x14ac:dyDescent="0.25">
      <c r="A179" s="1">
        <v>2453087.8952000001</v>
      </c>
      <c r="B179" s="1" t="s">
        <v>267</v>
      </c>
      <c r="C179" s="1">
        <v>13.740500000000001</v>
      </c>
      <c r="D179" s="1">
        <v>0.26650000000000001</v>
      </c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</row>
    <row r="180" spans="1:27" x14ac:dyDescent="0.25">
      <c r="A180" s="1">
        <v>2453091.8730899999</v>
      </c>
      <c r="B180" s="1" t="s">
        <v>268</v>
      </c>
      <c r="C180" s="1">
        <v>13.624000000000001</v>
      </c>
      <c r="D180" s="1">
        <v>0</v>
      </c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</row>
    <row r="181" spans="1:27" x14ac:dyDescent="0.25">
      <c r="A181" s="1">
        <v>2453097.8486899999</v>
      </c>
      <c r="B181" s="1" t="s">
        <v>269</v>
      </c>
      <c r="C181" s="1">
        <v>13.64</v>
      </c>
      <c r="D181" s="1">
        <v>0</v>
      </c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</row>
    <row r="182" spans="1:27" x14ac:dyDescent="0.25">
      <c r="A182" s="1">
        <v>2453100.8892399999</v>
      </c>
      <c r="B182" s="1" t="s">
        <v>270</v>
      </c>
      <c r="C182" s="1">
        <v>13.89</v>
      </c>
      <c r="D182" s="1">
        <v>0</v>
      </c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</row>
    <row r="183" spans="1:27" x14ac:dyDescent="0.25">
      <c r="A183" s="1">
        <v>2453107.91812</v>
      </c>
      <c r="B183" s="1" t="s">
        <v>271</v>
      </c>
      <c r="C183" s="1">
        <v>13.571999999999999</v>
      </c>
      <c r="D183" s="1">
        <v>0</v>
      </c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</row>
    <row r="184" spans="1:27" x14ac:dyDescent="0.25">
      <c r="A184" s="1">
        <v>2453110.8999399999</v>
      </c>
      <c r="B184" s="1" t="s">
        <v>272</v>
      </c>
      <c r="C184" s="1">
        <v>13.646000000000001</v>
      </c>
      <c r="D184" s="1">
        <v>0</v>
      </c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</row>
    <row r="185" spans="1:27" x14ac:dyDescent="0.25">
      <c r="A185" s="1">
        <v>2453113.3676700001</v>
      </c>
      <c r="B185" s="1" t="s">
        <v>273</v>
      </c>
      <c r="C185" s="1">
        <v>13.622</v>
      </c>
      <c r="D185" s="1">
        <v>0.16</v>
      </c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</row>
    <row r="186" spans="1:27" x14ac:dyDescent="0.25">
      <c r="A186" s="1">
        <v>2453116.8442099998</v>
      </c>
      <c r="B186" s="1" t="s">
        <v>274</v>
      </c>
      <c r="C186" s="1">
        <v>13.657999999999999</v>
      </c>
      <c r="D186" s="1">
        <v>0</v>
      </c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</row>
    <row r="187" spans="1:27" x14ac:dyDescent="0.25">
      <c r="A187" s="1">
        <v>2453122.8719899999</v>
      </c>
      <c r="B187" s="1" t="s">
        <v>275</v>
      </c>
      <c r="C187" s="1">
        <v>13.46</v>
      </c>
      <c r="D187" s="1">
        <v>0</v>
      </c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</row>
    <row r="188" spans="1:27" x14ac:dyDescent="0.25">
      <c r="A188" s="1">
        <v>2453125.7807999998</v>
      </c>
      <c r="B188" s="1" t="s">
        <v>276</v>
      </c>
      <c r="C188" s="1">
        <v>13.25</v>
      </c>
      <c r="D188" s="1">
        <v>0</v>
      </c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</row>
    <row r="189" spans="1:27" x14ac:dyDescent="0.25">
      <c r="A189" s="1">
        <v>2453142.7718400001</v>
      </c>
      <c r="B189" s="1" t="s">
        <v>277</v>
      </c>
      <c r="C189" s="1">
        <v>13.301</v>
      </c>
      <c r="D189" s="1">
        <v>0</v>
      </c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</row>
    <row r="190" spans="1:27" x14ac:dyDescent="0.25">
      <c r="A190" s="1">
        <v>2453152.8366100001</v>
      </c>
      <c r="B190" s="1" t="s">
        <v>278</v>
      </c>
      <c r="C190" s="1">
        <v>13.198</v>
      </c>
      <c r="D190" s="1">
        <v>0</v>
      </c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</row>
    <row r="191" spans="1:27" x14ac:dyDescent="0.25">
      <c r="A191" s="1">
        <v>2453154.74205</v>
      </c>
      <c r="B191" s="1" t="s">
        <v>279</v>
      </c>
      <c r="C191" s="1">
        <v>13.396000000000001</v>
      </c>
      <c r="D191" s="1">
        <v>0</v>
      </c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</row>
    <row r="192" spans="1:27" x14ac:dyDescent="0.25">
      <c r="A192" s="1">
        <v>2453162.7681800001</v>
      </c>
      <c r="B192" s="1" t="s">
        <v>280</v>
      </c>
      <c r="C192" s="1">
        <v>13.109</v>
      </c>
      <c r="D192" s="1">
        <v>0</v>
      </c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</row>
    <row r="193" spans="1:27" x14ac:dyDescent="0.25">
      <c r="A193" s="1">
        <v>2453164.7954199999</v>
      </c>
      <c r="B193" s="1" t="s">
        <v>281</v>
      </c>
      <c r="C193" s="1">
        <v>13.067</v>
      </c>
      <c r="D193" s="1">
        <v>0</v>
      </c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</row>
    <row r="194" spans="1:27" x14ac:dyDescent="0.25">
      <c r="A194" s="1">
        <v>2453170.7448499999</v>
      </c>
      <c r="B194" s="1" t="s">
        <v>282</v>
      </c>
      <c r="C194" s="1">
        <v>13.31</v>
      </c>
      <c r="D194" s="1">
        <v>0</v>
      </c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</row>
    <row r="195" spans="1:27" x14ac:dyDescent="0.25">
      <c r="A195" s="1">
        <v>2453173.7039399999</v>
      </c>
      <c r="B195" s="1" t="s">
        <v>283</v>
      </c>
      <c r="C195" s="1">
        <v>12.833</v>
      </c>
      <c r="D195" s="1">
        <v>0</v>
      </c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</row>
    <row r="196" spans="1:27" x14ac:dyDescent="0.25">
      <c r="A196" s="1">
        <v>2453176.7489999998</v>
      </c>
      <c r="B196" s="1" t="s">
        <v>284</v>
      </c>
      <c r="C196" s="1">
        <v>13.058999999999999</v>
      </c>
      <c r="D196" s="1">
        <v>0</v>
      </c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</row>
    <row r="197" spans="1:27" x14ac:dyDescent="0.25">
      <c r="A197" s="1">
        <v>2453179.67288</v>
      </c>
      <c r="B197" s="1" t="s">
        <v>285</v>
      </c>
      <c r="C197" s="1">
        <v>12.997999999999999</v>
      </c>
      <c r="D197" s="1">
        <v>0</v>
      </c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</row>
    <row r="198" spans="1:27" x14ac:dyDescent="0.25">
      <c r="A198" s="1">
        <v>2453182.68579</v>
      </c>
      <c r="B198" s="1" t="s">
        <v>286</v>
      </c>
      <c r="C198" s="1">
        <v>13.066000000000001</v>
      </c>
      <c r="D198" s="1">
        <v>0</v>
      </c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</row>
    <row r="199" spans="1:27" x14ac:dyDescent="0.25">
      <c r="A199" s="1">
        <v>2453184.67289</v>
      </c>
      <c r="B199" s="1" t="s">
        <v>287</v>
      </c>
      <c r="C199" s="1">
        <v>12.974</v>
      </c>
      <c r="D199" s="1">
        <v>0</v>
      </c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</row>
    <row r="200" spans="1:27" x14ac:dyDescent="0.25">
      <c r="A200" s="1">
        <v>2453186.6986500002</v>
      </c>
      <c r="B200" s="1" t="s">
        <v>288</v>
      </c>
      <c r="C200" s="1">
        <v>13.138</v>
      </c>
      <c r="D200" s="1">
        <v>0</v>
      </c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</row>
    <row r="201" spans="1:27" x14ac:dyDescent="0.25">
      <c r="A201" s="1">
        <v>2453189.7258899999</v>
      </c>
      <c r="B201" s="1" t="s">
        <v>289</v>
      </c>
      <c r="C201" s="1">
        <v>13.289</v>
      </c>
      <c r="D201" s="1">
        <v>0</v>
      </c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</row>
    <row r="202" spans="1:27" x14ac:dyDescent="0.25">
      <c r="A202" s="1">
        <v>2453191.8276999998</v>
      </c>
      <c r="B202" s="1" t="s">
        <v>290</v>
      </c>
      <c r="C202" s="1">
        <v>12.843999999999999</v>
      </c>
      <c r="D202" s="1">
        <v>0</v>
      </c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</row>
    <row r="203" spans="1:27" x14ac:dyDescent="0.25">
      <c r="A203" s="1">
        <v>2453266.5267500002</v>
      </c>
      <c r="B203" s="1" t="s">
        <v>291</v>
      </c>
      <c r="C203" s="1">
        <v>12.814500000000001</v>
      </c>
      <c r="D203" s="1">
        <v>2.2499999999999999E-2</v>
      </c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</row>
    <row r="204" spans="1:27" x14ac:dyDescent="0.25">
      <c r="A204" s="1">
        <v>2453272.49107</v>
      </c>
      <c r="B204" s="1" t="s">
        <v>292</v>
      </c>
      <c r="C204" s="1">
        <v>12.741</v>
      </c>
      <c r="D204" s="1">
        <v>0</v>
      </c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</row>
    <row r="205" spans="1:27" x14ac:dyDescent="0.25">
      <c r="A205" s="1">
        <v>2453274.6100699999</v>
      </c>
      <c r="B205" s="1" t="s">
        <v>293</v>
      </c>
      <c r="C205" s="1">
        <v>12.7865</v>
      </c>
      <c r="D205" s="1">
        <v>7.4999999999999997E-3</v>
      </c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</row>
    <row r="206" spans="1:27" x14ac:dyDescent="0.25">
      <c r="A206" s="1">
        <v>2453277.5733099999</v>
      </c>
      <c r="B206" s="1" t="s">
        <v>294</v>
      </c>
      <c r="C206" s="1">
        <v>12.8925</v>
      </c>
      <c r="D206" s="1">
        <v>0.1905</v>
      </c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</row>
    <row r="207" spans="1:27" x14ac:dyDescent="0.25">
      <c r="A207" s="1">
        <v>2453279.59632</v>
      </c>
      <c r="B207" s="1" t="s">
        <v>295</v>
      </c>
      <c r="C207" s="1">
        <v>12.858499999999999</v>
      </c>
      <c r="D207" s="1">
        <v>6.6500000000000004E-2</v>
      </c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</row>
    <row r="208" spans="1:27" x14ac:dyDescent="0.25">
      <c r="A208" s="1">
        <v>2453292.5480999998</v>
      </c>
      <c r="B208" s="1" t="s">
        <v>296</v>
      </c>
      <c r="C208" s="1">
        <v>12.726000000000001</v>
      </c>
      <c r="D208" s="1">
        <v>0</v>
      </c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</row>
    <row r="209" spans="1:27" x14ac:dyDescent="0.25">
      <c r="A209" s="1">
        <v>2453299.49743</v>
      </c>
      <c r="B209" s="1" t="s">
        <v>297</v>
      </c>
      <c r="C209" s="1">
        <v>12.833</v>
      </c>
      <c r="D209" s="1">
        <v>0</v>
      </c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</row>
    <row r="210" spans="1:27" x14ac:dyDescent="0.25">
      <c r="A210" s="1">
        <v>2453417.8909900002</v>
      </c>
      <c r="B210" s="1" t="s">
        <v>298</v>
      </c>
      <c r="C210" s="1">
        <v>12.266</v>
      </c>
      <c r="D210" s="1">
        <v>0</v>
      </c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</row>
    <row r="211" spans="1:27" x14ac:dyDescent="0.25">
      <c r="A211" s="1">
        <v>2453421.89995</v>
      </c>
      <c r="B211" s="1" t="s">
        <v>299</v>
      </c>
      <c r="C211" s="1">
        <v>12.271000000000001</v>
      </c>
      <c r="D211" s="1">
        <v>0</v>
      </c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</row>
    <row r="212" spans="1:27" x14ac:dyDescent="0.25">
      <c r="A212" s="1">
        <v>2453425.8967599999</v>
      </c>
      <c r="B212" s="1" t="s">
        <v>300</v>
      </c>
      <c r="C212" s="1">
        <v>12.291</v>
      </c>
      <c r="D212" s="1">
        <v>7.6999999999999999E-2</v>
      </c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</row>
    <row r="213" spans="1:27" x14ac:dyDescent="0.25">
      <c r="A213" s="1">
        <v>2453444.8801299999</v>
      </c>
      <c r="B213" s="1" t="s">
        <v>301</v>
      </c>
      <c r="C213" s="1">
        <v>12.427</v>
      </c>
      <c r="D213" s="1">
        <v>0</v>
      </c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</row>
    <row r="214" spans="1:27" x14ac:dyDescent="0.25">
      <c r="A214" s="1">
        <v>2453447.8666300001</v>
      </c>
      <c r="B214" s="1" t="s">
        <v>302</v>
      </c>
      <c r="C214" s="1">
        <v>12.455</v>
      </c>
      <c r="D214" s="1">
        <v>0</v>
      </c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</row>
    <row r="215" spans="1:27" x14ac:dyDescent="0.25">
      <c r="A215" s="1">
        <v>2453448.8947700001</v>
      </c>
      <c r="B215" s="1" t="s">
        <v>303</v>
      </c>
      <c r="C215" s="1">
        <v>12.45</v>
      </c>
      <c r="D215" s="1">
        <v>0</v>
      </c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</row>
    <row r="216" spans="1:27" x14ac:dyDescent="0.25">
      <c r="A216" s="1">
        <v>2453452.89904</v>
      </c>
      <c r="B216" s="1" t="s">
        <v>304</v>
      </c>
      <c r="C216" s="1">
        <v>12.542999999999999</v>
      </c>
      <c r="D216" s="1">
        <v>0</v>
      </c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</row>
    <row r="217" spans="1:27" x14ac:dyDescent="0.25">
      <c r="A217" s="1">
        <v>2453455.8563899999</v>
      </c>
      <c r="B217" s="1" t="s">
        <v>305</v>
      </c>
      <c r="C217" s="1">
        <v>12.64</v>
      </c>
      <c r="D217" s="1">
        <v>5.3999999999999999E-2</v>
      </c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</row>
    <row r="218" spans="1:27" x14ac:dyDescent="0.25">
      <c r="A218" s="1">
        <v>2453459.3604600001</v>
      </c>
      <c r="B218" s="1" t="s">
        <v>306</v>
      </c>
      <c r="C218" s="1">
        <v>12.6105</v>
      </c>
      <c r="D218" s="1">
        <v>1.0500000000000001E-2</v>
      </c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</row>
    <row r="219" spans="1:27" x14ac:dyDescent="0.25">
      <c r="A219" s="1">
        <v>2453464.8536100001</v>
      </c>
      <c r="B219" s="1" t="s">
        <v>307</v>
      </c>
      <c r="C219" s="1">
        <v>12.554500000000001</v>
      </c>
      <c r="D219" s="1">
        <v>3.5499999999999997E-2</v>
      </c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</row>
    <row r="220" spans="1:27" x14ac:dyDescent="0.25">
      <c r="A220" s="1">
        <v>2453468.8562699999</v>
      </c>
      <c r="B220" s="1" t="s">
        <v>308</v>
      </c>
      <c r="C220" s="1">
        <v>12.708500000000001</v>
      </c>
      <c r="D220" s="1">
        <v>0.1225</v>
      </c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x14ac:dyDescent="0.25">
      <c r="A221" s="1">
        <v>2453471.8844699999</v>
      </c>
      <c r="B221" s="1" t="s">
        <v>309</v>
      </c>
      <c r="C221" s="1">
        <v>12.553000000000001</v>
      </c>
      <c r="D221" s="1">
        <v>0</v>
      </c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</row>
    <row r="222" spans="1:27" x14ac:dyDescent="0.25">
      <c r="A222" s="1">
        <v>2453474.8621999999</v>
      </c>
      <c r="B222" s="1" t="s">
        <v>310</v>
      </c>
      <c r="C222" s="1">
        <v>12.615</v>
      </c>
      <c r="D222" s="1">
        <v>0</v>
      </c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</row>
    <row r="223" spans="1:27" x14ac:dyDescent="0.25">
      <c r="A223" s="1">
        <v>2453477.8465</v>
      </c>
      <c r="B223" s="1" t="s">
        <v>311</v>
      </c>
      <c r="C223" s="1">
        <v>12.644</v>
      </c>
      <c r="D223" s="1">
        <v>0</v>
      </c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</row>
    <row r="224" spans="1:27" x14ac:dyDescent="0.25">
      <c r="A224" s="1">
        <v>2453480.8323300001</v>
      </c>
      <c r="B224" s="1" t="s">
        <v>312</v>
      </c>
      <c r="C224" s="1">
        <v>12.715</v>
      </c>
      <c r="D224" s="1">
        <v>0</v>
      </c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</row>
    <row r="225" spans="1:27" x14ac:dyDescent="0.25">
      <c r="A225" s="1">
        <v>2453483.8057900001</v>
      </c>
      <c r="B225" s="1" t="s">
        <v>313</v>
      </c>
      <c r="C225" s="1">
        <v>12.693</v>
      </c>
      <c r="D225" s="1">
        <v>0</v>
      </c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</row>
    <row r="226" spans="1:27" x14ac:dyDescent="0.25">
      <c r="A226" s="1">
        <v>2453487.8732500002</v>
      </c>
      <c r="B226" s="1" t="s">
        <v>314</v>
      </c>
      <c r="C226" s="1">
        <v>12.654999999999999</v>
      </c>
      <c r="D226" s="1">
        <v>0</v>
      </c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</row>
    <row r="227" spans="1:27" x14ac:dyDescent="0.25">
      <c r="A227" s="1">
        <v>2453490.8689700002</v>
      </c>
      <c r="B227" s="1" t="s">
        <v>315</v>
      </c>
      <c r="C227" s="1">
        <v>12.538</v>
      </c>
      <c r="D227" s="1">
        <v>0</v>
      </c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</row>
    <row r="228" spans="1:27" x14ac:dyDescent="0.25">
      <c r="A228" s="1">
        <v>2453499.83243</v>
      </c>
      <c r="B228" s="1" t="s">
        <v>316</v>
      </c>
      <c r="C228" s="1">
        <v>12.8</v>
      </c>
      <c r="D228" s="1">
        <v>0</v>
      </c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</row>
    <row r="229" spans="1:27" x14ac:dyDescent="0.25">
      <c r="A229" s="1">
        <v>2453502.7918400001</v>
      </c>
      <c r="B229" s="1" t="s">
        <v>317</v>
      </c>
      <c r="C229" s="1">
        <v>12.682</v>
      </c>
      <c r="D229" s="1">
        <v>7.0999999999999994E-2</v>
      </c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</row>
    <row r="230" spans="1:27" x14ac:dyDescent="0.25">
      <c r="A230" s="1">
        <v>2453504.8272199999</v>
      </c>
      <c r="B230" s="1" t="s">
        <v>318</v>
      </c>
      <c r="C230" s="1">
        <v>12.804</v>
      </c>
      <c r="D230" s="1">
        <v>0</v>
      </c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</row>
    <row r="231" spans="1:27" x14ac:dyDescent="0.25">
      <c r="A231" s="1">
        <v>2453506.8055400001</v>
      </c>
      <c r="B231" s="1" t="s">
        <v>319</v>
      </c>
      <c r="C231" s="1">
        <v>12.667</v>
      </c>
      <c r="D231" s="1">
        <v>0</v>
      </c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</row>
    <row r="232" spans="1:27" x14ac:dyDescent="0.25">
      <c r="A232" s="1">
        <v>2453508.8279300001</v>
      </c>
      <c r="B232" s="1" t="s">
        <v>320</v>
      </c>
      <c r="C232" s="1">
        <v>12.711</v>
      </c>
      <c r="D232" s="1">
        <v>0</v>
      </c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</row>
    <row r="233" spans="1:27" x14ac:dyDescent="0.25">
      <c r="A233" s="1">
        <v>2453509.83984</v>
      </c>
      <c r="B233" s="1" t="s">
        <v>321</v>
      </c>
      <c r="C233" s="1">
        <v>12.749000000000001</v>
      </c>
      <c r="D233" s="1">
        <v>0</v>
      </c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1:27" x14ac:dyDescent="0.25">
      <c r="A234" s="1">
        <v>2453512.2607</v>
      </c>
      <c r="B234" s="1" t="s">
        <v>322</v>
      </c>
      <c r="C234" s="1">
        <v>12.762</v>
      </c>
      <c r="D234" s="1">
        <v>3.0000000000000001E-3</v>
      </c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1:27" x14ac:dyDescent="0.25">
      <c r="A235" s="1">
        <v>2453517.79446</v>
      </c>
      <c r="B235" s="1" t="s">
        <v>323</v>
      </c>
      <c r="C235" s="1">
        <v>12.768000000000001</v>
      </c>
      <c r="D235" s="1">
        <v>0</v>
      </c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1:27" x14ac:dyDescent="0.25">
      <c r="A236" s="1">
        <v>2453521.8023199998</v>
      </c>
      <c r="B236" s="1" t="s">
        <v>324</v>
      </c>
      <c r="C236" s="1">
        <v>12.814</v>
      </c>
      <c r="D236" s="1">
        <v>8.4000000000000005E-2</v>
      </c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1:27" x14ac:dyDescent="0.25">
      <c r="A237" s="1">
        <v>2453524.2749000001</v>
      </c>
      <c r="B237" s="1" t="s">
        <v>325</v>
      </c>
      <c r="C237" s="1">
        <v>12.805</v>
      </c>
      <c r="D237" s="1">
        <v>0.03</v>
      </c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1:27" x14ac:dyDescent="0.25">
      <c r="A238" s="1">
        <v>2453526.7210200001</v>
      </c>
      <c r="B238" s="1" t="s">
        <v>326</v>
      </c>
      <c r="C238" s="1">
        <v>12.75</v>
      </c>
      <c r="D238" s="1">
        <v>0</v>
      </c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239" spans="1:27" x14ac:dyDescent="0.25">
      <c r="A239" s="1">
        <v>2453528.8142599999</v>
      </c>
      <c r="B239" s="1" t="s">
        <v>327</v>
      </c>
      <c r="C239" s="1">
        <v>12.808999999999999</v>
      </c>
      <c r="D239" s="1">
        <v>0.106</v>
      </c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</row>
    <row r="240" spans="1:27" x14ac:dyDescent="0.25">
      <c r="A240" s="1">
        <v>2453537.8025000002</v>
      </c>
      <c r="B240" s="1" t="s">
        <v>328</v>
      </c>
      <c r="C240" s="1">
        <v>12.737</v>
      </c>
      <c r="D240" s="1">
        <v>0</v>
      </c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</row>
    <row r="241" spans="1:27" x14ac:dyDescent="0.25">
      <c r="A241" s="1">
        <v>2453539.7474000002</v>
      </c>
      <c r="B241" s="1" t="s">
        <v>329</v>
      </c>
      <c r="C241" s="1">
        <v>12.836</v>
      </c>
      <c r="D241" s="1">
        <v>0</v>
      </c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</row>
    <row r="242" spans="1:27" x14ac:dyDescent="0.25">
      <c r="A242" s="1">
        <v>2453542.69405</v>
      </c>
      <c r="B242" s="1" t="s">
        <v>330</v>
      </c>
      <c r="C242" s="1">
        <v>12.879</v>
      </c>
      <c r="D242" s="1">
        <v>0</v>
      </c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</row>
    <row r="243" spans="1:27" x14ac:dyDescent="0.25">
      <c r="A243" s="1">
        <v>2453550.7141499999</v>
      </c>
      <c r="B243" s="1" t="s">
        <v>331</v>
      </c>
      <c r="C243" s="1">
        <v>12.9095</v>
      </c>
      <c r="D243" s="1">
        <v>3.3500000000000002E-2</v>
      </c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</row>
    <row r="244" spans="1:27" x14ac:dyDescent="0.25">
      <c r="A244" s="1">
        <v>2453552.7448700001</v>
      </c>
      <c r="B244" s="1" t="s">
        <v>332</v>
      </c>
      <c r="C244" s="1">
        <v>12.901</v>
      </c>
      <c r="D244" s="1">
        <v>7.9000000000000001E-2</v>
      </c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</row>
    <row r="245" spans="1:27" x14ac:dyDescent="0.25">
      <c r="A245" s="1">
        <v>2453555.7508100001</v>
      </c>
      <c r="B245" s="1" t="s">
        <v>333</v>
      </c>
      <c r="C245" s="1">
        <v>12.970499999999999</v>
      </c>
      <c r="D245" s="1">
        <v>5.0000000000000001E-4</v>
      </c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</row>
    <row r="246" spans="1:27" x14ac:dyDescent="0.25">
      <c r="A246" s="1">
        <v>2453559.2477000002</v>
      </c>
      <c r="B246" s="1" t="s">
        <v>334</v>
      </c>
      <c r="C246" s="1">
        <v>12.907999999999999</v>
      </c>
      <c r="D246" s="1">
        <v>5.5E-2</v>
      </c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</row>
    <row r="247" spans="1:27" x14ac:dyDescent="0.25">
      <c r="A247" s="1">
        <v>2453561.2384799998</v>
      </c>
      <c r="B247" s="1" t="s">
        <v>335</v>
      </c>
      <c r="C247" s="1">
        <v>12.834</v>
      </c>
      <c r="D247" s="1">
        <v>6.2E-2</v>
      </c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</row>
    <row r="248" spans="1:27" x14ac:dyDescent="0.25">
      <c r="A248" s="1">
        <v>2453563.6623900002</v>
      </c>
      <c r="B248" s="1" t="s">
        <v>336</v>
      </c>
      <c r="C248" s="1">
        <v>12.945499999999999</v>
      </c>
      <c r="D248" s="1">
        <v>5.3499999999999999E-2</v>
      </c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</row>
    <row r="249" spans="1:27" x14ac:dyDescent="0.25">
      <c r="A249" s="1">
        <v>2453568.8009000001</v>
      </c>
      <c r="B249" s="1" t="s">
        <v>337</v>
      </c>
      <c r="C249" s="1">
        <v>12.972</v>
      </c>
      <c r="D249" s="1">
        <v>0</v>
      </c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</row>
    <row r="250" spans="1:27" x14ac:dyDescent="0.25">
      <c r="A250" s="1">
        <v>2453573.2337099998</v>
      </c>
      <c r="B250" s="1" t="s">
        <v>338</v>
      </c>
      <c r="C250" s="1">
        <v>12.949</v>
      </c>
      <c r="D250" s="1">
        <v>4.9000000000000002E-2</v>
      </c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</row>
    <row r="251" spans="1:27" x14ac:dyDescent="0.25">
      <c r="A251" s="1">
        <v>2453575.6309400001</v>
      </c>
      <c r="B251" s="1" t="s">
        <v>339</v>
      </c>
      <c r="C251" s="1">
        <v>12.987500000000001</v>
      </c>
      <c r="D251" s="1">
        <v>2.5499999999999998E-2</v>
      </c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</row>
    <row r="252" spans="1:27" x14ac:dyDescent="0.25">
      <c r="A252" s="1">
        <v>2453577.6696000001</v>
      </c>
      <c r="B252" s="1" t="s">
        <v>340</v>
      </c>
      <c r="C252" s="1">
        <v>12.9625</v>
      </c>
      <c r="D252" s="1">
        <v>2.2499999999999999E-2</v>
      </c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</row>
    <row r="253" spans="1:27" x14ac:dyDescent="0.25">
      <c r="A253" s="1">
        <v>2453582.7717900001</v>
      </c>
      <c r="B253" s="1" t="s">
        <v>341</v>
      </c>
      <c r="C253" s="1">
        <v>12.885999999999999</v>
      </c>
      <c r="D253" s="1">
        <v>0</v>
      </c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</row>
    <row r="254" spans="1:27" x14ac:dyDescent="0.25">
      <c r="A254" s="1">
        <v>2453584.7286700001</v>
      </c>
      <c r="B254" s="1" t="s">
        <v>342</v>
      </c>
      <c r="C254" s="1">
        <v>13.021000000000001</v>
      </c>
      <c r="D254" s="1">
        <v>0</v>
      </c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</row>
    <row r="255" spans="1:27" x14ac:dyDescent="0.25">
      <c r="A255" s="1">
        <v>2453586.6751999999</v>
      </c>
      <c r="B255" s="1" t="s">
        <v>343</v>
      </c>
      <c r="C255" s="1">
        <v>13.0055</v>
      </c>
      <c r="D255" s="1">
        <v>3.15E-2</v>
      </c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</row>
    <row r="256" spans="1:27" x14ac:dyDescent="0.25">
      <c r="A256" s="1">
        <v>2453588.6982800001</v>
      </c>
      <c r="B256" s="1" t="s">
        <v>344</v>
      </c>
      <c r="C256" s="1">
        <v>12.952</v>
      </c>
      <c r="D256" s="1">
        <v>0</v>
      </c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</row>
    <row r="257" spans="1:27" x14ac:dyDescent="0.25">
      <c r="A257" s="1">
        <v>2453591.554</v>
      </c>
      <c r="B257" s="1" t="s">
        <v>345</v>
      </c>
      <c r="C257" s="1">
        <v>13.09</v>
      </c>
      <c r="D257" s="1">
        <v>0</v>
      </c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</row>
    <row r="258" spans="1:27" x14ac:dyDescent="0.25">
      <c r="A258" s="1">
        <v>2453594.53229</v>
      </c>
      <c r="B258" s="1" t="s">
        <v>346</v>
      </c>
      <c r="C258" s="1">
        <v>13.025</v>
      </c>
      <c r="D258" s="1">
        <v>0</v>
      </c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</row>
    <row r="259" spans="1:27" x14ac:dyDescent="0.25">
      <c r="A259" s="1">
        <v>2453602.5682799998</v>
      </c>
      <c r="B259" s="1" t="s">
        <v>347</v>
      </c>
      <c r="C259" s="1">
        <v>13.2</v>
      </c>
      <c r="D259" s="1">
        <v>0</v>
      </c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</row>
    <row r="260" spans="1:27" x14ac:dyDescent="0.25">
      <c r="A260" s="1">
        <v>2453604.5844999999</v>
      </c>
      <c r="B260" s="1" t="s">
        <v>348</v>
      </c>
      <c r="C260" s="1">
        <v>13.176</v>
      </c>
      <c r="D260" s="1">
        <v>6.3E-2</v>
      </c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</row>
    <row r="261" spans="1:27" x14ac:dyDescent="0.25">
      <c r="A261" s="1">
        <v>2453609.5323600001</v>
      </c>
      <c r="B261" s="1" t="s">
        <v>349</v>
      </c>
      <c r="C261" s="1">
        <v>13.2515</v>
      </c>
      <c r="D261" s="1">
        <v>7.2499999999999995E-2</v>
      </c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</row>
    <row r="262" spans="1:27" x14ac:dyDescent="0.25">
      <c r="A262" s="1">
        <v>2453615.5226799999</v>
      </c>
      <c r="B262" s="1" t="s">
        <v>350</v>
      </c>
      <c r="C262" s="1">
        <v>13.222</v>
      </c>
      <c r="D262" s="1">
        <v>0</v>
      </c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</row>
    <row r="263" spans="1:27" x14ac:dyDescent="0.25">
      <c r="A263" s="1">
        <v>2453618.5597999999</v>
      </c>
      <c r="B263" s="1" t="s">
        <v>351</v>
      </c>
      <c r="C263" s="1">
        <v>13.192</v>
      </c>
      <c r="D263" s="1">
        <v>0</v>
      </c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</row>
    <row r="264" spans="1:27" x14ac:dyDescent="0.25">
      <c r="A264" s="1">
        <v>2453620.6078300001</v>
      </c>
      <c r="B264" s="1" t="s">
        <v>352</v>
      </c>
      <c r="C264" s="1">
        <v>13.577500000000001</v>
      </c>
      <c r="D264" s="1">
        <v>0.28549999999999998</v>
      </c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</row>
    <row r="265" spans="1:27" x14ac:dyDescent="0.25">
      <c r="A265" s="1">
        <v>2453622.6471299999</v>
      </c>
      <c r="B265" s="1" t="s">
        <v>353</v>
      </c>
      <c r="C265" s="1">
        <v>13.411</v>
      </c>
      <c r="D265" s="1">
        <v>0</v>
      </c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</row>
    <row r="266" spans="1:27" x14ac:dyDescent="0.25">
      <c r="A266" s="1">
        <v>2453628.4936199998</v>
      </c>
      <c r="B266" s="1" t="s">
        <v>354</v>
      </c>
      <c r="C266" s="1">
        <v>13.397</v>
      </c>
      <c r="D266" s="1">
        <v>0</v>
      </c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</row>
    <row r="267" spans="1:27" x14ac:dyDescent="0.25">
      <c r="A267" s="1">
        <v>2453630.5745600001</v>
      </c>
      <c r="B267" s="1" t="s">
        <v>355</v>
      </c>
      <c r="C267" s="1">
        <v>13.97</v>
      </c>
      <c r="D267" s="1">
        <v>0</v>
      </c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</row>
    <row r="268" spans="1:27" x14ac:dyDescent="0.25">
      <c r="A268" s="1">
        <v>2453632.58115</v>
      </c>
      <c r="B268" s="1" t="s">
        <v>356</v>
      </c>
      <c r="C268" s="1">
        <v>13.451000000000001</v>
      </c>
      <c r="D268" s="1">
        <v>0</v>
      </c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x14ac:dyDescent="0.25">
      <c r="A269" s="1">
        <v>2453634.60934</v>
      </c>
      <c r="B269" s="1" t="s">
        <v>357</v>
      </c>
      <c r="C269" s="1">
        <v>13.430999999999999</v>
      </c>
      <c r="D269" s="1">
        <v>0</v>
      </c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</row>
    <row r="270" spans="1:27" x14ac:dyDescent="0.25">
      <c r="A270" s="1">
        <v>2453637.6267499998</v>
      </c>
      <c r="B270" s="1" t="s">
        <v>358</v>
      </c>
      <c r="C270" s="1">
        <v>13.654</v>
      </c>
      <c r="D270" s="1">
        <v>2.1999999999999999E-2</v>
      </c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</row>
    <row r="271" spans="1:27" x14ac:dyDescent="0.25">
      <c r="A271" s="1">
        <v>2453641.58494</v>
      </c>
      <c r="B271" s="1" t="s">
        <v>359</v>
      </c>
      <c r="C271" s="1">
        <v>13.718999999999999</v>
      </c>
      <c r="D271" s="1">
        <v>3.2000000000000001E-2</v>
      </c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</row>
    <row r="272" spans="1:27" x14ac:dyDescent="0.25">
      <c r="A272" s="1">
        <v>2453644.0787900002</v>
      </c>
      <c r="B272" s="1" t="s">
        <v>360</v>
      </c>
      <c r="C272" s="1">
        <v>13.509</v>
      </c>
      <c r="D272" s="1">
        <v>3.4000000000000002E-2</v>
      </c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</row>
    <row r="273" spans="1:27" x14ac:dyDescent="0.25">
      <c r="A273" s="1">
        <v>2453648.5225200001</v>
      </c>
      <c r="B273" s="1" t="s">
        <v>361</v>
      </c>
      <c r="C273" s="1">
        <v>13.507999999999999</v>
      </c>
      <c r="D273" s="1">
        <v>0</v>
      </c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</row>
    <row r="274" spans="1:27" x14ac:dyDescent="0.25">
      <c r="A274" s="1">
        <v>2453650.5525400001</v>
      </c>
      <c r="B274" s="1" t="s">
        <v>362</v>
      </c>
      <c r="C274" s="1">
        <v>13.614000000000001</v>
      </c>
      <c r="D274" s="1">
        <v>0</v>
      </c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</row>
    <row r="275" spans="1:27" x14ac:dyDescent="0.25">
      <c r="A275" s="1">
        <v>2453657.56586</v>
      </c>
      <c r="B275" s="1" t="s">
        <v>363</v>
      </c>
      <c r="C275" s="1">
        <v>13.839</v>
      </c>
      <c r="D275" s="1">
        <v>8.9999999999999993E-3</v>
      </c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</row>
    <row r="276" spans="1:27" x14ac:dyDescent="0.25">
      <c r="A276" s="1">
        <v>2453662.5415599998</v>
      </c>
      <c r="B276" s="1" t="s">
        <v>364</v>
      </c>
      <c r="C276" s="1">
        <v>13.535</v>
      </c>
      <c r="D276" s="1">
        <v>0</v>
      </c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</row>
    <row r="277" spans="1:27" x14ac:dyDescent="0.25">
      <c r="A277" s="1">
        <v>2453664.55651</v>
      </c>
      <c r="B277" s="1" t="s">
        <v>365</v>
      </c>
      <c r="C277" s="1">
        <v>13.763</v>
      </c>
      <c r="D277" s="1">
        <v>0</v>
      </c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</row>
    <row r="278" spans="1:27" x14ac:dyDescent="0.25">
      <c r="A278" s="1">
        <v>2453668.5348499999</v>
      </c>
      <c r="B278" s="1" t="s">
        <v>366</v>
      </c>
      <c r="C278" s="1">
        <v>13.686500000000001</v>
      </c>
      <c r="D278" s="1">
        <v>4.1500000000000002E-2</v>
      </c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</row>
    <row r="279" spans="1:27" x14ac:dyDescent="0.25">
      <c r="A279" s="1">
        <v>2453671.5263800002</v>
      </c>
      <c r="B279" s="1" t="s">
        <v>367</v>
      </c>
      <c r="C279" s="1">
        <v>13.5945</v>
      </c>
      <c r="D279" s="1">
        <v>3.3500000000000002E-2</v>
      </c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</row>
    <row r="280" spans="1:27" x14ac:dyDescent="0.25">
      <c r="A280" s="1">
        <v>2453674.5302400002</v>
      </c>
      <c r="B280" s="1" t="s">
        <v>368</v>
      </c>
      <c r="C280" s="1">
        <v>13.58</v>
      </c>
      <c r="D280" s="1">
        <v>0</v>
      </c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</row>
    <row r="281" spans="1:27" x14ac:dyDescent="0.25">
      <c r="A281" s="1">
        <v>2453677.517</v>
      </c>
      <c r="B281" s="1" t="s">
        <v>369</v>
      </c>
      <c r="C281" s="1">
        <v>13.461</v>
      </c>
      <c r="D281" s="1">
        <v>0</v>
      </c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</row>
    <row r="282" spans="1:27" x14ac:dyDescent="0.25">
      <c r="A282" s="1">
        <v>2453792.8922899999</v>
      </c>
      <c r="B282" s="1" t="s">
        <v>370</v>
      </c>
      <c r="C282" s="1">
        <v>12.792</v>
      </c>
      <c r="D282" s="1">
        <v>0</v>
      </c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</row>
    <row r="283" spans="1:27" x14ac:dyDescent="0.25">
      <c r="A283" s="1">
        <v>2453796.8936000001</v>
      </c>
      <c r="B283" s="1" t="s">
        <v>371</v>
      </c>
      <c r="C283" s="1">
        <v>12.923</v>
      </c>
      <c r="D283" s="1">
        <v>0</v>
      </c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</row>
    <row r="284" spans="1:27" x14ac:dyDescent="0.25">
      <c r="A284" s="1">
        <v>2453798.9047400001</v>
      </c>
      <c r="B284" s="1" t="s">
        <v>372</v>
      </c>
      <c r="C284" s="1">
        <v>12.872999999999999</v>
      </c>
      <c r="D284" s="1">
        <v>0</v>
      </c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</row>
    <row r="285" spans="1:27" x14ac:dyDescent="0.25">
      <c r="A285" s="1">
        <v>2453800.8939499999</v>
      </c>
      <c r="B285" s="1" t="s">
        <v>373</v>
      </c>
      <c r="C285" s="1">
        <v>12.923</v>
      </c>
      <c r="D285" s="1">
        <v>0</v>
      </c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</row>
    <row r="286" spans="1:27" x14ac:dyDescent="0.25">
      <c r="A286" s="1">
        <v>2453808.8785999999</v>
      </c>
      <c r="B286" s="1" t="s">
        <v>374</v>
      </c>
      <c r="C286" s="1">
        <v>12.891999999999999</v>
      </c>
      <c r="D286" s="1">
        <v>0</v>
      </c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</row>
    <row r="287" spans="1:27" x14ac:dyDescent="0.25">
      <c r="A287" s="1">
        <v>2453809.89806</v>
      </c>
      <c r="B287" s="1" t="s">
        <v>375</v>
      </c>
      <c r="C287" s="1">
        <v>12.792</v>
      </c>
      <c r="D287" s="1">
        <v>0</v>
      </c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</row>
    <row r="288" spans="1:27" x14ac:dyDescent="0.25">
      <c r="A288" s="1">
        <v>2453812.8804199998</v>
      </c>
      <c r="B288" s="1" t="s">
        <v>376</v>
      </c>
      <c r="C288" s="1">
        <v>12.925000000000001</v>
      </c>
      <c r="D288" s="1">
        <v>0</v>
      </c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</row>
    <row r="289" spans="1:27" x14ac:dyDescent="0.25">
      <c r="A289" s="1">
        <v>2453813.8838300002</v>
      </c>
      <c r="B289" s="1" t="s">
        <v>377</v>
      </c>
      <c r="C289" s="1">
        <v>12.811</v>
      </c>
      <c r="D289" s="1">
        <v>0</v>
      </c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</row>
    <row r="290" spans="1:27" x14ac:dyDescent="0.25">
      <c r="A290" s="1">
        <v>2453820.3753</v>
      </c>
      <c r="B290" s="1" t="s">
        <v>378</v>
      </c>
      <c r="C290" s="1">
        <v>12.743</v>
      </c>
      <c r="D290" s="1">
        <v>5.8000000000000003E-2</v>
      </c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</row>
    <row r="291" spans="1:27" x14ac:dyDescent="0.25">
      <c r="A291" s="1">
        <v>2453823.8555700001</v>
      </c>
      <c r="B291" s="1" t="s">
        <v>379</v>
      </c>
      <c r="C291" s="1">
        <v>12.993</v>
      </c>
      <c r="D291" s="1">
        <v>0</v>
      </c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</row>
    <row r="292" spans="1:27" x14ac:dyDescent="0.25">
      <c r="A292" s="1">
        <v>2453824.86271</v>
      </c>
      <c r="B292" s="1" t="s">
        <v>380</v>
      </c>
      <c r="C292" s="1">
        <v>12.785</v>
      </c>
      <c r="D292" s="1">
        <v>0</v>
      </c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</row>
    <row r="293" spans="1:27" x14ac:dyDescent="0.25">
      <c r="A293" s="1">
        <v>2453827.8862000001</v>
      </c>
      <c r="B293" s="1" t="s">
        <v>381</v>
      </c>
      <c r="C293" s="1">
        <v>12.840999999999999</v>
      </c>
      <c r="D293" s="1">
        <v>0</v>
      </c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</row>
    <row r="294" spans="1:27" x14ac:dyDescent="0.25">
      <c r="A294" s="1">
        <v>2453831.3870700002</v>
      </c>
      <c r="B294" s="1" t="s">
        <v>382</v>
      </c>
      <c r="C294" s="1">
        <v>12.7235</v>
      </c>
      <c r="D294" s="1">
        <v>6.4999999999999997E-3</v>
      </c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</row>
    <row r="295" spans="1:27" x14ac:dyDescent="0.25">
      <c r="A295" s="1">
        <v>2453834.8327899999</v>
      </c>
      <c r="B295" s="1" t="s">
        <v>383</v>
      </c>
      <c r="C295" s="1">
        <v>12.622</v>
      </c>
      <c r="D295" s="1">
        <v>0</v>
      </c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</row>
    <row r="296" spans="1:27" x14ac:dyDescent="0.25">
      <c r="A296" s="1">
        <v>2453837.8613</v>
      </c>
      <c r="B296" s="1" t="s">
        <v>384</v>
      </c>
      <c r="C296" s="1">
        <v>12.843</v>
      </c>
      <c r="D296" s="1">
        <v>0</v>
      </c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</row>
    <row r="297" spans="1:27" x14ac:dyDescent="0.25">
      <c r="A297" s="1">
        <v>2453847.9046399998</v>
      </c>
      <c r="B297" s="1" t="s">
        <v>385</v>
      </c>
      <c r="C297" s="1">
        <v>12.861000000000001</v>
      </c>
      <c r="D297" s="1">
        <v>9.2999999999999999E-2</v>
      </c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</row>
    <row r="298" spans="1:27" x14ac:dyDescent="0.25">
      <c r="A298" s="1">
        <v>2453850.8432100001</v>
      </c>
      <c r="B298" s="1" t="s">
        <v>386</v>
      </c>
      <c r="C298" s="1">
        <v>12.7455</v>
      </c>
      <c r="D298" s="1">
        <v>9.4999999999999998E-3</v>
      </c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</row>
    <row r="299" spans="1:27" x14ac:dyDescent="0.25">
      <c r="A299" s="1">
        <v>2453853.8324000002</v>
      </c>
      <c r="B299" s="1" t="s">
        <v>387</v>
      </c>
      <c r="C299" s="1">
        <v>12.787000000000001</v>
      </c>
      <c r="D299" s="1">
        <v>6.0000000000000001E-3</v>
      </c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</row>
    <row r="300" spans="1:27" x14ac:dyDescent="0.25">
      <c r="A300" s="1">
        <v>2453856.8157000002</v>
      </c>
      <c r="B300" s="1" t="s">
        <v>388</v>
      </c>
      <c r="C300" s="1">
        <v>12.829000000000001</v>
      </c>
      <c r="D300" s="1">
        <v>5.5E-2</v>
      </c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</row>
    <row r="301" spans="1:27" x14ac:dyDescent="0.25">
      <c r="A301" s="1">
        <v>2453859.8071699999</v>
      </c>
      <c r="B301" s="1" t="s">
        <v>389</v>
      </c>
      <c r="C301" s="1">
        <v>12.712</v>
      </c>
      <c r="D301" s="1">
        <v>4.3999999999999997E-2</v>
      </c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</row>
    <row r="302" spans="1:27" x14ac:dyDescent="0.25">
      <c r="A302" s="1">
        <v>2453862.7882400001</v>
      </c>
      <c r="B302" s="1" t="s">
        <v>390</v>
      </c>
      <c r="C302" s="1">
        <v>12.832000000000001</v>
      </c>
      <c r="D302" s="1">
        <v>0</v>
      </c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</row>
    <row r="303" spans="1:27" x14ac:dyDescent="0.25">
      <c r="A303" s="1">
        <v>2453864.7999200001</v>
      </c>
      <c r="B303" s="1" t="s">
        <v>391</v>
      </c>
      <c r="C303" s="1">
        <v>12.6785</v>
      </c>
      <c r="D303" s="1">
        <v>1.8499999999999999E-2</v>
      </c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</row>
    <row r="304" spans="1:27" x14ac:dyDescent="0.25">
      <c r="A304" s="1">
        <v>2453866.8185999999</v>
      </c>
      <c r="B304" s="1" t="s">
        <v>392</v>
      </c>
      <c r="C304" s="1">
        <v>12.725</v>
      </c>
      <c r="D304" s="1">
        <v>0</v>
      </c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</row>
    <row r="305" spans="1:27" x14ac:dyDescent="0.25">
      <c r="A305" s="1">
        <v>2453868.8182000001</v>
      </c>
      <c r="B305" s="1" t="s">
        <v>393</v>
      </c>
      <c r="C305" s="1">
        <v>12.808999999999999</v>
      </c>
      <c r="D305" s="1">
        <v>1.6E-2</v>
      </c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</row>
    <row r="306" spans="1:27" x14ac:dyDescent="0.25">
      <c r="A306" s="1">
        <v>2453870.7867999999</v>
      </c>
      <c r="B306" s="1" t="s">
        <v>394</v>
      </c>
      <c r="C306" s="1">
        <v>12.79</v>
      </c>
      <c r="D306" s="1">
        <v>0</v>
      </c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</row>
    <row r="307" spans="1:27" x14ac:dyDescent="0.25">
      <c r="A307" s="1">
        <v>2453874.81005</v>
      </c>
      <c r="B307" s="1" t="s">
        <v>395</v>
      </c>
      <c r="C307" s="1">
        <v>12.7395</v>
      </c>
      <c r="D307" s="1">
        <v>3.5000000000000001E-3</v>
      </c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</row>
    <row r="308" spans="1:27" x14ac:dyDescent="0.25">
      <c r="A308" s="1">
        <v>2453877.7739200001</v>
      </c>
      <c r="B308" s="1" t="s">
        <v>396</v>
      </c>
      <c r="C308" s="1">
        <v>12.76</v>
      </c>
      <c r="D308" s="1">
        <v>7.9000000000000001E-2</v>
      </c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</row>
    <row r="309" spans="1:27" x14ac:dyDescent="0.25">
      <c r="A309" s="1">
        <v>2453880.83464</v>
      </c>
      <c r="B309" s="1" t="s">
        <v>397</v>
      </c>
      <c r="C309" s="1">
        <v>12.718999999999999</v>
      </c>
      <c r="D309" s="1">
        <v>1.2E-2</v>
      </c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</row>
    <row r="310" spans="1:27" x14ac:dyDescent="0.25">
      <c r="A310" s="1">
        <v>2453883.8322899998</v>
      </c>
      <c r="B310" s="1" t="s">
        <v>398</v>
      </c>
      <c r="C310" s="1">
        <v>12.8965</v>
      </c>
      <c r="D310" s="1">
        <v>7.1499999999999994E-2</v>
      </c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</row>
    <row r="311" spans="1:27" x14ac:dyDescent="0.25">
      <c r="A311" s="1">
        <v>2453887.77098</v>
      </c>
      <c r="B311" s="1" t="s">
        <v>399</v>
      </c>
      <c r="C311" s="1">
        <v>12.829499999999999</v>
      </c>
      <c r="D311" s="1">
        <v>4.65E-2</v>
      </c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</row>
    <row r="312" spans="1:27" x14ac:dyDescent="0.25">
      <c r="A312" s="1">
        <v>2453892.25544</v>
      </c>
      <c r="B312" s="1" t="s">
        <v>400</v>
      </c>
      <c r="C312" s="1">
        <v>12.8345</v>
      </c>
      <c r="D312" s="1">
        <v>9.4999999999999998E-3</v>
      </c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</row>
    <row r="313" spans="1:27" x14ac:dyDescent="0.25">
      <c r="A313" s="1">
        <v>2453894.2504199999</v>
      </c>
      <c r="B313" s="1" t="s">
        <v>401</v>
      </c>
      <c r="C313" s="1">
        <v>12.9815</v>
      </c>
      <c r="D313" s="1">
        <v>5.4999999999999997E-3</v>
      </c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</row>
    <row r="314" spans="1:27" x14ac:dyDescent="0.25">
      <c r="A314" s="1">
        <v>2453902.2571299998</v>
      </c>
      <c r="B314" s="1" t="s">
        <v>402</v>
      </c>
      <c r="C314" s="1">
        <v>12.9535</v>
      </c>
      <c r="D314" s="1">
        <v>9.6500000000000002E-2</v>
      </c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</row>
    <row r="315" spans="1:27" x14ac:dyDescent="0.25">
      <c r="A315" s="1">
        <v>2453903.7644400001</v>
      </c>
      <c r="B315" s="1" t="s">
        <v>403</v>
      </c>
      <c r="C315" s="1">
        <v>12.866</v>
      </c>
      <c r="D315" s="1">
        <v>0</v>
      </c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</row>
    <row r="316" spans="1:27" x14ac:dyDescent="0.25">
      <c r="A316" s="1">
        <v>2453906.2941399999</v>
      </c>
      <c r="B316" s="1" t="s">
        <v>404</v>
      </c>
      <c r="C316" s="1">
        <v>13.065</v>
      </c>
      <c r="D316" s="1">
        <v>9.6000000000000002E-2</v>
      </c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x14ac:dyDescent="0.25">
      <c r="A317" s="1">
        <v>2453907.7850899999</v>
      </c>
      <c r="B317" s="1" t="s">
        <v>405</v>
      </c>
      <c r="C317" s="1">
        <v>12.981</v>
      </c>
      <c r="D317" s="1">
        <v>0</v>
      </c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</row>
    <row r="318" spans="1:27" x14ac:dyDescent="0.25">
      <c r="A318" s="1">
        <v>2453909.8879900002</v>
      </c>
      <c r="B318" s="1" t="s">
        <v>406</v>
      </c>
      <c r="C318" s="1">
        <v>12.942</v>
      </c>
      <c r="D318" s="1">
        <v>0</v>
      </c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</row>
    <row r="319" spans="1:27" x14ac:dyDescent="0.25">
      <c r="A319" s="1">
        <v>2453912.79372</v>
      </c>
      <c r="B319" s="1" t="s">
        <v>407</v>
      </c>
      <c r="C319" s="1">
        <v>13.071</v>
      </c>
      <c r="D319" s="1">
        <v>0</v>
      </c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</row>
    <row r="320" spans="1:27" x14ac:dyDescent="0.25">
      <c r="A320" s="1">
        <v>2453913.8409799999</v>
      </c>
      <c r="B320" s="1" t="s">
        <v>408</v>
      </c>
      <c r="C320" s="1">
        <v>13.119</v>
      </c>
      <c r="D320" s="1">
        <v>0</v>
      </c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</row>
    <row r="321" spans="1:27" x14ac:dyDescent="0.25">
      <c r="A321" s="1">
        <v>2453925.1381999999</v>
      </c>
      <c r="B321" s="1" t="s">
        <v>409</v>
      </c>
      <c r="C321" s="1">
        <v>12.17</v>
      </c>
      <c r="D321" s="1">
        <v>0</v>
      </c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</row>
    <row r="322" spans="1:27" x14ac:dyDescent="0.25">
      <c r="A322" s="1">
        <v>2453927.5712000001</v>
      </c>
      <c r="B322" s="1" t="s">
        <v>410</v>
      </c>
      <c r="C322" s="1">
        <v>12.015000000000001</v>
      </c>
      <c r="D322" s="1">
        <v>2.5000000000000001E-2</v>
      </c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</row>
    <row r="323" spans="1:27" x14ac:dyDescent="0.25">
      <c r="A323" s="1">
        <v>2453935.0424000002</v>
      </c>
      <c r="B323" s="1" t="s">
        <v>411</v>
      </c>
      <c r="C323" s="1">
        <v>11.79</v>
      </c>
      <c r="D323" s="1">
        <v>0</v>
      </c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</row>
    <row r="324" spans="1:27" x14ac:dyDescent="0.25">
      <c r="A324" s="1">
        <v>2453938.9785000002</v>
      </c>
      <c r="B324" s="1" t="s">
        <v>412</v>
      </c>
      <c r="C324" s="1">
        <v>11.94</v>
      </c>
      <c r="D324" s="1">
        <v>0</v>
      </c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</row>
    <row r="325" spans="1:27" x14ac:dyDescent="0.25">
      <c r="A325" s="1">
        <v>2453945.0306000002</v>
      </c>
      <c r="B325" s="1" t="s">
        <v>413</v>
      </c>
      <c r="C325" s="1">
        <v>11.89</v>
      </c>
      <c r="D325" s="1">
        <v>0</v>
      </c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</row>
    <row r="326" spans="1:27" x14ac:dyDescent="0.25">
      <c r="A326" s="1">
        <v>2453946.1139000002</v>
      </c>
      <c r="B326" s="1" t="s">
        <v>414</v>
      </c>
      <c r="C326" s="1">
        <v>11.84</v>
      </c>
      <c r="D326" s="1">
        <v>0</v>
      </c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</row>
    <row r="327" spans="1:27" x14ac:dyDescent="0.25">
      <c r="A327" s="1">
        <v>2453948.0353999999</v>
      </c>
      <c r="B327" s="1" t="s">
        <v>415</v>
      </c>
      <c r="C327" s="1">
        <v>11.83</v>
      </c>
      <c r="D327" s="1">
        <v>0</v>
      </c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</row>
    <row r="328" spans="1:27" x14ac:dyDescent="0.25">
      <c r="A328" s="1">
        <v>2454161.90142</v>
      </c>
      <c r="B328" s="1" t="s">
        <v>416</v>
      </c>
      <c r="C328" s="1">
        <v>13.582000000000001</v>
      </c>
      <c r="D328" s="1">
        <v>0</v>
      </c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</row>
    <row r="329" spans="1:27" x14ac:dyDescent="0.25">
      <c r="A329" s="1">
        <v>2454175.8917299998</v>
      </c>
      <c r="B329" s="1" t="s">
        <v>417</v>
      </c>
      <c r="C329" s="1">
        <v>13.455</v>
      </c>
      <c r="D329" s="1">
        <v>0</v>
      </c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</row>
    <row r="330" spans="1:27" x14ac:dyDescent="0.25">
      <c r="A330" s="1">
        <v>2454179.8966999999</v>
      </c>
      <c r="B330" s="1" t="s">
        <v>418</v>
      </c>
      <c r="C330" s="1">
        <v>13.544</v>
      </c>
      <c r="D330" s="1">
        <v>0</v>
      </c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</row>
    <row r="331" spans="1:27" x14ac:dyDescent="0.25">
      <c r="A331" s="1">
        <v>2454183.8801600002</v>
      </c>
      <c r="B331" s="1" t="s">
        <v>419</v>
      </c>
      <c r="C331" s="1">
        <v>13.683999999999999</v>
      </c>
      <c r="D331" s="1">
        <v>0</v>
      </c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</row>
    <row r="332" spans="1:27" x14ac:dyDescent="0.25">
      <c r="A332" s="1">
        <v>2454187.9105600002</v>
      </c>
      <c r="B332" s="1" t="s">
        <v>420</v>
      </c>
      <c r="C332" s="1">
        <v>13.706</v>
      </c>
      <c r="D332" s="1">
        <v>0</v>
      </c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</row>
    <row r="333" spans="1:27" x14ac:dyDescent="0.25">
      <c r="A333" s="1">
        <v>2454190.8551699999</v>
      </c>
      <c r="B333" s="1" t="s">
        <v>421</v>
      </c>
      <c r="C333" s="1">
        <v>13.654</v>
      </c>
      <c r="D333" s="1">
        <v>0</v>
      </c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</row>
    <row r="334" spans="1:27" x14ac:dyDescent="0.25">
      <c r="A334" s="1">
        <v>2454191.86564</v>
      </c>
      <c r="B334" s="1" t="s">
        <v>422</v>
      </c>
      <c r="C334" s="1">
        <v>13.653</v>
      </c>
      <c r="D334" s="1">
        <v>0</v>
      </c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</row>
    <row r="335" spans="1:27" x14ac:dyDescent="0.25">
      <c r="A335" s="1">
        <v>2454194.8755100002</v>
      </c>
      <c r="B335" s="1" t="s">
        <v>423</v>
      </c>
      <c r="C335" s="1">
        <v>13.522</v>
      </c>
      <c r="D335" s="1">
        <v>0</v>
      </c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</row>
    <row r="336" spans="1:27" x14ac:dyDescent="0.25">
      <c r="A336" s="1">
        <v>2454203.87463</v>
      </c>
      <c r="B336" s="1" t="s">
        <v>424</v>
      </c>
      <c r="C336" s="1">
        <v>13.811999999999999</v>
      </c>
      <c r="D336" s="1">
        <v>0</v>
      </c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</row>
    <row r="337" spans="1:27" x14ac:dyDescent="0.25">
      <c r="A337" s="1">
        <v>2454207.8906999999</v>
      </c>
      <c r="B337" s="1" t="s">
        <v>425</v>
      </c>
      <c r="C337" s="1">
        <v>13.502000000000001</v>
      </c>
      <c r="D337" s="1">
        <v>0</v>
      </c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</row>
    <row r="338" spans="1:27" x14ac:dyDescent="0.25">
      <c r="A338" s="1">
        <v>2454216.86583</v>
      </c>
      <c r="B338" s="1" t="s">
        <v>426</v>
      </c>
      <c r="C338" s="1">
        <v>13.372</v>
      </c>
      <c r="D338" s="1">
        <v>0</v>
      </c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</row>
    <row r="339" spans="1:27" x14ac:dyDescent="0.25">
      <c r="A339" s="1">
        <v>2454229.8687300002</v>
      </c>
      <c r="B339" s="1" t="s">
        <v>427</v>
      </c>
      <c r="C339" s="1">
        <v>13.335000000000001</v>
      </c>
      <c r="D339" s="1">
        <v>0</v>
      </c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</row>
    <row r="340" spans="1:27" x14ac:dyDescent="0.25">
      <c r="A340" s="1">
        <v>2454231.8671499998</v>
      </c>
      <c r="B340" s="1" t="s">
        <v>428</v>
      </c>
      <c r="C340" s="1">
        <v>13.444000000000001</v>
      </c>
      <c r="D340" s="1">
        <v>0</v>
      </c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</row>
    <row r="341" spans="1:27" x14ac:dyDescent="0.25">
      <c r="A341" s="1">
        <v>2454235.2933700001</v>
      </c>
      <c r="B341" s="1" t="s">
        <v>429</v>
      </c>
      <c r="C341" s="1">
        <v>13.476000000000001</v>
      </c>
      <c r="D341" s="1">
        <v>3.0000000000000001E-3</v>
      </c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</row>
    <row r="342" spans="1:27" x14ac:dyDescent="0.25">
      <c r="A342" s="1">
        <v>2454247.2499199999</v>
      </c>
      <c r="B342" s="1" t="s">
        <v>430</v>
      </c>
      <c r="C342" s="1">
        <v>13.436500000000001</v>
      </c>
      <c r="D342" s="1">
        <v>1.4500000000000001E-2</v>
      </c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</row>
    <row r="343" spans="1:27" x14ac:dyDescent="0.25">
      <c r="A343" s="1">
        <v>2454250.7837499999</v>
      </c>
      <c r="B343" s="1" t="s">
        <v>431</v>
      </c>
      <c r="C343" s="1">
        <v>13.385999999999999</v>
      </c>
      <c r="D343" s="1">
        <v>0</v>
      </c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</row>
    <row r="344" spans="1:27" x14ac:dyDescent="0.25">
      <c r="A344" s="1">
        <v>2454256.7837200002</v>
      </c>
      <c r="B344" s="1" t="s">
        <v>432</v>
      </c>
      <c r="C344" s="1">
        <v>13.441000000000001</v>
      </c>
      <c r="D344" s="1">
        <v>2.1999999999999999E-2</v>
      </c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</row>
    <row r="345" spans="1:27" x14ac:dyDescent="0.25">
      <c r="A345" s="1">
        <v>2454266.7472999999</v>
      </c>
      <c r="B345" s="1" t="s">
        <v>433</v>
      </c>
      <c r="C345" s="1">
        <v>13.487</v>
      </c>
      <c r="D345" s="1">
        <v>0</v>
      </c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</row>
    <row r="346" spans="1:27" x14ac:dyDescent="0.25">
      <c r="A346" s="1">
        <v>2454269.6928300001</v>
      </c>
      <c r="B346" s="1" t="s">
        <v>434</v>
      </c>
      <c r="C346" s="1">
        <v>13.515000000000001</v>
      </c>
      <c r="D346" s="1">
        <v>7.0000000000000001E-3</v>
      </c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</row>
    <row r="347" spans="1:27" x14ac:dyDescent="0.25">
      <c r="A347" s="1">
        <v>2454272.7572400002</v>
      </c>
      <c r="B347" s="1" t="s">
        <v>435</v>
      </c>
      <c r="C347" s="1">
        <v>13.265000000000001</v>
      </c>
      <c r="D347" s="1">
        <v>0</v>
      </c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</row>
    <row r="348" spans="1:27" x14ac:dyDescent="0.25">
      <c r="A348" s="1">
        <v>2454274.7566800001</v>
      </c>
      <c r="B348" s="1" t="s">
        <v>436</v>
      </c>
      <c r="C348" s="1">
        <v>13.265000000000001</v>
      </c>
      <c r="D348" s="1">
        <v>0</v>
      </c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</row>
    <row r="349" spans="1:27" x14ac:dyDescent="0.25">
      <c r="A349" s="1">
        <v>2454277.7051200001</v>
      </c>
      <c r="B349" s="1" t="s">
        <v>437</v>
      </c>
      <c r="C349" s="1">
        <v>13.315</v>
      </c>
      <c r="D349" s="1">
        <v>0</v>
      </c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</row>
    <row r="350" spans="1:27" x14ac:dyDescent="0.25">
      <c r="A350" s="1">
        <v>2454284.7185800001</v>
      </c>
      <c r="B350" s="1" t="s">
        <v>438</v>
      </c>
      <c r="C350" s="1">
        <v>13.081</v>
      </c>
      <c r="D350" s="1">
        <v>0</v>
      </c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</row>
    <row r="351" spans="1:27" x14ac:dyDescent="0.25">
      <c r="A351" s="1">
        <v>2454290.7145099998</v>
      </c>
      <c r="B351" s="1" t="s">
        <v>439</v>
      </c>
      <c r="C351" s="1">
        <v>13.138</v>
      </c>
      <c r="D351" s="1">
        <v>0</v>
      </c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</row>
    <row r="352" spans="1:27" x14ac:dyDescent="0.25">
      <c r="A352" s="1">
        <v>2454292.6960200001</v>
      </c>
      <c r="B352" s="1" t="s">
        <v>440</v>
      </c>
      <c r="C352" s="1">
        <v>13.156000000000001</v>
      </c>
      <c r="D352" s="1">
        <v>0</v>
      </c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</row>
    <row r="353" spans="1:27" x14ac:dyDescent="0.25">
      <c r="A353" s="1">
        <v>2454295.69184</v>
      </c>
      <c r="B353" s="1" t="s">
        <v>441</v>
      </c>
      <c r="C353" s="1">
        <v>13.239000000000001</v>
      </c>
      <c r="D353" s="1">
        <v>0</v>
      </c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</row>
    <row r="354" spans="1:27" x14ac:dyDescent="0.25">
      <c r="A354" s="1">
        <v>2454298.6993100001</v>
      </c>
      <c r="B354" s="1" t="s">
        <v>442</v>
      </c>
      <c r="C354" s="1">
        <v>12.932</v>
      </c>
      <c r="D354" s="1">
        <v>0</v>
      </c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</row>
    <row r="355" spans="1:27" x14ac:dyDescent="0.25">
      <c r="A355" s="1">
        <v>2454300.67521</v>
      </c>
      <c r="B355" s="1" t="s">
        <v>443</v>
      </c>
      <c r="C355" s="1">
        <v>13.029</v>
      </c>
      <c r="D355" s="1">
        <v>0</v>
      </c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</row>
    <row r="356" spans="1:27" x14ac:dyDescent="0.25">
      <c r="A356" s="1">
        <v>2454302.71563</v>
      </c>
      <c r="B356" s="1" t="s">
        <v>444</v>
      </c>
      <c r="C356" s="1">
        <v>12.851000000000001</v>
      </c>
      <c r="D356" s="1">
        <v>0</v>
      </c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</row>
    <row r="357" spans="1:27" x14ac:dyDescent="0.25">
      <c r="A357" s="1">
        <v>2454304.6565999999</v>
      </c>
      <c r="B357" s="1" t="s">
        <v>445</v>
      </c>
      <c r="C357" s="1">
        <v>12.816000000000001</v>
      </c>
      <c r="D357" s="1">
        <v>0</v>
      </c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</row>
    <row r="358" spans="1:27" x14ac:dyDescent="0.25">
      <c r="A358" s="1">
        <v>2454306.6395100001</v>
      </c>
      <c r="B358" s="1" t="s">
        <v>446</v>
      </c>
      <c r="C358" s="1">
        <v>13.03</v>
      </c>
      <c r="D358" s="1">
        <v>0</v>
      </c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</row>
    <row r="359" spans="1:27" x14ac:dyDescent="0.25">
      <c r="A359" s="1">
        <v>2454310.6243500002</v>
      </c>
      <c r="B359" s="1" t="s">
        <v>447</v>
      </c>
      <c r="C359" s="1">
        <v>12.824999999999999</v>
      </c>
      <c r="D359" s="1">
        <v>0</v>
      </c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</row>
    <row r="360" spans="1:27" x14ac:dyDescent="0.25">
      <c r="A360" s="1">
        <v>2454311.6444600001</v>
      </c>
      <c r="B360" s="1" t="s">
        <v>448</v>
      </c>
      <c r="C360" s="1">
        <v>12.798</v>
      </c>
      <c r="D360" s="1">
        <v>0</v>
      </c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</row>
    <row r="361" spans="1:27" x14ac:dyDescent="0.25">
      <c r="A361" s="1">
        <v>2454316.6961300001</v>
      </c>
      <c r="B361" s="1" t="s">
        <v>449</v>
      </c>
      <c r="C361" s="1">
        <v>13.002000000000001</v>
      </c>
      <c r="D361" s="1">
        <v>0</v>
      </c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</row>
    <row r="362" spans="1:27" x14ac:dyDescent="0.25">
      <c r="A362" s="1">
        <v>2454319.6818200001</v>
      </c>
      <c r="B362" s="1" t="s">
        <v>450</v>
      </c>
      <c r="C362" s="1">
        <v>12.829000000000001</v>
      </c>
      <c r="D362" s="1">
        <v>0</v>
      </c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</row>
    <row r="363" spans="1:27" x14ac:dyDescent="0.25">
      <c r="A363" s="1">
        <v>2454329.58366</v>
      </c>
      <c r="B363" s="1" t="s">
        <v>451</v>
      </c>
      <c r="C363" s="1">
        <v>12.045999999999999</v>
      </c>
      <c r="D363" s="1">
        <v>3.1E-2</v>
      </c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</row>
    <row r="364" spans="1:27" x14ac:dyDescent="0.25">
      <c r="A364" s="1">
        <v>2454331.5778399999</v>
      </c>
      <c r="B364" s="1" t="s">
        <v>452</v>
      </c>
      <c r="C364" s="1">
        <v>12.239000000000001</v>
      </c>
      <c r="D364" s="1">
        <v>4.1000000000000002E-2</v>
      </c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x14ac:dyDescent="0.25">
      <c r="A365" s="1">
        <v>2454333.1543000001</v>
      </c>
      <c r="B365" s="1" t="s">
        <v>453</v>
      </c>
      <c r="C365" s="1">
        <v>12.1785</v>
      </c>
      <c r="D365" s="1">
        <v>1.7500000000000002E-2</v>
      </c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</row>
    <row r="366" spans="1:27" x14ac:dyDescent="0.25">
      <c r="A366" s="1">
        <v>2454338.62347</v>
      </c>
      <c r="B366" s="1" t="s">
        <v>454</v>
      </c>
      <c r="C366" s="1">
        <v>12.009</v>
      </c>
      <c r="D366" s="1">
        <v>0</v>
      </c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</row>
    <row r="367" spans="1:27" x14ac:dyDescent="0.25">
      <c r="A367" s="1">
        <v>2454340.6379499999</v>
      </c>
      <c r="B367" s="1" t="s">
        <v>455</v>
      </c>
      <c r="C367" s="1">
        <v>11.9505</v>
      </c>
      <c r="D367" s="1">
        <v>7.5499999999999998E-2</v>
      </c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</row>
    <row r="368" spans="1:27" x14ac:dyDescent="0.25">
      <c r="A368" s="1">
        <v>2454342.6732200002</v>
      </c>
      <c r="B368" s="1" t="s">
        <v>456</v>
      </c>
      <c r="C368" s="1">
        <v>11.83</v>
      </c>
      <c r="D368" s="1">
        <v>0</v>
      </c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</row>
    <row r="369" spans="1:27" x14ac:dyDescent="0.25">
      <c r="A369" s="1">
        <v>2454344.6336699999</v>
      </c>
      <c r="B369" s="1" t="s">
        <v>457</v>
      </c>
      <c r="C369" s="1">
        <v>11.7165</v>
      </c>
      <c r="D369" s="1">
        <v>2.1499999999999998E-2</v>
      </c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</row>
    <row r="370" spans="1:27" x14ac:dyDescent="0.25">
      <c r="A370" s="1">
        <v>2454346.67368</v>
      </c>
      <c r="B370" s="1" t="s">
        <v>458</v>
      </c>
      <c r="C370" s="1">
        <v>11.669</v>
      </c>
      <c r="D370" s="1">
        <v>0</v>
      </c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</row>
    <row r="371" spans="1:27" x14ac:dyDescent="0.25">
      <c r="A371" s="1">
        <v>2454348.67888</v>
      </c>
      <c r="B371" s="1" t="s">
        <v>459</v>
      </c>
      <c r="C371" s="1">
        <v>11.637</v>
      </c>
      <c r="D371" s="1">
        <v>0</v>
      </c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</row>
    <row r="372" spans="1:27" x14ac:dyDescent="0.25">
      <c r="A372" s="1">
        <v>2454350.4104200001</v>
      </c>
      <c r="B372" s="1" t="s">
        <v>460</v>
      </c>
      <c r="C372" s="1">
        <v>11.622</v>
      </c>
      <c r="D372" s="1">
        <v>2.7737000000000001E-2</v>
      </c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</row>
    <row r="373" spans="1:27" x14ac:dyDescent="0.25">
      <c r="A373" s="1">
        <v>2454353.0785300001</v>
      </c>
      <c r="B373" s="1" t="s">
        <v>461</v>
      </c>
      <c r="C373" s="1">
        <v>11.5755</v>
      </c>
      <c r="D373" s="1">
        <v>1.5E-3</v>
      </c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</row>
    <row r="374" spans="1:27" x14ac:dyDescent="0.25">
      <c r="A374" s="1">
        <v>2454355.6376</v>
      </c>
      <c r="B374" s="1" t="s">
        <v>462</v>
      </c>
      <c r="C374" s="1">
        <v>12.077999999999999</v>
      </c>
      <c r="D374" s="1">
        <v>0</v>
      </c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</row>
    <row r="375" spans="1:27" x14ac:dyDescent="0.25">
      <c r="A375" s="1">
        <v>2454357.6452799998</v>
      </c>
      <c r="B375" s="1" t="s">
        <v>463</v>
      </c>
      <c r="C375" s="1">
        <v>11.547000000000001</v>
      </c>
      <c r="D375" s="1">
        <v>0</v>
      </c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</row>
    <row r="376" spans="1:27" x14ac:dyDescent="0.25">
      <c r="A376" s="1">
        <v>2454359.6787999999</v>
      </c>
      <c r="B376" s="1" t="s">
        <v>464</v>
      </c>
      <c r="C376" s="1">
        <v>11.882999999999999</v>
      </c>
      <c r="D376" s="1">
        <v>0</v>
      </c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</row>
    <row r="377" spans="1:27" x14ac:dyDescent="0.25">
      <c r="A377" s="1">
        <v>2454362.4400999998</v>
      </c>
      <c r="B377" s="1" t="s">
        <v>465</v>
      </c>
      <c r="C377" s="1">
        <v>11.426500000000001</v>
      </c>
      <c r="D377" s="1">
        <v>5.5599999999999998E-3</v>
      </c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</row>
    <row r="378" spans="1:27" x14ac:dyDescent="0.25">
      <c r="A378" s="1">
        <v>2454364.8545400002</v>
      </c>
      <c r="B378" s="1" t="s">
        <v>466</v>
      </c>
      <c r="C378" s="1">
        <v>11.345000000000001</v>
      </c>
      <c r="D378" s="1">
        <v>9.9500000000000005E-3</v>
      </c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</row>
    <row r="379" spans="1:27" x14ac:dyDescent="0.25">
      <c r="A379" s="1">
        <v>2454367.4925299999</v>
      </c>
      <c r="B379" s="1" t="s">
        <v>467</v>
      </c>
      <c r="C379" s="1">
        <v>11.231999999999999</v>
      </c>
      <c r="D379" s="1">
        <v>0</v>
      </c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</row>
    <row r="380" spans="1:27" x14ac:dyDescent="0.25">
      <c r="A380" s="1">
        <v>2454369.0320000001</v>
      </c>
      <c r="B380" s="1" t="s">
        <v>468</v>
      </c>
      <c r="C380" s="1">
        <v>11.232333000000001</v>
      </c>
      <c r="D380" s="1">
        <v>2.3623999999999999E-2</v>
      </c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</row>
    <row r="381" spans="1:27" x14ac:dyDescent="0.25">
      <c r="A381" s="1">
        <v>2454371.5603900002</v>
      </c>
      <c r="B381" s="1" t="s">
        <v>469</v>
      </c>
      <c r="C381" s="1">
        <v>11.233000000000001</v>
      </c>
      <c r="D381" s="1">
        <v>9.3720000000000001E-3</v>
      </c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</row>
    <row r="382" spans="1:27" x14ac:dyDescent="0.25">
      <c r="A382" s="1">
        <v>2454372.93585</v>
      </c>
      <c r="B382" s="1" t="s">
        <v>470</v>
      </c>
      <c r="C382" s="1">
        <v>11.166667</v>
      </c>
      <c r="D382" s="1">
        <v>1.7371999999999999E-2</v>
      </c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</row>
    <row r="383" spans="1:27" x14ac:dyDescent="0.25">
      <c r="A383" s="1">
        <v>2454376.0841000001</v>
      </c>
      <c r="B383" s="1" t="s">
        <v>471</v>
      </c>
      <c r="C383" s="1">
        <v>11.125</v>
      </c>
      <c r="D383" s="1">
        <v>1.9E-2</v>
      </c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</row>
    <row r="384" spans="1:27" x14ac:dyDescent="0.25">
      <c r="A384" s="1">
        <v>2454378.5436999998</v>
      </c>
      <c r="B384" s="1" t="s">
        <v>472</v>
      </c>
      <c r="C384" s="1">
        <v>11.1435</v>
      </c>
      <c r="D384" s="1">
        <v>8.5000000000000006E-3</v>
      </c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</row>
    <row r="385" spans="1:27" x14ac:dyDescent="0.25">
      <c r="A385" s="1">
        <v>2454380.36497</v>
      </c>
      <c r="B385" s="1" t="s">
        <v>473</v>
      </c>
      <c r="C385" s="1">
        <v>11.188000000000001</v>
      </c>
      <c r="D385" s="1">
        <v>1.2503E-2</v>
      </c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</row>
    <row r="386" spans="1:27" x14ac:dyDescent="0.25">
      <c r="A386" s="1">
        <v>2454383.54422</v>
      </c>
      <c r="B386" s="1" t="s">
        <v>474</v>
      </c>
      <c r="C386" s="1">
        <v>11.189500000000001</v>
      </c>
      <c r="D386" s="1">
        <v>6.4999999999999997E-3</v>
      </c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</row>
    <row r="387" spans="1:27" x14ac:dyDescent="0.25">
      <c r="A387" s="1">
        <v>2454386.0577799999</v>
      </c>
      <c r="B387" s="1" t="s">
        <v>475</v>
      </c>
      <c r="C387" s="1">
        <v>11.11</v>
      </c>
      <c r="D387" s="1">
        <v>2.8000000000000001E-2</v>
      </c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</row>
    <row r="388" spans="1:27" x14ac:dyDescent="0.25">
      <c r="A388" s="1">
        <v>2454387.6068699998</v>
      </c>
      <c r="B388" s="1" t="s">
        <v>476</v>
      </c>
      <c r="C388" s="1">
        <v>11.117000000000001</v>
      </c>
      <c r="D388" s="1">
        <v>0</v>
      </c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</row>
    <row r="389" spans="1:27" x14ac:dyDescent="0.25">
      <c r="A389" s="1">
        <v>2454393.6492900001</v>
      </c>
      <c r="B389" s="1" t="s">
        <v>477</v>
      </c>
      <c r="C389" s="1">
        <v>11.154</v>
      </c>
      <c r="D389" s="1">
        <v>6.11E-3</v>
      </c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</row>
    <row r="390" spans="1:27" x14ac:dyDescent="0.25">
      <c r="A390" s="1">
        <v>2454396.9438299998</v>
      </c>
      <c r="B390" s="1" t="s">
        <v>478</v>
      </c>
      <c r="C390" s="1">
        <v>11.12</v>
      </c>
      <c r="D390" s="1">
        <v>0</v>
      </c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</row>
    <row r="391" spans="1:27" x14ac:dyDescent="0.25">
      <c r="A391" s="1">
        <v>2454399.5333400001</v>
      </c>
      <c r="B391" s="1" t="s">
        <v>479</v>
      </c>
      <c r="C391" s="1">
        <v>11.170500000000001</v>
      </c>
      <c r="D391" s="1">
        <v>5.4999999999999997E-3</v>
      </c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</row>
    <row r="392" spans="1:27" x14ac:dyDescent="0.25">
      <c r="A392" s="1">
        <v>2454402.26969</v>
      </c>
      <c r="B392" s="1" t="s">
        <v>480</v>
      </c>
      <c r="C392" s="1">
        <v>11.1615</v>
      </c>
      <c r="D392" s="1">
        <v>2.1499999999999998E-2</v>
      </c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</row>
    <row r="393" spans="1:27" x14ac:dyDescent="0.25">
      <c r="A393" s="1">
        <v>2454403.5263100001</v>
      </c>
      <c r="B393" s="1" t="s">
        <v>481</v>
      </c>
      <c r="C393" s="1">
        <v>11.153</v>
      </c>
      <c r="D393" s="1">
        <v>0</v>
      </c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</row>
    <row r="394" spans="1:27" x14ac:dyDescent="0.25">
      <c r="A394" s="1">
        <v>2454407.5165599999</v>
      </c>
      <c r="B394" s="1" t="s">
        <v>482</v>
      </c>
      <c r="C394" s="1">
        <v>11.1935</v>
      </c>
      <c r="D394" s="1">
        <v>3.5000000000000001E-3</v>
      </c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</row>
    <row r="395" spans="1:27" x14ac:dyDescent="0.25">
      <c r="A395" s="1">
        <v>2454411.5042300001</v>
      </c>
      <c r="B395" s="1" t="s">
        <v>483</v>
      </c>
      <c r="C395" s="1">
        <v>11.206</v>
      </c>
      <c r="D395" s="1">
        <v>0</v>
      </c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</row>
    <row r="396" spans="1:27" x14ac:dyDescent="0.25">
      <c r="A396" s="1">
        <v>2454414.9391600001</v>
      </c>
      <c r="B396" s="1" t="s">
        <v>484</v>
      </c>
      <c r="C396" s="1">
        <v>11.11</v>
      </c>
      <c r="D396" s="1">
        <v>0</v>
      </c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</row>
    <row r="397" spans="1:27" x14ac:dyDescent="0.25">
      <c r="A397" s="1">
        <v>2454520.9015100002</v>
      </c>
      <c r="B397" s="1" t="s">
        <v>485</v>
      </c>
      <c r="C397" s="1">
        <v>11.034000000000001</v>
      </c>
      <c r="D397" s="1">
        <v>0</v>
      </c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</row>
    <row r="398" spans="1:27" x14ac:dyDescent="0.25">
      <c r="A398" s="1">
        <v>2454530.9021899998</v>
      </c>
      <c r="B398" s="1" t="s">
        <v>486</v>
      </c>
      <c r="C398" s="1">
        <v>11.163</v>
      </c>
      <c r="D398" s="1">
        <v>0</v>
      </c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</row>
    <row r="399" spans="1:27" x14ac:dyDescent="0.25">
      <c r="A399" s="1">
        <v>2454538.9029999999</v>
      </c>
      <c r="B399" s="1" t="s">
        <v>487</v>
      </c>
      <c r="C399" s="1">
        <v>11.18</v>
      </c>
      <c r="D399" s="1">
        <v>0</v>
      </c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</row>
    <row r="400" spans="1:27" x14ac:dyDescent="0.25">
      <c r="A400" s="1">
        <v>2454542.9006099999</v>
      </c>
      <c r="B400" s="1" t="s">
        <v>488</v>
      </c>
      <c r="C400" s="1">
        <v>11.186</v>
      </c>
      <c r="D400" s="1">
        <v>0</v>
      </c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</row>
    <row r="401" spans="1:27" x14ac:dyDescent="0.25">
      <c r="A401" s="1">
        <v>2454546.8876399999</v>
      </c>
      <c r="B401" s="1" t="s">
        <v>489</v>
      </c>
      <c r="C401" s="1">
        <v>11.191000000000001</v>
      </c>
      <c r="D401" s="1">
        <v>0</v>
      </c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</row>
    <row r="402" spans="1:27" x14ac:dyDescent="0.25">
      <c r="A402" s="1">
        <v>2454558.8585999999</v>
      </c>
      <c r="B402" s="1" t="s">
        <v>490</v>
      </c>
      <c r="C402" s="1">
        <v>11.204000000000001</v>
      </c>
      <c r="D402" s="1">
        <v>0</v>
      </c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</row>
    <row r="403" spans="1:27" x14ac:dyDescent="0.25">
      <c r="A403" s="1">
        <v>2454561.8890999998</v>
      </c>
      <c r="B403" s="1" t="s">
        <v>491</v>
      </c>
      <c r="C403" s="1">
        <v>11.227</v>
      </c>
      <c r="D403" s="1">
        <v>0</v>
      </c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</row>
    <row r="404" spans="1:27" x14ac:dyDescent="0.25">
      <c r="A404" s="1">
        <v>2454565.87371</v>
      </c>
      <c r="B404" s="1" t="s">
        <v>492</v>
      </c>
      <c r="C404" s="1">
        <v>11.292</v>
      </c>
      <c r="D404" s="1">
        <v>0</v>
      </c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</row>
    <row r="405" spans="1:27" x14ac:dyDescent="0.25">
      <c r="A405" s="1">
        <v>2454569.8666300001</v>
      </c>
      <c r="B405" s="1" t="s">
        <v>493</v>
      </c>
      <c r="C405" s="1">
        <v>11.244999999999999</v>
      </c>
      <c r="D405" s="1">
        <v>0</v>
      </c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</row>
    <row r="406" spans="1:27" x14ac:dyDescent="0.25">
      <c r="A406" s="1">
        <v>2454572.8668200001</v>
      </c>
      <c r="B406" s="1" t="s">
        <v>494</v>
      </c>
      <c r="C406" s="1">
        <v>11.246</v>
      </c>
      <c r="D406" s="1">
        <v>0</v>
      </c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</row>
    <row r="407" spans="1:27" x14ac:dyDescent="0.25">
      <c r="A407" s="1">
        <v>2454575.8601700002</v>
      </c>
      <c r="B407" s="1" t="s">
        <v>495</v>
      </c>
      <c r="C407" s="1">
        <v>11.295999999999999</v>
      </c>
      <c r="D407" s="1">
        <v>0</v>
      </c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</row>
    <row r="408" spans="1:27" x14ac:dyDescent="0.25">
      <c r="A408" s="1">
        <v>2454579.87268</v>
      </c>
      <c r="B408" s="1" t="s">
        <v>496</v>
      </c>
      <c r="C408" s="1">
        <v>11.278</v>
      </c>
      <c r="D408" s="1">
        <v>0</v>
      </c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</row>
    <row r="409" spans="1:27" x14ac:dyDescent="0.25">
      <c r="A409" s="1">
        <v>2454585.8705699998</v>
      </c>
      <c r="B409" s="1" t="s">
        <v>497</v>
      </c>
      <c r="C409" s="1">
        <v>11.331</v>
      </c>
      <c r="D409" s="1">
        <v>0</v>
      </c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</row>
    <row r="410" spans="1:27" x14ac:dyDescent="0.25">
      <c r="A410" s="1">
        <v>2454588.85311</v>
      </c>
      <c r="B410" s="1" t="s">
        <v>498</v>
      </c>
      <c r="C410" s="1">
        <v>11.284000000000001</v>
      </c>
      <c r="D410" s="1">
        <v>0</v>
      </c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</row>
    <row r="411" spans="1:27" x14ac:dyDescent="0.25">
      <c r="A411" s="1">
        <v>2454591.82614</v>
      </c>
      <c r="B411" s="1" t="s">
        <v>499</v>
      </c>
      <c r="C411" s="1">
        <v>11.3125</v>
      </c>
      <c r="D411" s="1">
        <v>2.2499999999999999E-2</v>
      </c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</row>
    <row r="412" spans="1:27" x14ac:dyDescent="0.25">
      <c r="A412" s="1">
        <v>2454594.8131400002</v>
      </c>
      <c r="B412" s="1" t="s">
        <v>500</v>
      </c>
      <c r="C412" s="1">
        <v>11.323</v>
      </c>
      <c r="D412" s="1">
        <v>0</v>
      </c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x14ac:dyDescent="0.25">
      <c r="A413" s="1">
        <v>2454597.8136900002</v>
      </c>
      <c r="B413" s="1" t="s">
        <v>501</v>
      </c>
      <c r="C413" s="1">
        <v>11.305999999999999</v>
      </c>
      <c r="D413" s="1">
        <v>0</v>
      </c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</row>
    <row r="414" spans="1:27" x14ac:dyDescent="0.25">
      <c r="A414" s="1">
        <v>2454602.8189099999</v>
      </c>
      <c r="B414" s="1" t="s">
        <v>502</v>
      </c>
      <c r="C414" s="1">
        <v>11.345000000000001</v>
      </c>
      <c r="D414" s="1">
        <v>0</v>
      </c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</row>
    <row r="415" spans="1:27" x14ac:dyDescent="0.25">
      <c r="A415" s="1">
        <v>2454615.8013599999</v>
      </c>
      <c r="B415" s="1" t="s">
        <v>503</v>
      </c>
      <c r="C415" s="1">
        <v>11.347</v>
      </c>
      <c r="D415" s="1">
        <v>0</v>
      </c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</row>
    <row r="416" spans="1:27" x14ac:dyDescent="0.25">
      <c r="A416" s="1">
        <v>2454616.82222</v>
      </c>
      <c r="B416" s="1" t="s">
        <v>504</v>
      </c>
      <c r="C416" s="1">
        <v>11.372</v>
      </c>
      <c r="D416" s="1">
        <v>0</v>
      </c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</row>
    <row r="417" spans="1:27" x14ac:dyDescent="0.25">
      <c r="A417" s="1">
        <v>2454623.74186</v>
      </c>
      <c r="B417" s="1" t="s">
        <v>505</v>
      </c>
      <c r="C417" s="1">
        <v>11.411</v>
      </c>
      <c r="D417" s="1">
        <v>0</v>
      </c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</row>
    <row r="418" spans="1:27" x14ac:dyDescent="0.25">
      <c r="A418" s="1">
        <v>2454626.6472800002</v>
      </c>
      <c r="B418" s="1" t="s">
        <v>506</v>
      </c>
      <c r="C418" s="1">
        <v>11.436</v>
      </c>
      <c r="D418" s="1">
        <v>0</v>
      </c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</row>
    <row r="419" spans="1:27" x14ac:dyDescent="0.25">
      <c r="A419" s="1">
        <v>2454627.7697899998</v>
      </c>
      <c r="B419" s="1" t="s">
        <v>507</v>
      </c>
      <c r="C419" s="1">
        <v>11.458</v>
      </c>
      <c r="D419" s="1">
        <v>0</v>
      </c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</row>
    <row r="420" spans="1:27" x14ac:dyDescent="0.25">
      <c r="A420" s="1">
        <v>2454629.7567799999</v>
      </c>
      <c r="B420" s="1" t="s">
        <v>508</v>
      </c>
      <c r="C420" s="1">
        <v>11.481999999999999</v>
      </c>
      <c r="D420" s="1">
        <v>0</v>
      </c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</row>
    <row r="421" spans="1:27" x14ac:dyDescent="0.25">
      <c r="A421" s="1">
        <v>2454631.7695900002</v>
      </c>
      <c r="B421" s="1" t="s">
        <v>509</v>
      </c>
      <c r="C421" s="1">
        <v>11.45</v>
      </c>
      <c r="D421" s="1">
        <v>0</v>
      </c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</row>
    <row r="422" spans="1:27" x14ac:dyDescent="0.25">
      <c r="A422" s="1">
        <v>2454633.7596900002</v>
      </c>
      <c r="B422" s="1" t="s">
        <v>510</v>
      </c>
      <c r="C422" s="1">
        <v>11.45</v>
      </c>
      <c r="D422" s="1">
        <v>0</v>
      </c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</row>
    <row r="423" spans="1:27" x14ac:dyDescent="0.25">
      <c r="A423" s="1">
        <v>2454639.7449500002</v>
      </c>
      <c r="B423" s="1" t="s">
        <v>511</v>
      </c>
      <c r="C423" s="1">
        <v>11.512</v>
      </c>
      <c r="D423" s="1">
        <v>0</v>
      </c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</row>
    <row r="424" spans="1:27" x14ac:dyDescent="0.25">
      <c r="A424" s="1">
        <v>2454641.7475200002</v>
      </c>
      <c r="B424" s="1" t="s">
        <v>512</v>
      </c>
      <c r="C424" s="1">
        <v>11.568</v>
      </c>
      <c r="D424" s="1">
        <v>0</v>
      </c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</row>
    <row r="425" spans="1:27" x14ac:dyDescent="0.25">
      <c r="A425" s="1">
        <v>2454643.7430699999</v>
      </c>
      <c r="B425" s="1" t="s">
        <v>513</v>
      </c>
      <c r="C425" s="1">
        <v>11.481</v>
      </c>
      <c r="D425" s="1">
        <v>0</v>
      </c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</row>
    <row r="426" spans="1:27" x14ac:dyDescent="0.25">
      <c r="A426" s="1">
        <v>2454645.7728200001</v>
      </c>
      <c r="B426" s="1" t="s">
        <v>514</v>
      </c>
      <c r="C426" s="1">
        <v>11.423999999999999</v>
      </c>
      <c r="D426" s="1">
        <v>0</v>
      </c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</row>
    <row r="427" spans="1:27" x14ac:dyDescent="0.25">
      <c r="A427" s="1">
        <v>2454647.8347200002</v>
      </c>
      <c r="B427" s="1" t="s">
        <v>515</v>
      </c>
      <c r="C427" s="1">
        <v>11.505000000000001</v>
      </c>
      <c r="D427" s="1">
        <v>0</v>
      </c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</row>
    <row r="428" spans="1:27" x14ac:dyDescent="0.25">
      <c r="A428" s="1">
        <v>2454650.6694299998</v>
      </c>
      <c r="B428" s="1" t="s">
        <v>516</v>
      </c>
      <c r="C428" s="1">
        <v>11.531000000000001</v>
      </c>
      <c r="D428" s="1">
        <v>0</v>
      </c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</row>
    <row r="429" spans="1:27" x14ac:dyDescent="0.25">
      <c r="A429" s="1">
        <v>2454652.7130499999</v>
      </c>
      <c r="B429" s="1" t="s">
        <v>517</v>
      </c>
      <c r="C429" s="1">
        <v>11.509</v>
      </c>
      <c r="D429" s="1">
        <v>0</v>
      </c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</row>
    <row r="430" spans="1:27" x14ac:dyDescent="0.25">
      <c r="A430" s="1">
        <v>2454654.7083000001</v>
      </c>
      <c r="B430" s="1" t="s">
        <v>518</v>
      </c>
      <c r="C430" s="1">
        <v>11.603999999999999</v>
      </c>
      <c r="D430" s="1">
        <v>0</v>
      </c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</row>
    <row r="431" spans="1:27" x14ac:dyDescent="0.25">
      <c r="A431" s="1">
        <v>2454656.7023800001</v>
      </c>
      <c r="B431" s="1" t="s">
        <v>519</v>
      </c>
      <c r="C431" s="1">
        <v>11.686999999999999</v>
      </c>
      <c r="D431" s="1">
        <v>0</v>
      </c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</row>
    <row r="432" spans="1:27" x14ac:dyDescent="0.25">
      <c r="A432" s="1">
        <v>2454662.6814199998</v>
      </c>
      <c r="B432" s="1" t="s">
        <v>520</v>
      </c>
      <c r="C432" s="1">
        <v>11.62</v>
      </c>
      <c r="D432" s="1">
        <v>0</v>
      </c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</row>
    <row r="433" spans="1:27" x14ac:dyDescent="0.25">
      <c r="A433" s="1">
        <v>2454666.6834300002</v>
      </c>
      <c r="B433" s="1" t="s">
        <v>521</v>
      </c>
      <c r="C433" s="1">
        <v>11.664</v>
      </c>
      <c r="D433" s="1">
        <v>0</v>
      </c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</row>
    <row r="434" spans="1:27" x14ac:dyDescent="0.25">
      <c r="A434" s="1">
        <v>2454670.6645999998</v>
      </c>
      <c r="B434" s="1" t="s">
        <v>522</v>
      </c>
      <c r="C434" s="1">
        <v>11.616</v>
      </c>
      <c r="D434" s="1">
        <v>0</v>
      </c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</row>
    <row r="435" spans="1:27" x14ac:dyDescent="0.25">
      <c r="A435" s="1">
        <v>2454672.6882199999</v>
      </c>
      <c r="B435" s="1" t="s">
        <v>523</v>
      </c>
      <c r="C435" s="1">
        <v>11.708</v>
      </c>
      <c r="D435" s="1">
        <v>0</v>
      </c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</row>
    <row r="436" spans="1:27" x14ac:dyDescent="0.25">
      <c r="A436" s="1">
        <v>2454681.6383199999</v>
      </c>
      <c r="B436" s="1" t="s">
        <v>524</v>
      </c>
      <c r="C436" s="1">
        <v>11.788</v>
      </c>
      <c r="D436" s="1">
        <v>0</v>
      </c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</row>
    <row r="437" spans="1:27" x14ac:dyDescent="0.25">
      <c r="A437" s="1">
        <v>2454683.63839</v>
      </c>
      <c r="B437" s="1" t="s">
        <v>525</v>
      </c>
      <c r="C437" s="1">
        <v>11.911</v>
      </c>
      <c r="D437" s="1">
        <v>0</v>
      </c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</row>
    <row r="438" spans="1:27" x14ac:dyDescent="0.25">
      <c r="A438" s="1">
        <v>2454685.63</v>
      </c>
      <c r="B438" s="1" t="s">
        <v>526</v>
      </c>
      <c r="C438" s="1">
        <v>11.753</v>
      </c>
      <c r="D438" s="1">
        <v>0</v>
      </c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</row>
    <row r="439" spans="1:27" x14ac:dyDescent="0.25">
      <c r="A439" s="1">
        <v>2454687.62519</v>
      </c>
      <c r="B439" s="1" t="s">
        <v>527</v>
      </c>
      <c r="C439" s="1">
        <v>11.765000000000001</v>
      </c>
      <c r="D439" s="1">
        <v>0</v>
      </c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</row>
    <row r="440" spans="1:27" x14ac:dyDescent="0.25">
      <c r="A440" s="1">
        <v>2454694.59516</v>
      </c>
      <c r="B440" s="1" t="s">
        <v>528</v>
      </c>
      <c r="C440" s="1">
        <v>11.894</v>
      </c>
      <c r="D440" s="1">
        <v>0</v>
      </c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</row>
    <row r="441" spans="1:27" x14ac:dyDescent="0.25">
      <c r="A441" s="1">
        <v>2454697.6941499999</v>
      </c>
      <c r="B441" s="1" t="s">
        <v>529</v>
      </c>
      <c r="C441" s="1">
        <v>12.021000000000001</v>
      </c>
      <c r="D441" s="1">
        <v>0</v>
      </c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</row>
    <row r="442" spans="1:27" x14ac:dyDescent="0.25">
      <c r="A442" s="1">
        <v>2454701.6741800001</v>
      </c>
      <c r="B442" s="1" t="s">
        <v>530</v>
      </c>
      <c r="C442" s="1">
        <v>11.933999999999999</v>
      </c>
      <c r="D442" s="1">
        <v>0</v>
      </c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</row>
    <row r="443" spans="1:27" x14ac:dyDescent="0.25">
      <c r="A443" s="1">
        <v>2454705.7349899998</v>
      </c>
      <c r="B443" s="1" t="s">
        <v>531</v>
      </c>
      <c r="C443" s="1">
        <v>11.939</v>
      </c>
      <c r="D443" s="1">
        <v>0</v>
      </c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</row>
    <row r="444" spans="1:27" x14ac:dyDescent="0.25">
      <c r="A444" s="1">
        <v>2455045.2881700001</v>
      </c>
      <c r="B444" s="1" t="s">
        <v>532</v>
      </c>
      <c r="C444" s="1">
        <v>11.3</v>
      </c>
      <c r="D444" s="1">
        <v>0</v>
      </c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</row>
    <row r="445" spans="1:27" x14ac:dyDescent="0.25">
      <c r="A445" s="1">
        <v>2455408.6673599998</v>
      </c>
      <c r="B445" s="1" t="s">
        <v>533</v>
      </c>
      <c r="C445" s="1">
        <v>13.2</v>
      </c>
      <c r="D445" s="1">
        <v>0</v>
      </c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</row>
    <row r="446" spans="1:27" x14ac:dyDescent="0.25">
      <c r="A446" s="1">
        <v>2455463.602</v>
      </c>
      <c r="B446" s="1" t="s">
        <v>534</v>
      </c>
      <c r="C446" s="1">
        <v>13</v>
      </c>
      <c r="D446" s="1">
        <v>0</v>
      </c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</row>
    <row r="447" spans="1:27" x14ac:dyDescent="0.25">
      <c r="A447" s="1">
        <v>2455663.9819999998</v>
      </c>
      <c r="B447" s="1" t="s">
        <v>535</v>
      </c>
      <c r="C447" s="1">
        <v>12.2</v>
      </c>
      <c r="D447" s="1">
        <v>0</v>
      </c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</row>
    <row r="448" spans="1:27" x14ac:dyDescent="0.25">
      <c r="A448" s="1">
        <v>2455676.966</v>
      </c>
      <c r="B448" s="1" t="s">
        <v>536</v>
      </c>
      <c r="C448" s="1">
        <v>12.28</v>
      </c>
      <c r="D448" s="1">
        <v>0</v>
      </c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</row>
    <row r="449" spans="1:27" x14ac:dyDescent="0.25">
      <c r="A449" s="1">
        <v>2455739.03785</v>
      </c>
      <c r="B449" s="1" t="s">
        <v>537</v>
      </c>
      <c r="C449" s="1">
        <v>12.4</v>
      </c>
      <c r="D449" s="1">
        <v>0</v>
      </c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</row>
    <row r="450" spans="1:27" x14ac:dyDescent="0.25">
      <c r="A450" s="1">
        <v>2455741.0349400002</v>
      </c>
      <c r="B450" s="1" t="s">
        <v>538</v>
      </c>
      <c r="C450" s="1">
        <v>12.59</v>
      </c>
      <c r="D450" s="1">
        <v>0</v>
      </c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</row>
    <row r="451" spans="1:27" x14ac:dyDescent="0.25">
      <c r="A451" s="1">
        <v>2455848.5980000002</v>
      </c>
      <c r="B451" s="1" t="s">
        <v>539</v>
      </c>
      <c r="C451" s="1">
        <v>12.798</v>
      </c>
      <c r="D451" s="1">
        <v>0</v>
      </c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</row>
    <row r="452" spans="1:27" x14ac:dyDescent="0.25">
      <c r="A452" s="1">
        <v>2455980.0219999999</v>
      </c>
      <c r="B452" s="1" t="s">
        <v>540</v>
      </c>
      <c r="C452" s="1">
        <v>13.21</v>
      </c>
      <c r="D452" s="1">
        <v>0</v>
      </c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</row>
    <row r="453" spans="1:27" x14ac:dyDescent="0.25">
      <c r="A453" s="1">
        <v>2456160.665</v>
      </c>
      <c r="B453" s="1" t="s">
        <v>541</v>
      </c>
      <c r="C453" s="1">
        <v>11.84</v>
      </c>
      <c r="D453" s="1">
        <v>0</v>
      </c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</row>
    <row r="454" spans="1:27" x14ac:dyDescent="0.25">
      <c r="A454" s="1">
        <v>2456172.7009999999</v>
      </c>
      <c r="B454" s="1" t="s">
        <v>542</v>
      </c>
      <c r="C454" s="1">
        <v>12.09</v>
      </c>
      <c r="D454" s="1">
        <v>0</v>
      </c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</row>
    <row r="455" spans="1:27" x14ac:dyDescent="0.25">
      <c r="A455" s="1">
        <v>2456359.0240000002</v>
      </c>
      <c r="B455" s="1" t="s">
        <v>543</v>
      </c>
      <c r="C455" s="1">
        <v>12.68</v>
      </c>
      <c r="D455" s="1">
        <v>0</v>
      </c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</row>
    <row r="456" spans="1:27" x14ac:dyDescent="0.25">
      <c r="A456" s="1">
        <v>2456470.7429999998</v>
      </c>
      <c r="B456" s="1" t="s">
        <v>544</v>
      </c>
      <c r="C456" s="1">
        <v>13.59</v>
      </c>
      <c r="D456" s="1">
        <v>0</v>
      </c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</row>
    <row r="457" spans="1:27" x14ac:dyDescent="0.25">
      <c r="A457" s="1">
        <v>2456475.503</v>
      </c>
      <c r="B457" s="1" t="s">
        <v>545</v>
      </c>
      <c r="C457" s="1">
        <v>13.63</v>
      </c>
      <c r="D457" s="1">
        <v>0</v>
      </c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</row>
    <row r="458" spans="1:27" x14ac:dyDescent="0.25">
      <c r="A458" s="1">
        <v>2456512.7179999999</v>
      </c>
      <c r="B458" s="1" t="s">
        <v>546</v>
      </c>
      <c r="C458" s="1">
        <v>13.38</v>
      </c>
      <c r="D458" s="1">
        <v>0</v>
      </c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</row>
    <row r="459" spans="1:27" x14ac:dyDescent="0.25">
      <c r="A459" s="1">
        <v>2456712.2799999998</v>
      </c>
      <c r="B459" s="1" t="s">
        <v>547</v>
      </c>
      <c r="C459" s="1">
        <v>11.95</v>
      </c>
      <c r="D459" s="1">
        <v>0</v>
      </c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</row>
    <row r="460" spans="1:27" x14ac:dyDescent="0.25">
      <c r="A460" s="1">
        <v>2456721.0279999999</v>
      </c>
      <c r="B460" s="1" t="s">
        <v>548</v>
      </c>
      <c r="C460" s="1">
        <v>12</v>
      </c>
      <c r="D460" s="1">
        <v>0</v>
      </c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x14ac:dyDescent="0.25">
      <c r="A461" s="1">
        <v>2456729.2680000002</v>
      </c>
      <c r="B461" s="1" t="s">
        <v>549</v>
      </c>
      <c r="C461" s="1">
        <v>12.2</v>
      </c>
      <c r="D461" s="1">
        <v>0</v>
      </c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x14ac:dyDescent="0.25">
      <c r="A462" s="1">
        <v>2456735.2620000001</v>
      </c>
      <c r="B462" s="1" t="s">
        <v>550</v>
      </c>
      <c r="C462" s="1">
        <v>12.28</v>
      </c>
      <c r="D462" s="1">
        <v>0</v>
      </c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x14ac:dyDescent="0.25">
      <c r="A463" s="1">
        <v>2456761.2039999999</v>
      </c>
      <c r="B463" s="1" t="s">
        <v>551</v>
      </c>
      <c r="C463" s="1">
        <v>12.43</v>
      </c>
      <c r="D463" s="1">
        <v>0</v>
      </c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x14ac:dyDescent="0.25">
      <c r="A464" s="1">
        <v>2456770.264</v>
      </c>
      <c r="B464" s="1" t="s">
        <v>552</v>
      </c>
      <c r="C464" s="1">
        <v>12.45</v>
      </c>
      <c r="D464" s="1">
        <v>0</v>
      </c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x14ac:dyDescent="0.25">
      <c r="A465" s="1">
        <v>2456793.1039999998</v>
      </c>
      <c r="B465" s="1" t="s">
        <v>553</v>
      </c>
      <c r="C465" s="1">
        <v>12.33</v>
      </c>
      <c r="D465" s="1">
        <v>0</v>
      </c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x14ac:dyDescent="0.25">
      <c r="A466" s="1">
        <v>2456798.2930000001</v>
      </c>
      <c r="B466" s="1" t="s">
        <v>554</v>
      </c>
      <c r="C466" s="1">
        <v>12.34</v>
      </c>
      <c r="D466" s="1">
        <v>0</v>
      </c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x14ac:dyDescent="0.25">
      <c r="A467" s="1">
        <v>2456826.2179999999</v>
      </c>
      <c r="B467" s="1" t="s">
        <v>555</v>
      </c>
      <c r="C467" s="1">
        <v>12.48</v>
      </c>
      <c r="D467" s="1">
        <v>0</v>
      </c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x14ac:dyDescent="0.25">
      <c r="A468" s="1">
        <v>2456834.6294999998</v>
      </c>
      <c r="B468" s="1" t="s">
        <v>556</v>
      </c>
      <c r="C468" s="1">
        <v>12.491</v>
      </c>
      <c r="D468" s="1">
        <v>4.509E-3</v>
      </c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x14ac:dyDescent="0.25">
      <c r="A469" s="1">
        <v>2456843.0094900001</v>
      </c>
      <c r="B469" s="1" t="s">
        <v>557</v>
      </c>
      <c r="C469" s="1">
        <v>12.472</v>
      </c>
      <c r="D469" s="1">
        <v>0</v>
      </c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x14ac:dyDescent="0.25">
      <c r="A470" s="1">
        <v>2456875.0136000002</v>
      </c>
      <c r="B470" s="1" t="s">
        <v>558</v>
      </c>
      <c r="C470" s="1">
        <v>12.593</v>
      </c>
      <c r="D470" s="1">
        <v>3.0000000000000001E-3</v>
      </c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x14ac:dyDescent="0.25">
      <c r="A471" s="1">
        <v>2456887.00404</v>
      </c>
      <c r="B471" s="1" t="s">
        <v>559</v>
      </c>
      <c r="C471" s="1">
        <v>12.630385</v>
      </c>
      <c r="D471" s="1">
        <v>2.6050000000000001E-3</v>
      </c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  <row r="472" spans="1:27" x14ac:dyDescent="0.25">
      <c r="A472" s="1">
        <v>2457226.9855900002</v>
      </c>
      <c r="B472" s="1" t="s">
        <v>560</v>
      </c>
      <c r="C472" s="1">
        <v>12.761347000000001</v>
      </c>
      <c r="D472" s="1">
        <v>3.6800000000000001E-3</v>
      </c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</row>
    <row r="473" spans="1:27" x14ac:dyDescent="0.25">
      <c r="A473" s="1">
        <v>2457281.02575</v>
      </c>
      <c r="B473" s="1" t="s">
        <v>561</v>
      </c>
      <c r="C473" s="1">
        <v>11.012352999999999</v>
      </c>
      <c r="D473" s="1">
        <v>6.3920000000000001E-3</v>
      </c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</row>
    <row r="474" spans="1:27" x14ac:dyDescent="0.25">
      <c r="A474" s="1">
        <v>2457283.7695300002</v>
      </c>
      <c r="B474" s="1" t="s">
        <v>562</v>
      </c>
      <c r="C474" s="1">
        <v>11.191000000000001</v>
      </c>
      <c r="D474" s="1">
        <v>6.7879999999999998E-3</v>
      </c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</row>
    <row r="475" spans="1:27" x14ac:dyDescent="0.25">
      <c r="A475" s="1">
        <v>2457286.3913699999</v>
      </c>
      <c r="B475" s="1" t="s">
        <v>563</v>
      </c>
      <c r="C475" s="1">
        <v>11.211375</v>
      </c>
      <c r="D475" s="1">
        <v>1.2971999999999999E-2</v>
      </c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</row>
    <row r="476" spans="1:27" x14ac:dyDescent="0.25">
      <c r="A476" s="1">
        <v>2457287.9784599999</v>
      </c>
      <c r="B476" s="1" t="s">
        <v>564</v>
      </c>
      <c r="C476" s="1">
        <v>11.311</v>
      </c>
      <c r="D476" s="1">
        <v>0</v>
      </c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</row>
    <row r="477" spans="1:27" x14ac:dyDescent="0.25">
      <c r="A477" s="1">
        <v>2457289.9140599999</v>
      </c>
      <c r="B477" s="1" t="s">
        <v>565</v>
      </c>
      <c r="C477" s="1">
        <v>11.382</v>
      </c>
      <c r="D477" s="1">
        <v>0</v>
      </c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</row>
    <row r="478" spans="1:27" x14ac:dyDescent="0.25">
      <c r="A478" s="1">
        <v>2457291.3128900002</v>
      </c>
      <c r="B478" s="1" t="s">
        <v>566</v>
      </c>
      <c r="C478" s="1">
        <v>11.346166999999999</v>
      </c>
      <c r="D478" s="1">
        <v>1.8500000000000001E-3</v>
      </c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</row>
    <row r="479" spans="1:27" x14ac:dyDescent="0.25">
      <c r="A479" s="1">
        <v>2457292.9708199999</v>
      </c>
      <c r="B479" s="1" t="s">
        <v>5</v>
      </c>
      <c r="C479" s="1">
        <v>11.332000000000001</v>
      </c>
      <c r="D479" s="1">
        <v>0</v>
      </c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</row>
    <row r="480" spans="1:27" x14ac:dyDescent="0.25">
      <c r="A480" s="1">
        <v>2457294.4292100002</v>
      </c>
      <c r="B480" s="1" t="s">
        <v>567</v>
      </c>
      <c r="C480" s="1">
        <v>11.354666999999999</v>
      </c>
      <c r="D480" s="1">
        <v>4.8830000000000002E-3</v>
      </c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</row>
    <row r="481" spans="1:27" x14ac:dyDescent="0.25">
      <c r="A481" s="1">
        <v>2457300.9111199998</v>
      </c>
      <c r="B481" s="1" t="s">
        <v>568</v>
      </c>
      <c r="C481" s="1">
        <v>11.61</v>
      </c>
      <c r="D481" s="1">
        <v>0</v>
      </c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</row>
    <row r="482" spans="1:27" x14ac:dyDescent="0.25">
      <c r="A482" s="1">
        <v>2457302.2952299998</v>
      </c>
      <c r="B482" s="1" t="s">
        <v>569</v>
      </c>
      <c r="C482" s="1">
        <v>11.668625</v>
      </c>
      <c r="D482" s="1">
        <v>9.990000000000001E-4</v>
      </c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</row>
    <row r="483" spans="1:27" x14ac:dyDescent="0.25">
      <c r="A483" s="1">
        <v>2457305.2265699999</v>
      </c>
      <c r="B483" s="1" t="s">
        <v>570</v>
      </c>
      <c r="C483" s="1">
        <v>11.763286000000001</v>
      </c>
      <c r="D483" s="1">
        <v>1.34E-3</v>
      </c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</row>
    <row r="484" spans="1:27" x14ac:dyDescent="0.25">
      <c r="A484" s="1">
        <v>2457309.26834</v>
      </c>
      <c r="B484" s="1" t="s">
        <v>571</v>
      </c>
      <c r="C484" s="1">
        <v>11.721571000000001</v>
      </c>
      <c r="D484" s="1">
        <v>9.9700000000000006E-4</v>
      </c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</row>
    <row r="485" spans="1:27" x14ac:dyDescent="0.25">
      <c r="A485" s="1">
        <v>2457311.2650000001</v>
      </c>
      <c r="B485" s="1" t="s">
        <v>572</v>
      </c>
      <c r="C485" s="1">
        <v>11.688650000000001</v>
      </c>
      <c r="D485" s="1">
        <v>1.7030000000000001E-3</v>
      </c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</row>
    <row r="486" spans="1:27" x14ac:dyDescent="0.25">
      <c r="A486" s="1">
        <v>2457312.9358399999</v>
      </c>
      <c r="B486" s="1" t="s">
        <v>573</v>
      </c>
      <c r="C486" s="1">
        <v>11.699</v>
      </c>
      <c r="D486" s="1">
        <v>0</v>
      </c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</row>
    <row r="487" spans="1:27" x14ac:dyDescent="0.25">
      <c r="A487" s="1">
        <v>2457493.9792999998</v>
      </c>
      <c r="B487" s="1" t="s">
        <v>574</v>
      </c>
      <c r="C487" s="1">
        <v>12.71</v>
      </c>
      <c r="D487" s="1">
        <v>0</v>
      </c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</row>
    <row r="488" spans="1:27" x14ac:dyDescent="0.25">
      <c r="A488" s="1">
        <v>2457543.9438</v>
      </c>
      <c r="B488" s="1" t="s">
        <v>575</v>
      </c>
      <c r="C488" s="1">
        <v>12.98</v>
      </c>
      <c r="D488" s="1">
        <v>0</v>
      </c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</row>
    <row r="489" spans="1:27" x14ac:dyDescent="0.25">
      <c r="A489" s="1">
        <v>2457686.9229299999</v>
      </c>
      <c r="B489" s="1" t="s">
        <v>576</v>
      </c>
      <c r="C489" s="1">
        <v>13.131</v>
      </c>
      <c r="D489" s="1">
        <v>0</v>
      </c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</row>
    <row r="490" spans="1:27" x14ac:dyDescent="0.25">
      <c r="A490" s="1">
        <v>2457848.9780999999</v>
      </c>
      <c r="B490" s="1" t="s">
        <v>577</v>
      </c>
      <c r="C490" s="1">
        <v>11.95</v>
      </c>
      <c r="D490" s="1">
        <v>0</v>
      </c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</row>
    <row r="491" spans="1:27" x14ac:dyDescent="0.25">
      <c r="A491" s="1">
        <v>2457852.9555000002</v>
      </c>
      <c r="B491" s="1" t="s">
        <v>578</v>
      </c>
      <c r="C491" s="1">
        <v>11.88</v>
      </c>
      <c r="D491" s="1">
        <v>0</v>
      </c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</row>
    <row r="492" spans="1:27" x14ac:dyDescent="0.25">
      <c r="A492" s="1">
        <v>2457857.2252000002</v>
      </c>
      <c r="B492" s="1" t="s">
        <v>579</v>
      </c>
      <c r="C492" s="1">
        <v>11.9</v>
      </c>
      <c r="D492" s="1">
        <v>0</v>
      </c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</row>
    <row r="493" spans="1:27" x14ac:dyDescent="0.25">
      <c r="A493" s="1">
        <v>2457936.0733699999</v>
      </c>
      <c r="B493" s="1" t="s">
        <v>580</v>
      </c>
      <c r="C493" s="1">
        <v>12.489000000000001</v>
      </c>
      <c r="D493" s="1">
        <v>0</v>
      </c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</row>
    <row r="494" spans="1:27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</row>
    <row r="495" spans="1:27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</row>
    <row r="496" spans="1:27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</row>
    <row r="497" spans="1:27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</row>
    <row r="498" spans="1:27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</row>
    <row r="499" spans="1:27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</row>
    <row r="500" spans="1:27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</row>
    <row r="501" spans="1:27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</row>
    <row r="502" spans="1:27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</row>
    <row r="503" spans="1:27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</row>
    <row r="504" spans="1:27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</row>
    <row r="505" spans="1:27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</row>
    <row r="506" spans="1:27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</row>
    <row r="507" spans="1:27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</row>
    <row r="508" spans="1:27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</row>
    <row r="509" spans="1:27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</row>
    <row r="510" spans="1:27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</row>
    <row r="511" spans="1:27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</row>
    <row r="512" spans="1:27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</row>
    <row r="513" spans="1:27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</row>
    <row r="514" spans="1:27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</row>
    <row r="515" spans="1:27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</row>
    <row r="516" spans="1:27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</row>
    <row r="517" spans="1:27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</row>
    <row r="518" spans="1:27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</row>
    <row r="519" spans="1:27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</row>
    <row r="520" spans="1:27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</row>
    <row r="521" spans="1:27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</row>
    <row r="522" spans="1:27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</row>
    <row r="523" spans="1:27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</row>
    <row r="524" spans="1:27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</row>
    <row r="525" spans="1:27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</row>
    <row r="526" spans="1:27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</row>
    <row r="527" spans="1:27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</row>
    <row r="528" spans="1:27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</row>
    <row r="529" spans="1:27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</row>
    <row r="530" spans="1:27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</row>
    <row r="531" spans="1:27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</row>
    <row r="532" spans="1:27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</row>
    <row r="533" spans="1:27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</row>
    <row r="534" spans="1:27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</row>
    <row r="535" spans="1:27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</row>
    <row r="536" spans="1:27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</row>
    <row r="537" spans="1:27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</row>
    <row r="538" spans="1:27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</row>
    <row r="539" spans="1:27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</row>
    <row r="540" spans="1:27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</row>
    <row r="541" spans="1:27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</row>
    <row r="542" spans="1:27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</row>
    <row r="543" spans="1:27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</row>
    <row r="544" spans="1:27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</row>
    <row r="545" spans="1:27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</row>
    <row r="546" spans="1:27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</row>
    <row r="547" spans="1:27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</row>
    <row r="548" spans="1:27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</row>
    <row r="549" spans="1:27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</row>
    <row r="550" spans="1:27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</row>
    <row r="551" spans="1:27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</row>
    <row r="552" spans="1:27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</row>
    <row r="553" spans="1:27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</row>
    <row r="554" spans="1:27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</row>
    <row r="555" spans="1:27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</row>
    <row r="556" spans="1:27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</row>
    <row r="557" spans="1:27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</row>
    <row r="558" spans="1:27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</row>
    <row r="559" spans="1:27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</row>
    <row r="560" spans="1:27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</row>
    <row r="561" spans="1:27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</row>
    <row r="562" spans="1:27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</row>
    <row r="563" spans="1:27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</row>
    <row r="564" spans="1:27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</row>
    <row r="565" spans="1:27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</row>
    <row r="566" spans="1:27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</row>
    <row r="567" spans="1:27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</row>
    <row r="568" spans="1:27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</row>
    <row r="569" spans="1:27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</row>
    <row r="570" spans="1:27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</row>
    <row r="571" spans="1:27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</row>
    <row r="572" spans="1:27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</row>
    <row r="573" spans="1:27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</row>
    <row r="574" spans="1:27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</row>
    <row r="575" spans="1:27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</row>
    <row r="576" spans="1:27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</row>
    <row r="577" spans="1:27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</row>
    <row r="578" spans="1:27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</row>
    <row r="579" spans="1:27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</row>
    <row r="580" spans="1:27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</row>
    <row r="581" spans="1:27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</row>
    <row r="582" spans="1:27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</row>
    <row r="583" spans="1:27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</row>
    <row r="584" spans="1:27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</row>
    <row r="585" spans="1:27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</row>
    <row r="586" spans="1:27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</row>
    <row r="587" spans="1:27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</row>
    <row r="588" spans="1:27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</row>
    <row r="589" spans="1:27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</row>
    <row r="590" spans="1:27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</row>
    <row r="591" spans="1:27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</row>
    <row r="592" spans="1:27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</row>
    <row r="593" spans="1:27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</row>
    <row r="594" spans="1:27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</row>
    <row r="595" spans="1:27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</row>
    <row r="596" spans="1:27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</row>
    <row r="597" spans="1:27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</row>
    <row r="598" spans="1:27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</row>
    <row r="599" spans="1:27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</row>
    <row r="600" spans="1:27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</row>
    <row r="601" spans="1:27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</row>
    <row r="602" spans="1:27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</row>
    <row r="603" spans="1:27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</row>
    <row r="604" spans="1:27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</row>
    <row r="605" spans="1:27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</row>
    <row r="606" spans="1:27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</row>
    <row r="607" spans="1:27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</row>
    <row r="608" spans="1:27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</row>
    <row r="609" spans="1:27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</row>
    <row r="610" spans="1:27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</row>
    <row r="611" spans="1:27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</row>
    <row r="612" spans="1:27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</row>
    <row r="613" spans="1:27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</row>
    <row r="614" spans="1:27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</row>
    <row r="615" spans="1:27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</row>
    <row r="616" spans="1:27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</row>
    <row r="617" spans="1:27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</row>
    <row r="618" spans="1:27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</row>
    <row r="619" spans="1:27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</row>
    <row r="620" spans="1:27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</row>
    <row r="621" spans="1:27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</row>
    <row r="622" spans="1:27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</row>
    <row r="623" spans="1:27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</row>
    <row r="624" spans="1:27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</row>
    <row r="625" spans="1:27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</row>
    <row r="626" spans="1:27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</row>
    <row r="627" spans="1:27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</row>
    <row r="628" spans="1:27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</row>
    <row r="629" spans="1:27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</row>
    <row r="630" spans="1:27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</row>
    <row r="631" spans="1:27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</row>
    <row r="632" spans="1:27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</row>
    <row r="633" spans="1:27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</row>
    <row r="634" spans="1:27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</row>
    <row r="635" spans="1:27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</row>
    <row r="636" spans="1:27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</row>
    <row r="637" spans="1:27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</row>
    <row r="638" spans="1:27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</row>
    <row r="639" spans="1:27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</row>
    <row r="640" spans="1:27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</row>
    <row r="641" spans="1:27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</row>
    <row r="642" spans="1:27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</row>
    <row r="643" spans="1:27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</row>
    <row r="644" spans="1:27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</row>
    <row r="645" spans="1:27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</row>
    <row r="646" spans="1:27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</row>
    <row r="647" spans="1:27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</row>
    <row r="648" spans="1:27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</row>
    <row r="649" spans="1:27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</row>
    <row r="650" spans="1:27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</row>
    <row r="651" spans="1:27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</row>
    <row r="652" spans="1:27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</row>
    <row r="653" spans="1:27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</row>
    <row r="654" spans="1:27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</row>
    <row r="655" spans="1:27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</row>
    <row r="656" spans="1:27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</row>
    <row r="657" spans="1:27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</row>
    <row r="658" spans="1:27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</row>
    <row r="659" spans="1:27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</row>
    <row r="660" spans="1:27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</row>
    <row r="661" spans="1:27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</row>
    <row r="662" spans="1:27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</row>
    <row r="663" spans="1:27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</row>
    <row r="664" spans="1:27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</row>
    <row r="665" spans="1:27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</row>
    <row r="666" spans="1:27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</row>
    <row r="667" spans="1:27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</row>
    <row r="668" spans="1:27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</row>
    <row r="669" spans="1:27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</row>
    <row r="670" spans="1:27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</row>
    <row r="671" spans="1:27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</row>
    <row r="672" spans="1:27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</row>
    <row r="673" spans="1:27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</row>
    <row r="674" spans="1:27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</row>
    <row r="675" spans="1:27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</row>
    <row r="676" spans="1:27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</row>
    <row r="677" spans="1:27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</row>
    <row r="678" spans="1:27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</row>
    <row r="679" spans="1:27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</row>
    <row r="680" spans="1:27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</row>
    <row r="681" spans="1:27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</row>
    <row r="682" spans="1:27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</row>
    <row r="683" spans="1:27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</row>
    <row r="684" spans="1:27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</row>
    <row r="685" spans="1:27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</row>
    <row r="686" spans="1:27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</row>
    <row r="687" spans="1:27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</row>
    <row r="688" spans="1:27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</row>
    <row r="689" spans="1:27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</row>
    <row r="690" spans="1:27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</row>
    <row r="691" spans="1:27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</row>
    <row r="692" spans="1:27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</row>
    <row r="693" spans="1:27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</row>
    <row r="694" spans="1:27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</row>
    <row r="695" spans="1:27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</row>
    <row r="696" spans="1:27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</row>
    <row r="697" spans="1:27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</row>
    <row r="698" spans="1:27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</row>
    <row r="699" spans="1:27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</row>
    <row r="700" spans="1:27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</row>
    <row r="701" spans="1:27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</row>
    <row r="702" spans="1:27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</row>
    <row r="703" spans="1:27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</row>
    <row r="704" spans="1:27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</row>
    <row r="705" spans="1:27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</row>
    <row r="706" spans="1:27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</row>
    <row r="707" spans="1:27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</row>
    <row r="708" spans="1:27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</row>
    <row r="709" spans="1:27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</row>
    <row r="710" spans="1:27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</row>
    <row r="711" spans="1:27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</row>
    <row r="712" spans="1:27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</row>
    <row r="713" spans="1:27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</row>
    <row r="714" spans="1:27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</row>
    <row r="715" spans="1:27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</row>
    <row r="716" spans="1:27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</row>
    <row r="717" spans="1:27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</row>
    <row r="718" spans="1:27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</row>
    <row r="719" spans="1:27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</row>
    <row r="720" spans="1:27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</row>
    <row r="721" spans="1:27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</row>
    <row r="722" spans="1:27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</row>
    <row r="723" spans="1:27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</row>
    <row r="724" spans="1:27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</row>
    <row r="725" spans="1:27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</row>
    <row r="726" spans="1:27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</row>
    <row r="727" spans="1:27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</row>
    <row r="728" spans="1:27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</row>
    <row r="729" spans="1:27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</row>
    <row r="730" spans="1:27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</row>
    <row r="731" spans="1:27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</row>
    <row r="732" spans="1:27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</row>
    <row r="733" spans="1:27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</row>
    <row r="734" spans="1:27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</row>
    <row r="735" spans="1:27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</row>
    <row r="736" spans="1:27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</row>
    <row r="737" spans="1:27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</row>
    <row r="738" spans="1:27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</row>
    <row r="739" spans="1:27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</row>
    <row r="740" spans="1:27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</row>
    <row r="741" spans="1:27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</row>
    <row r="742" spans="1:27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</row>
    <row r="743" spans="1:27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</row>
    <row r="744" spans="1:27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</row>
    <row r="745" spans="1:27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</row>
    <row r="746" spans="1:27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</row>
    <row r="747" spans="1:27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</row>
    <row r="748" spans="1:27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</row>
    <row r="749" spans="1:27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</row>
    <row r="750" spans="1:27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</row>
    <row r="751" spans="1:27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</row>
    <row r="752" spans="1:27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</row>
    <row r="753" spans="1:27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</row>
    <row r="754" spans="1:27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</row>
    <row r="755" spans="1:27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</row>
    <row r="756" spans="1:27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</row>
    <row r="757" spans="1:27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</row>
    <row r="758" spans="1:27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</row>
    <row r="759" spans="1:27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</row>
    <row r="760" spans="1:27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</row>
    <row r="761" spans="1:27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</row>
    <row r="762" spans="1:27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</row>
    <row r="763" spans="1:27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</row>
    <row r="764" spans="1:27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</row>
    <row r="765" spans="1:27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</row>
    <row r="766" spans="1:27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</row>
    <row r="767" spans="1:27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</row>
    <row r="768" spans="1:27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</row>
    <row r="769" spans="1:27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</row>
    <row r="770" spans="1:27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</row>
    <row r="771" spans="1:27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</row>
    <row r="772" spans="1:27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</row>
    <row r="773" spans="1:27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</row>
    <row r="774" spans="1:27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</row>
    <row r="775" spans="1:27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</row>
    <row r="776" spans="1:27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</row>
    <row r="777" spans="1:27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</row>
    <row r="778" spans="1:27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</row>
    <row r="779" spans="1:27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</row>
    <row r="780" spans="1:27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</row>
    <row r="781" spans="1:27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</row>
    <row r="782" spans="1:27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</row>
    <row r="783" spans="1:27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</row>
    <row r="784" spans="1:27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</row>
    <row r="785" spans="1:27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</row>
    <row r="786" spans="1:27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</row>
    <row r="787" spans="1:27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</row>
    <row r="788" spans="1:27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</row>
    <row r="789" spans="1:27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</row>
    <row r="790" spans="1:27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</row>
    <row r="791" spans="1:27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</row>
    <row r="792" spans="1:27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</row>
    <row r="793" spans="1:27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</row>
    <row r="794" spans="1:27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</row>
    <row r="795" spans="1:27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</row>
    <row r="796" spans="1:27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</row>
    <row r="797" spans="1:27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</row>
    <row r="798" spans="1:27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</row>
    <row r="799" spans="1:27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</row>
    <row r="800" spans="1:27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</row>
    <row r="801" spans="1:27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</row>
    <row r="802" spans="1:27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</row>
    <row r="803" spans="1:27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</row>
    <row r="804" spans="1:27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</row>
    <row r="805" spans="1:27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</row>
    <row r="806" spans="1:27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</row>
    <row r="807" spans="1:27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</row>
    <row r="808" spans="1:27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</row>
    <row r="809" spans="1:27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</row>
    <row r="810" spans="1:27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</row>
    <row r="811" spans="1:27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</row>
    <row r="812" spans="1:27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</row>
    <row r="813" spans="1:27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</row>
    <row r="814" spans="1:27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</row>
    <row r="815" spans="1:27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</row>
    <row r="816" spans="1:27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</row>
    <row r="817" spans="1:27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</row>
    <row r="818" spans="1:27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</row>
    <row r="819" spans="1:27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</row>
    <row r="820" spans="1:27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</row>
    <row r="821" spans="1:27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</row>
    <row r="822" spans="1:27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</row>
    <row r="823" spans="1:27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</row>
    <row r="824" spans="1:27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</row>
    <row r="825" spans="1:27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</row>
    <row r="826" spans="1:27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</row>
    <row r="827" spans="1:27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</row>
    <row r="828" spans="1:27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</row>
    <row r="829" spans="1:27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</row>
    <row r="830" spans="1:27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</row>
    <row r="831" spans="1:27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</row>
    <row r="832" spans="1:27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</row>
    <row r="833" spans="1:27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</row>
    <row r="834" spans="1:27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</row>
    <row r="835" spans="1:27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</row>
    <row r="836" spans="1:27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</row>
    <row r="837" spans="1:27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</row>
    <row r="838" spans="1:27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</row>
    <row r="839" spans="1:27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</row>
    <row r="840" spans="1:27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</row>
    <row r="841" spans="1:27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</row>
    <row r="842" spans="1:27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</row>
    <row r="843" spans="1:27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</row>
    <row r="844" spans="1:27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</row>
    <row r="845" spans="1:27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</row>
    <row r="846" spans="1:27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</row>
    <row r="847" spans="1:27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</row>
    <row r="848" spans="1:27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</row>
    <row r="849" spans="1:27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</row>
    <row r="850" spans="1:27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</row>
    <row r="851" spans="1:27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</row>
    <row r="852" spans="1:27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</row>
    <row r="853" spans="1:27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</row>
    <row r="854" spans="1:27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</row>
    <row r="855" spans="1:27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</row>
    <row r="856" spans="1:27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</row>
    <row r="857" spans="1:27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</row>
    <row r="858" spans="1:27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</row>
    <row r="859" spans="1:27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</row>
    <row r="860" spans="1:27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</row>
    <row r="861" spans="1:27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</row>
    <row r="862" spans="1:27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</row>
    <row r="863" spans="1:27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</row>
    <row r="864" spans="1:27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</row>
    <row r="865" spans="1:27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</row>
    <row r="866" spans="1:27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</row>
    <row r="867" spans="1:27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</row>
    <row r="868" spans="1:27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</row>
    <row r="869" spans="1:27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</row>
    <row r="870" spans="1:27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</row>
    <row r="871" spans="1:27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</row>
    <row r="872" spans="1:27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</row>
    <row r="873" spans="1:27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</row>
    <row r="874" spans="1:27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</row>
    <row r="875" spans="1:27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</row>
    <row r="876" spans="1:27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</row>
    <row r="877" spans="1:27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</row>
    <row r="878" spans="1:27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</row>
    <row r="879" spans="1:27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</row>
    <row r="880" spans="1:27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</row>
    <row r="881" spans="1:27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</row>
    <row r="882" spans="1:27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</row>
    <row r="883" spans="1:27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</row>
    <row r="884" spans="1:27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</row>
    <row r="885" spans="1:27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</row>
    <row r="886" spans="1:27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</row>
    <row r="887" spans="1:27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</row>
    <row r="888" spans="1:27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</row>
    <row r="889" spans="1:27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</row>
    <row r="890" spans="1:27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</row>
    <row r="891" spans="1:27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</row>
    <row r="892" spans="1:27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</row>
    <row r="893" spans="1:27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</row>
    <row r="894" spans="1:27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</row>
    <row r="895" spans="1:27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</row>
    <row r="896" spans="1:27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</row>
    <row r="897" spans="1:27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</row>
    <row r="898" spans="1:27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</row>
    <row r="899" spans="1:27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</row>
    <row r="900" spans="1:27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</row>
    <row r="901" spans="1:27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</row>
    <row r="902" spans="1:27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</row>
    <row r="903" spans="1:27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</row>
    <row r="904" spans="1:27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</row>
    <row r="905" spans="1:27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</row>
    <row r="906" spans="1:27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</row>
    <row r="907" spans="1:27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</row>
    <row r="908" spans="1:27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</row>
    <row r="909" spans="1:27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</row>
    <row r="910" spans="1:27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</row>
    <row r="911" spans="1:27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</row>
    <row r="912" spans="1:27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</row>
    <row r="913" spans="1:27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</row>
    <row r="914" spans="1:27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</row>
    <row r="915" spans="1:27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</row>
    <row r="916" spans="1:27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</row>
    <row r="917" spans="1:27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</row>
    <row r="918" spans="1:27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</row>
    <row r="919" spans="1:27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</row>
    <row r="920" spans="1:27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</row>
    <row r="921" spans="1:27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</row>
    <row r="922" spans="1:27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</row>
    <row r="923" spans="1:27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</row>
    <row r="924" spans="1:27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</row>
    <row r="925" spans="1:27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</row>
    <row r="926" spans="1:27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</row>
    <row r="927" spans="1:27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</row>
    <row r="928" spans="1:27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</row>
    <row r="929" spans="1:27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</row>
    <row r="930" spans="1:27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</row>
    <row r="931" spans="1:27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</row>
    <row r="932" spans="1:27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</row>
    <row r="933" spans="1:27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</row>
    <row r="934" spans="1:27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</row>
    <row r="935" spans="1:27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</row>
    <row r="936" spans="1:27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</row>
    <row r="937" spans="1:27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</row>
    <row r="938" spans="1:27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</row>
    <row r="939" spans="1:27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</row>
    <row r="940" spans="1:27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</row>
    <row r="941" spans="1:27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</row>
    <row r="942" spans="1:27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</row>
    <row r="943" spans="1:27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</row>
    <row r="944" spans="1:27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</row>
    <row r="945" spans="1:27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</row>
    <row r="946" spans="1:27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</row>
    <row r="947" spans="1:27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</row>
    <row r="948" spans="1:27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</row>
    <row r="949" spans="1:27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</row>
    <row r="950" spans="1:27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</row>
    <row r="951" spans="1:27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</row>
    <row r="952" spans="1:27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</row>
    <row r="953" spans="1:27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</row>
    <row r="954" spans="1:27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</row>
    <row r="955" spans="1:27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</row>
    <row r="956" spans="1:27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</row>
    <row r="957" spans="1:27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</row>
    <row r="958" spans="1:27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</row>
    <row r="959" spans="1:27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</row>
    <row r="960" spans="1:27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</row>
    <row r="961" spans="1:27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</row>
    <row r="962" spans="1:27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</row>
    <row r="963" spans="1:27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</row>
    <row r="964" spans="1:27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</row>
    <row r="965" spans="1:27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</row>
    <row r="966" spans="1:27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</row>
    <row r="967" spans="1:27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</row>
    <row r="968" spans="1:27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</row>
    <row r="969" spans="1:27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</row>
    <row r="970" spans="1:27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</row>
    <row r="971" spans="1:27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</row>
    <row r="972" spans="1:27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</row>
    <row r="973" spans="1:27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</row>
    <row r="974" spans="1:27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</row>
    <row r="975" spans="1:27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</row>
    <row r="976" spans="1:27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</row>
    <row r="977" spans="1:27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</row>
    <row r="978" spans="1:27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</row>
    <row r="979" spans="1:27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</row>
    <row r="980" spans="1:27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</row>
    <row r="981" spans="1:27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</row>
    <row r="982" spans="1:27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</row>
    <row r="983" spans="1:27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</row>
    <row r="984" spans="1:27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</row>
    <row r="985" spans="1:27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</row>
    <row r="986" spans="1:27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</row>
    <row r="987" spans="1:27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</row>
    <row r="988" spans="1:27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</row>
    <row r="989" spans="1:27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</row>
    <row r="990" spans="1:27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</row>
    <row r="991" spans="1:27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</row>
    <row r="992" spans="1:27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</row>
    <row r="993" spans="1:27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</row>
    <row r="994" spans="1:27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</row>
    <row r="995" spans="1:27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</row>
    <row r="996" spans="1:27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</row>
    <row r="997" spans="1:27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</row>
    <row r="998" spans="1:27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</row>
    <row r="999" spans="1:27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</row>
    <row r="1000" spans="1:27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</row>
    <row r="1001" spans="1:27" x14ac:dyDescent="0.25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</row>
    <row r="1002" spans="1:27" x14ac:dyDescent="0.25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</row>
    <row r="1003" spans="1:27" x14ac:dyDescent="0.25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</row>
    <row r="1004" spans="1:27" x14ac:dyDescent="0.25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</row>
    <row r="1005" spans="1:27" x14ac:dyDescent="0.25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</row>
    <row r="1006" spans="1:27" x14ac:dyDescent="0.25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</row>
    <row r="1007" spans="1:27" x14ac:dyDescent="0.25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</row>
    <row r="1008" spans="1:27" x14ac:dyDescent="0.25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</row>
    <row r="1009" spans="1:27" x14ac:dyDescent="0.25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</row>
    <row r="1010" spans="1:27" x14ac:dyDescent="0.25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</row>
    <row r="1011" spans="1:27" x14ac:dyDescent="0.25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</row>
    <row r="1012" spans="1:27" x14ac:dyDescent="0.25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</row>
    <row r="1013" spans="1:27" x14ac:dyDescent="0.25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</row>
    <row r="1014" spans="1:27" x14ac:dyDescent="0.25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</row>
    <row r="1015" spans="1:27" x14ac:dyDescent="0.25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</row>
    <row r="1016" spans="1:27" x14ac:dyDescent="0.25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</row>
    <row r="1017" spans="1:27" x14ac:dyDescent="0.25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</row>
    <row r="1018" spans="1:27" x14ac:dyDescent="0.25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</row>
    <row r="1019" spans="1:27" x14ac:dyDescent="0.25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</row>
    <row r="1020" spans="1:27" x14ac:dyDescent="0.25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</row>
    <row r="1021" spans="1:27" x14ac:dyDescent="0.25">
      <c r="A1021" s="1"/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</row>
    <row r="1022" spans="1:27" x14ac:dyDescent="0.25">
      <c r="A1022" s="1"/>
      <c r="B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</row>
    <row r="1023" spans="1:27" x14ac:dyDescent="0.25">
      <c r="A1023" s="1"/>
      <c r="B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</row>
    <row r="1024" spans="1:27" x14ac:dyDescent="0.25">
      <c r="A1024" s="1"/>
      <c r="B1024" s="1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</row>
    <row r="1025" spans="1:26" x14ac:dyDescent="0.25">
      <c r="A1025" s="1"/>
      <c r="B1025" s="1"/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</row>
    <row r="1026" spans="1:26" x14ac:dyDescent="0.25">
      <c r="A1026" s="1"/>
      <c r="B1026" s="1"/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</row>
    <row r="1027" spans="1:26" x14ac:dyDescent="0.25">
      <c r="A1027" s="1"/>
      <c r="B1027" s="1"/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</row>
    <row r="1028" spans="1:26" x14ac:dyDescent="0.25">
      <c r="A1028" s="1"/>
      <c r="B1028" s="1"/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</row>
    <row r="1029" spans="1:26" x14ac:dyDescent="0.25">
      <c r="A1029" s="1"/>
      <c r="B1029" s="1"/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</row>
    <row r="1030" spans="1:26" x14ac:dyDescent="0.25">
      <c r="A1030" s="1"/>
      <c r="B1030" s="1"/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</row>
    <row r="1031" spans="1:26" x14ac:dyDescent="0.25">
      <c r="A1031" s="1"/>
      <c r="B1031" s="1"/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</row>
    <row r="1032" spans="1:26" x14ac:dyDescent="0.25">
      <c r="A1032" s="1"/>
      <c r="B1032" s="1"/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</row>
    <row r="1033" spans="1:26" x14ac:dyDescent="0.25">
      <c r="A1033" s="1"/>
      <c r="B1033" s="1"/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</row>
    <row r="1034" spans="1:26" x14ac:dyDescent="0.25">
      <c r="A1034" s="1"/>
      <c r="B1034" s="1"/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</row>
    <row r="1035" spans="1:26" x14ac:dyDescent="0.25">
      <c r="A1035" s="1"/>
      <c r="B1035" s="1"/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</row>
    <row r="1036" spans="1:26" x14ac:dyDescent="0.25">
      <c r="A1036" s="1"/>
      <c r="B1036" s="1"/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</row>
    <row r="1037" spans="1:26" x14ac:dyDescent="0.25">
      <c r="A1037" s="1"/>
      <c r="B1037" s="1"/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</row>
    <row r="1038" spans="1:26" x14ac:dyDescent="0.25">
      <c r="A1038" s="1"/>
      <c r="B1038" s="1"/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</row>
    <row r="1039" spans="1:26" x14ac:dyDescent="0.25">
      <c r="A1039" s="1"/>
      <c r="B1039" s="1"/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</row>
    <row r="1040" spans="1:26" x14ac:dyDescent="0.25">
      <c r="A1040" s="1"/>
      <c r="B1040" s="1"/>
      <c r="C1040" s="1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</row>
    <row r="1041" spans="1:26" x14ac:dyDescent="0.25">
      <c r="A1041" s="1"/>
      <c r="B1041" s="1"/>
      <c r="C1041" s="1"/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</row>
    <row r="1042" spans="1:26" x14ac:dyDescent="0.25">
      <c r="A1042" s="1"/>
      <c r="B1042" s="1"/>
      <c r="C1042" s="1"/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</row>
    <row r="1043" spans="1:26" x14ac:dyDescent="0.25">
      <c r="A1043" s="1"/>
      <c r="B1043" s="1"/>
      <c r="C1043" s="1"/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</row>
    <row r="1044" spans="1:26" x14ac:dyDescent="0.25">
      <c r="A1044" s="1"/>
      <c r="B1044" s="1"/>
      <c r="C1044" s="1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</row>
    <row r="1045" spans="1:26" x14ac:dyDescent="0.25">
      <c r="A1045" s="1"/>
      <c r="B1045" s="1"/>
      <c r="C1045" s="1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</row>
    <row r="1046" spans="1:26" x14ac:dyDescent="0.25">
      <c r="A1046" s="1"/>
      <c r="B1046" s="1"/>
      <c r="C1046" s="1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</row>
    <row r="1047" spans="1:26" x14ac:dyDescent="0.25">
      <c r="A1047" s="1"/>
      <c r="B1047" s="1"/>
      <c r="C1047" s="1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</row>
    <row r="1048" spans="1:26" x14ac:dyDescent="0.25">
      <c r="A1048" s="1"/>
      <c r="B1048" s="1"/>
      <c r="C1048" s="1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</row>
    <row r="1049" spans="1:26" x14ac:dyDescent="0.25">
      <c r="A1049" s="1"/>
      <c r="B1049" s="1"/>
      <c r="C1049" s="1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</row>
    <row r="1050" spans="1:26" x14ac:dyDescent="0.25">
      <c r="A1050" s="1"/>
      <c r="B1050" s="1"/>
      <c r="C1050" s="1"/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</row>
    <row r="1051" spans="1:26" x14ac:dyDescent="0.25">
      <c r="A1051" s="1"/>
      <c r="B1051" s="1"/>
      <c r="C1051" s="1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</row>
    <row r="1052" spans="1:26" x14ac:dyDescent="0.25">
      <c r="A1052" s="1"/>
      <c r="B1052" s="1"/>
      <c r="C1052" s="1"/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</row>
    <row r="1053" spans="1:26" x14ac:dyDescent="0.25">
      <c r="A1053" s="1"/>
      <c r="B1053" s="1"/>
      <c r="C1053" s="1"/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</row>
    <row r="1054" spans="1:26" x14ac:dyDescent="0.25">
      <c r="A1054" s="1"/>
      <c r="B1054" s="1"/>
      <c r="C1054" s="1"/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</row>
    <row r="1055" spans="1:26" x14ac:dyDescent="0.25">
      <c r="A1055" s="1"/>
      <c r="B1055" s="1"/>
      <c r="C1055" s="1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</row>
    <row r="1056" spans="1:26" x14ac:dyDescent="0.25">
      <c r="A1056" s="1"/>
      <c r="B1056" s="1"/>
      <c r="C1056" s="1"/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</row>
    <row r="1057" spans="1:26" x14ac:dyDescent="0.25">
      <c r="A1057" s="1"/>
      <c r="B1057" s="1"/>
      <c r="C1057" s="1"/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</row>
    <row r="1058" spans="1:26" x14ac:dyDescent="0.25">
      <c r="A1058" s="1"/>
      <c r="B1058" s="1"/>
      <c r="C1058" s="1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</row>
    <row r="1059" spans="1:26" x14ac:dyDescent="0.25">
      <c r="A1059" s="1"/>
      <c r="B1059" s="1"/>
      <c r="C1059" s="1"/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</row>
    <row r="1060" spans="1:26" x14ac:dyDescent="0.25">
      <c r="A1060" s="1"/>
      <c r="B1060" s="1"/>
      <c r="C1060" s="1"/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</row>
    <row r="1061" spans="1:26" x14ac:dyDescent="0.25">
      <c r="A1061" s="1"/>
      <c r="B1061" s="1"/>
      <c r="C1061" s="1"/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</row>
    <row r="1062" spans="1:26" x14ac:dyDescent="0.25">
      <c r="A1062" s="1"/>
      <c r="B1062" s="1"/>
      <c r="C1062" s="1"/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</row>
    <row r="1063" spans="1:26" x14ac:dyDescent="0.25">
      <c r="A1063" s="1"/>
      <c r="B1063" s="1"/>
      <c r="C1063" s="1"/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</row>
    <row r="1064" spans="1:26" x14ac:dyDescent="0.25">
      <c r="A1064" s="1"/>
      <c r="B1064" s="1"/>
      <c r="C1064" s="1"/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</row>
    <row r="1065" spans="1:26" x14ac:dyDescent="0.25">
      <c r="A1065" s="1"/>
      <c r="B1065" s="1"/>
      <c r="C1065" s="1"/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</row>
    <row r="1066" spans="1:26" x14ac:dyDescent="0.25">
      <c r="A1066" s="1"/>
      <c r="B1066" s="1"/>
      <c r="C1066" s="1"/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</row>
    <row r="1067" spans="1:26" x14ac:dyDescent="0.25">
      <c r="A1067" s="1"/>
      <c r="B1067" s="1"/>
      <c r="C1067" s="1"/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</row>
    <row r="1068" spans="1:26" x14ac:dyDescent="0.25">
      <c r="A1068" s="1"/>
      <c r="B1068" s="1"/>
      <c r="C1068" s="1"/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</row>
    <row r="1069" spans="1:26" x14ac:dyDescent="0.25">
      <c r="A1069" s="1"/>
      <c r="B1069" s="1"/>
      <c r="C1069" s="1"/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</row>
    <row r="1070" spans="1:26" x14ac:dyDescent="0.25">
      <c r="A1070" s="1"/>
      <c r="B1070" s="1"/>
      <c r="C1070" s="1"/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</row>
    <row r="1071" spans="1:26" x14ac:dyDescent="0.25">
      <c r="A1071" s="1"/>
      <c r="B1071" s="1"/>
      <c r="C1071" s="1"/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</row>
    <row r="1072" spans="1:26" x14ac:dyDescent="0.25">
      <c r="A1072" s="1"/>
      <c r="B1072" s="1"/>
      <c r="C1072" s="1"/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</row>
    <row r="1073" spans="1:26" x14ac:dyDescent="0.25">
      <c r="A1073" s="1"/>
      <c r="B1073" s="1"/>
      <c r="C1073" s="1"/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</row>
    <row r="1074" spans="1:26" x14ac:dyDescent="0.25">
      <c r="A1074" s="1"/>
      <c r="B1074" s="1"/>
      <c r="C1074" s="1"/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</row>
    <row r="1075" spans="1:26" x14ac:dyDescent="0.25">
      <c r="A1075" s="1"/>
      <c r="B1075" s="1"/>
      <c r="C1075" s="1"/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</row>
    <row r="1076" spans="1:26" x14ac:dyDescent="0.25">
      <c r="A1076" s="1"/>
      <c r="B1076" s="1"/>
      <c r="C1076" s="1"/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</row>
    <row r="1077" spans="1:26" x14ac:dyDescent="0.25">
      <c r="A1077" s="1"/>
      <c r="B1077" s="1"/>
      <c r="C1077" s="1"/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</row>
    <row r="1078" spans="1:26" x14ac:dyDescent="0.25">
      <c r="A1078" s="1"/>
      <c r="B1078" s="1"/>
      <c r="C1078" s="1"/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</row>
    <row r="1079" spans="1:26" x14ac:dyDescent="0.25">
      <c r="A1079" s="1"/>
      <c r="B1079" s="1"/>
      <c r="C1079" s="1"/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</row>
    <row r="1080" spans="1:26" x14ac:dyDescent="0.25">
      <c r="A1080" s="1"/>
      <c r="B1080" s="1"/>
      <c r="C1080" s="1"/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</row>
    <row r="1081" spans="1:26" x14ac:dyDescent="0.25">
      <c r="A1081" s="1"/>
      <c r="B1081" s="1"/>
      <c r="C1081" s="1"/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</row>
    <row r="1082" spans="1:26" x14ac:dyDescent="0.25">
      <c r="A1082" s="1"/>
      <c r="B1082" s="1"/>
      <c r="C1082" s="1"/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</row>
    <row r="1083" spans="1:26" x14ac:dyDescent="0.25">
      <c r="A1083" s="1"/>
      <c r="B1083" s="1"/>
      <c r="C1083" s="1"/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</row>
    <row r="1084" spans="1:26" x14ac:dyDescent="0.25">
      <c r="A1084" s="1"/>
      <c r="B1084" s="1"/>
      <c r="C1084" s="1"/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</row>
    <row r="1085" spans="1:26" x14ac:dyDescent="0.25">
      <c r="A1085" s="1"/>
      <c r="B1085" s="1"/>
      <c r="C1085" s="1"/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</row>
    <row r="1086" spans="1:26" x14ac:dyDescent="0.25">
      <c r="A1086" s="1"/>
      <c r="B1086" s="1"/>
      <c r="C1086" s="1"/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</row>
    <row r="1087" spans="1:26" x14ac:dyDescent="0.25">
      <c r="A1087" s="1"/>
      <c r="B1087" s="1"/>
      <c r="C1087" s="1"/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</row>
    <row r="1088" spans="1:26" x14ac:dyDescent="0.25">
      <c r="A1088" s="1"/>
      <c r="B1088" s="1"/>
      <c r="C1088" s="1"/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</row>
    <row r="1089" spans="1:26" x14ac:dyDescent="0.25">
      <c r="A1089" s="1"/>
      <c r="B1089" s="1"/>
      <c r="C1089" s="1"/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</row>
    <row r="1090" spans="1:26" x14ac:dyDescent="0.25">
      <c r="A1090" s="1"/>
      <c r="B1090" s="1"/>
      <c r="C1090" s="1"/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</row>
    <row r="1091" spans="1:26" x14ac:dyDescent="0.25">
      <c r="A1091" s="1"/>
      <c r="B1091" s="1"/>
      <c r="C1091" s="1"/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</row>
    <row r="1092" spans="1:26" x14ac:dyDescent="0.25">
      <c r="A1092" s="1"/>
      <c r="B1092" s="1"/>
      <c r="C1092" s="1"/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</row>
    <row r="1093" spans="1:26" x14ac:dyDescent="0.25">
      <c r="A1093" s="1"/>
      <c r="B1093" s="1"/>
      <c r="C1093" s="1"/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</row>
    <row r="1094" spans="1:26" x14ac:dyDescent="0.25">
      <c r="A1094" s="1"/>
      <c r="B1094" s="1"/>
      <c r="C1094" s="1"/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</row>
    <row r="1095" spans="1:26" x14ac:dyDescent="0.25">
      <c r="A1095" s="1"/>
      <c r="B1095" s="1"/>
      <c r="C1095" s="1"/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</row>
    <row r="1096" spans="1:26" x14ac:dyDescent="0.25">
      <c r="A1096" s="1"/>
      <c r="B1096" s="1"/>
      <c r="C1096" s="1"/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</row>
    <row r="1097" spans="1:26" x14ac:dyDescent="0.25">
      <c r="A1097" s="1"/>
      <c r="B1097" s="1"/>
      <c r="C1097" s="1"/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</row>
    <row r="1098" spans="1:26" x14ac:dyDescent="0.25">
      <c r="A1098" s="1"/>
      <c r="B1098" s="1"/>
      <c r="C1098" s="1"/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</row>
    <row r="1099" spans="1:26" x14ac:dyDescent="0.25">
      <c r="A1099" s="1"/>
      <c r="B1099" s="1"/>
      <c r="C1099" s="1"/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</row>
    <row r="1100" spans="1:26" x14ac:dyDescent="0.25">
      <c r="A1100" s="1"/>
      <c r="B1100" s="1"/>
      <c r="C1100" s="1"/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</row>
    <row r="1101" spans="1:26" x14ac:dyDescent="0.25">
      <c r="A1101" s="1"/>
      <c r="B1101" s="1"/>
      <c r="C1101" s="1"/>
      <c r="D1101" s="1"/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</row>
    <row r="1102" spans="1:26" x14ac:dyDescent="0.25">
      <c r="A1102" s="1"/>
      <c r="B1102" s="1"/>
      <c r="C1102" s="1"/>
      <c r="D1102" s="1"/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</row>
    <row r="1103" spans="1:26" x14ac:dyDescent="0.25">
      <c r="A1103" s="1"/>
      <c r="B1103" s="1"/>
      <c r="C1103" s="1"/>
      <c r="D1103" s="1"/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</row>
    <row r="1104" spans="1:26" x14ac:dyDescent="0.25">
      <c r="A1104" s="1"/>
      <c r="B1104" s="1"/>
      <c r="C1104" s="1"/>
      <c r="D1104" s="1"/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</row>
    <row r="1105" spans="1:26" x14ac:dyDescent="0.25">
      <c r="A1105" s="1"/>
      <c r="B1105" s="1"/>
      <c r="C1105" s="1"/>
      <c r="D1105" s="1"/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</row>
    <row r="1106" spans="1:26" x14ac:dyDescent="0.25">
      <c r="A1106" s="1"/>
      <c r="B1106" s="1"/>
      <c r="C1106" s="1"/>
      <c r="D1106" s="1"/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</row>
    <row r="1107" spans="1:26" x14ac:dyDescent="0.25">
      <c r="A1107" s="1"/>
      <c r="B1107" s="1"/>
      <c r="C1107" s="1"/>
      <c r="D1107" s="1"/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</row>
    <row r="1108" spans="1:26" x14ac:dyDescent="0.25">
      <c r="A1108" s="1"/>
      <c r="B1108" s="1"/>
      <c r="C1108" s="1"/>
      <c r="D1108" s="1"/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</row>
    <row r="1109" spans="1:26" x14ac:dyDescent="0.25">
      <c r="A1109" s="1"/>
      <c r="B1109" s="1"/>
      <c r="C1109" s="1"/>
      <c r="D1109" s="1"/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</row>
    <row r="1110" spans="1:26" x14ac:dyDescent="0.25">
      <c r="A1110" s="1"/>
      <c r="B1110" s="1"/>
      <c r="C1110" s="1"/>
      <c r="D1110" s="1"/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</row>
    <row r="1111" spans="1:26" x14ac:dyDescent="0.25">
      <c r="A1111" s="1"/>
      <c r="B1111" s="1"/>
      <c r="C1111" s="1"/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</row>
    <row r="1112" spans="1:26" x14ac:dyDescent="0.25">
      <c r="A1112" s="1"/>
      <c r="B1112" s="1"/>
      <c r="C1112" s="1"/>
      <c r="D1112" s="1"/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</row>
    <row r="1113" spans="1:26" x14ac:dyDescent="0.25">
      <c r="A1113" s="1"/>
      <c r="B1113" s="1"/>
      <c r="C1113" s="1"/>
      <c r="D1113" s="1"/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</row>
    <row r="1114" spans="1:26" x14ac:dyDescent="0.25">
      <c r="A1114" s="1"/>
      <c r="B1114" s="1"/>
      <c r="C1114" s="1"/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</row>
    <row r="1115" spans="1:26" x14ac:dyDescent="0.25">
      <c r="A1115" s="1"/>
      <c r="B1115" s="1"/>
      <c r="C1115" s="1"/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</row>
    <row r="1116" spans="1:26" x14ac:dyDescent="0.25">
      <c r="A1116" s="1"/>
      <c r="B1116" s="1"/>
      <c r="C1116" s="1"/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</row>
    <row r="1117" spans="1:26" x14ac:dyDescent="0.25">
      <c r="A1117" s="1"/>
      <c r="B1117" s="1"/>
      <c r="C1117" s="1"/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</row>
    <row r="1118" spans="1:26" x14ac:dyDescent="0.25">
      <c r="A1118" s="1"/>
      <c r="B1118" s="1"/>
      <c r="C1118" s="1"/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</row>
    <row r="1119" spans="1:26" x14ac:dyDescent="0.25">
      <c r="A1119" s="1"/>
      <c r="B1119" s="1"/>
      <c r="C1119" s="1"/>
      <c r="D1119" s="1"/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</row>
    <row r="1120" spans="1:26" x14ac:dyDescent="0.25">
      <c r="A1120" s="1"/>
      <c r="B1120" s="1"/>
      <c r="C1120" s="1"/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</row>
    <row r="1121" spans="1:26" x14ac:dyDescent="0.25">
      <c r="A1121" s="1"/>
      <c r="B1121" s="1"/>
      <c r="C1121" s="1"/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</row>
    <row r="1122" spans="1:26" x14ac:dyDescent="0.25">
      <c r="A1122" s="1"/>
      <c r="B1122" s="1"/>
      <c r="C1122" s="1"/>
      <c r="D1122" s="1"/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</row>
    <row r="1123" spans="1:26" x14ac:dyDescent="0.25">
      <c r="A1123" s="1"/>
      <c r="B1123" s="1"/>
      <c r="C1123" s="1"/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</row>
    <row r="1124" spans="1:26" x14ac:dyDescent="0.25">
      <c r="A1124" s="1"/>
      <c r="B1124" s="1"/>
      <c r="C1124" s="1"/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</row>
    <row r="1125" spans="1:26" x14ac:dyDescent="0.25">
      <c r="A1125" s="1"/>
      <c r="B1125" s="1"/>
      <c r="C1125" s="1"/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</row>
    <row r="1126" spans="1:26" x14ac:dyDescent="0.25">
      <c r="A1126" s="1"/>
      <c r="B1126" s="1"/>
      <c r="C1126" s="1"/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</row>
    <row r="1127" spans="1:26" x14ac:dyDescent="0.25">
      <c r="A1127" s="1"/>
      <c r="B1127" s="1"/>
      <c r="C1127" s="1"/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</row>
    <row r="1128" spans="1:26" x14ac:dyDescent="0.25">
      <c r="A1128" s="1"/>
      <c r="B1128" s="1"/>
      <c r="C1128" s="1"/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</row>
    <row r="1129" spans="1:26" x14ac:dyDescent="0.25">
      <c r="A1129" s="1"/>
      <c r="B1129" s="1"/>
      <c r="C1129" s="1"/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</row>
    <row r="1130" spans="1:26" x14ac:dyDescent="0.25">
      <c r="A1130" s="1"/>
      <c r="B1130" s="1"/>
      <c r="C1130" s="1"/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</row>
    <row r="1131" spans="1:26" x14ac:dyDescent="0.25">
      <c r="A1131" s="1"/>
      <c r="B1131" s="1"/>
      <c r="C1131" s="1"/>
      <c r="D1131" s="1"/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</row>
    <row r="1132" spans="1:26" x14ac:dyDescent="0.25">
      <c r="A1132" s="1"/>
      <c r="B1132" s="1"/>
      <c r="C1132" s="1"/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</row>
    <row r="1133" spans="1:26" x14ac:dyDescent="0.25">
      <c r="A1133" s="1"/>
      <c r="B1133" s="1"/>
      <c r="C1133" s="1"/>
      <c r="D1133" s="1"/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</row>
    <row r="1134" spans="1:26" x14ac:dyDescent="0.25">
      <c r="A1134" s="1"/>
      <c r="B1134" s="1"/>
      <c r="C1134" s="1"/>
      <c r="D1134" s="1"/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</row>
    <row r="1135" spans="1:26" x14ac:dyDescent="0.25">
      <c r="A1135" s="1"/>
      <c r="B1135" s="1"/>
      <c r="C1135" s="1"/>
      <c r="D1135" s="1"/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</row>
    <row r="1136" spans="1:26" x14ac:dyDescent="0.25">
      <c r="A1136" s="1"/>
      <c r="B1136" s="1"/>
      <c r="C1136" s="1"/>
      <c r="D1136" s="1"/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</row>
    <row r="1137" spans="1:26" x14ac:dyDescent="0.25">
      <c r="A1137" s="1"/>
      <c r="B1137" s="1"/>
      <c r="C1137" s="1"/>
      <c r="D1137" s="1"/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</row>
    <row r="1138" spans="1:26" x14ac:dyDescent="0.25">
      <c r="A1138" s="1"/>
      <c r="B1138" s="1"/>
      <c r="C1138" s="1"/>
      <c r="D1138" s="1"/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</row>
    <row r="1139" spans="1:26" x14ac:dyDescent="0.25">
      <c r="A1139" s="1"/>
      <c r="B1139" s="1"/>
      <c r="C1139" s="1"/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</row>
    <row r="1140" spans="1:26" x14ac:dyDescent="0.25">
      <c r="A1140" s="1"/>
      <c r="B1140" s="1"/>
      <c r="C1140" s="1"/>
      <c r="D1140" s="1"/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</row>
    <row r="1141" spans="1:26" x14ac:dyDescent="0.25">
      <c r="A1141" s="1"/>
      <c r="B1141" s="1"/>
      <c r="C1141" s="1"/>
      <c r="D1141" s="1"/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</row>
    <row r="1142" spans="1:26" x14ac:dyDescent="0.25">
      <c r="A1142" s="1"/>
      <c r="B1142" s="1"/>
      <c r="C1142" s="1"/>
      <c r="D1142" s="1"/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</row>
    <row r="1143" spans="1:26" x14ac:dyDescent="0.25">
      <c r="A1143" s="1"/>
      <c r="B1143" s="1"/>
      <c r="C1143" s="1"/>
      <c r="D1143" s="1"/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</row>
    <row r="1144" spans="1:26" x14ac:dyDescent="0.25">
      <c r="A1144" s="1"/>
      <c r="B1144" s="1"/>
      <c r="C1144" s="1"/>
      <c r="D1144" s="1"/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</row>
    <row r="1145" spans="1:26" x14ac:dyDescent="0.25">
      <c r="A1145" s="1"/>
      <c r="B1145" s="1"/>
      <c r="C1145" s="1"/>
      <c r="D1145" s="1"/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</row>
    <row r="1146" spans="1:26" x14ac:dyDescent="0.25">
      <c r="A1146" s="1"/>
      <c r="B1146" s="1"/>
      <c r="C1146" s="1"/>
      <c r="D1146" s="1"/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</row>
    <row r="1147" spans="1:26" x14ac:dyDescent="0.25">
      <c r="A1147" s="1"/>
      <c r="B1147" s="1"/>
      <c r="C1147" s="1"/>
      <c r="D1147" s="1"/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</row>
    <row r="1148" spans="1:26" x14ac:dyDescent="0.25">
      <c r="A1148" s="1"/>
      <c r="B1148" s="1"/>
      <c r="C1148" s="1"/>
      <c r="D1148" s="1"/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</row>
    <row r="1149" spans="1:26" x14ac:dyDescent="0.25">
      <c r="A1149" s="1"/>
      <c r="B1149" s="1"/>
      <c r="C1149" s="1"/>
      <c r="D1149" s="1"/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</row>
    <row r="1150" spans="1:26" x14ac:dyDescent="0.25">
      <c r="A1150" s="1"/>
      <c r="B1150" s="1"/>
      <c r="C1150" s="1"/>
      <c r="D1150" s="1"/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</row>
    <row r="1151" spans="1:26" x14ac:dyDescent="0.25">
      <c r="A1151" s="1"/>
      <c r="B1151" s="1"/>
      <c r="C1151" s="1"/>
      <c r="D1151" s="1"/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</row>
    <row r="1152" spans="1:26" x14ac:dyDescent="0.25">
      <c r="A1152" s="1"/>
      <c r="B1152" s="1"/>
      <c r="C1152" s="1"/>
      <c r="D1152" s="1"/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</row>
    <row r="1153" spans="1:26" x14ac:dyDescent="0.25">
      <c r="A1153" s="1"/>
      <c r="B1153" s="1"/>
      <c r="C1153" s="1"/>
      <c r="D1153" s="1"/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</row>
    <row r="1154" spans="1:26" x14ac:dyDescent="0.25">
      <c r="A1154" s="1"/>
      <c r="B1154" s="1"/>
      <c r="C1154" s="1"/>
      <c r="D1154" s="1"/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</row>
    <row r="1155" spans="1:26" x14ac:dyDescent="0.25">
      <c r="A1155" s="1"/>
      <c r="B1155" s="1"/>
      <c r="C1155" s="1"/>
      <c r="D1155" s="1"/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</row>
    <row r="1156" spans="1:26" x14ac:dyDescent="0.25">
      <c r="A1156" s="1"/>
      <c r="B1156" s="1"/>
      <c r="C1156" s="1"/>
      <c r="D1156" s="1"/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</row>
    <row r="1157" spans="1:26" x14ac:dyDescent="0.25">
      <c r="A1157" s="1"/>
      <c r="B1157" s="1"/>
      <c r="C1157" s="1"/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</row>
    <row r="1158" spans="1:26" x14ac:dyDescent="0.25">
      <c r="A1158" s="1"/>
      <c r="B1158" s="1"/>
      <c r="C1158" s="1"/>
      <c r="D1158" s="1"/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</row>
    <row r="1159" spans="1:26" x14ac:dyDescent="0.25">
      <c r="A1159" s="1"/>
      <c r="B1159" s="1"/>
      <c r="C1159" s="1"/>
      <c r="D1159" s="1"/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</row>
    <row r="1160" spans="1:26" x14ac:dyDescent="0.25">
      <c r="A1160" s="1"/>
      <c r="B1160" s="1"/>
      <c r="C1160" s="1"/>
      <c r="D1160" s="1"/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</row>
    <row r="1161" spans="1:26" x14ac:dyDescent="0.25">
      <c r="A1161" s="1"/>
      <c r="B1161" s="1"/>
      <c r="C1161" s="1"/>
      <c r="D1161" s="1"/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</row>
    <row r="1162" spans="1:26" x14ac:dyDescent="0.25">
      <c r="A1162" s="1"/>
      <c r="B1162" s="1"/>
      <c r="C1162" s="1"/>
      <c r="D1162" s="1"/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</row>
    <row r="1163" spans="1:26" x14ac:dyDescent="0.25">
      <c r="A1163" s="1"/>
      <c r="B1163" s="1"/>
      <c r="C1163" s="1"/>
      <c r="D1163" s="1"/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</row>
    <row r="1164" spans="1:26" x14ac:dyDescent="0.25">
      <c r="A1164" s="1"/>
      <c r="B1164" s="1"/>
      <c r="C1164" s="1"/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</row>
    <row r="1165" spans="1:26" x14ac:dyDescent="0.25">
      <c r="A1165" s="1"/>
      <c r="B1165" s="1"/>
      <c r="C1165" s="1"/>
      <c r="D1165" s="1"/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</row>
    <row r="1166" spans="1:26" x14ac:dyDescent="0.25">
      <c r="A1166" s="1"/>
      <c r="B1166" s="1"/>
      <c r="C1166" s="1"/>
      <c r="D1166" s="1"/>
      <c r="E1166" s="1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</row>
    <row r="1167" spans="1:26" x14ac:dyDescent="0.25">
      <c r="A1167" s="1"/>
      <c r="B1167" s="1"/>
      <c r="C1167" s="1"/>
      <c r="D1167" s="1"/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</row>
  </sheetData>
  <sortState ref="A1:F1316">
    <sortCondition ref="F1:F131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425"/>
  <sheetViews>
    <sheetView workbookViewId="0">
      <selection sqref="A1:C1048576"/>
    </sheetView>
  </sheetViews>
  <sheetFormatPr baseColWidth="10" defaultColWidth="13.85546875" defaultRowHeight="15" x14ac:dyDescent="0.25"/>
  <sheetData>
    <row r="1" spans="1:4" x14ac:dyDescent="0.25">
      <c r="A1" s="1"/>
      <c r="B1" s="1"/>
      <c r="C1" s="1"/>
      <c r="D1" s="1"/>
    </row>
    <row r="2" spans="1:4" x14ac:dyDescent="0.25">
      <c r="A2" s="1"/>
      <c r="B2" s="1"/>
      <c r="C2" s="1"/>
      <c r="D2" s="1"/>
    </row>
    <row r="3" spans="1:4" x14ac:dyDescent="0.25">
      <c r="A3" s="1"/>
      <c r="B3" s="1"/>
      <c r="C3" s="1"/>
      <c r="D3" s="1"/>
    </row>
    <row r="4" spans="1:4" x14ac:dyDescent="0.25">
      <c r="A4" s="1"/>
      <c r="B4" s="1"/>
      <c r="C4" s="1"/>
      <c r="D4" s="1"/>
    </row>
    <row r="5" spans="1:4" x14ac:dyDescent="0.25">
      <c r="A5" s="1"/>
      <c r="B5" s="1"/>
      <c r="C5" s="1"/>
      <c r="D5" s="1"/>
    </row>
    <row r="6" spans="1:4" x14ac:dyDescent="0.25">
      <c r="A6" s="1"/>
      <c r="B6" s="1"/>
      <c r="C6" s="1"/>
      <c r="D6" s="1"/>
    </row>
    <row r="7" spans="1:4" x14ac:dyDescent="0.25">
      <c r="A7" s="1"/>
      <c r="B7" s="1"/>
      <c r="C7" s="1"/>
      <c r="D7" s="1"/>
    </row>
    <row r="8" spans="1:4" x14ac:dyDescent="0.25">
      <c r="A8" s="1"/>
      <c r="B8" s="1"/>
      <c r="C8" s="1"/>
      <c r="D8" s="1"/>
    </row>
    <row r="9" spans="1:4" x14ac:dyDescent="0.25">
      <c r="A9" s="1"/>
      <c r="B9" s="1"/>
      <c r="C9" s="1"/>
      <c r="D9" s="1"/>
    </row>
    <row r="10" spans="1:4" x14ac:dyDescent="0.25">
      <c r="A10" s="1"/>
      <c r="B10" s="1"/>
      <c r="C10" s="1"/>
      <c r="D10" s="1"/>
    </row>
    <row r="11" spans="1:4" x14ac:dyDescent="0.25">
      <c r="A11" s="1"/>
      <c r="B11" s="1"/>
      <c r="C11" s="1"/>
      <c r="D11" s="1"/>
    </row>
    <row r="12" spans="1:4" x14ac:dyDescent="0.25">
      <c r="A12" s="1"/>
      <c r="B12" s="1"/>
      <c r="C12" s="1"/>
      <c r="D12" s="1"/>
    </row>
    <row r="13" spans="1:4" x14ac:dyDescent="0.25">
      <c r="A13" s="1"/>
      <c r="B13" s="1"/>
      <c r="C13" s="1"/>
      <c r="D13" s="1"/>
    </row>
    <row r="14" spans="1:4" x14ac:dyDescent="0.25">
      <c r="A14" s="1"/>
      <c r="B14" s="1"/>
      <c r="C14" s="1"/>
      <c r="D14" s="1"/>
    </row>
    <row r="15" spans="1:4" x14ac:dyDescent="0.25">
      <c r="A15" s="1"/>
      <c r="B15" s="1"/>
      <c r="C15" s="1"/>
      <c r="D15" s="1"/>
    </row>
    <row r="16" spans="1:4" x14ac:dyDescent="0.25">
      <c r="A16" s="1"/>
      <c r="B16" s="1"/>
      <c r="C16" s="1"/>
      <c r="D16" s="1"/>
    </row>
    <row r="17" spans="1:4" x14ac:dyDescent="0.25">
      <c r="A17" s="1"/>
      <c r="B17" s="1"/>
      <c r="C17" s="1"/>
      <c r="D17" s="1"/>
    </row>
    <row r="18" spans="1:4" x14ac:dyDescent="0.25">
      <c r="A18" s="1"/>
      <c r="B18" s="1"/>
      <c r="C18" s="1"/>
      <c r="D18" s="1"/>
    </row>
    <row r="19" spans="1:4" x14ac:dyDescent="0.25">
      <c r="A19" s="1"/>
      <c r="B19" s="1"/>
      <c r="C19" s="1"/>
      <c r="D19" s="1"/>
    </row>
    <row r="20" spans="1:4" x14ac:dyDescent="0.25">
      <c r="A20" s="1"/>
      <c r="B20" s="1"/>
      <c r="C20" s="1"/>
      <c r="D20" s="1"/>
    </row>
    <row r="21" spans="1:4" x14ac:dyDescent="0.25">
      <c r="A21" s="1"/>
      <c r="B21" s="1"/>
      <c r="C21" s="1"/>
      <c r="D21" s="1"/>
    </row>
    <row r="22" spans="1:4" x14ac:dyDescent="0.25">
      <c r="A22" s="1"/>
      <c r="B22" s="1"/>
      <c r="C22" s="1"/>
      <c r="D22" s="1"/>
    </row>
    <row r="23" spans="1:4" x14ac:dyDescent="0.25">
      <c r="A23" s="1"/>
      <c r="B23" s="1"/>
      <c r="C23" s="1"/>
      <c r="D23" s="1"/>
    </row>
    <row r="24" spans="1:4" x14ac:dyDescent="0.25">
      <c r="A24" s="1"/>
      <c r="B24" s="1"/>
      <c r="C24" s="1"/>
      <c r="D24" s="1"/>
    </row>
    <row r="25" spans="1:4" x14ac:dyDescent="0.25">
      <c r="A25" s="1"/>
      <c r="B25" s="1"/>
      <c r="C25" s="1"/>
      <c r="D25" s="1"/>
    </row>
    <row r="26" spans="1:4" x14ac:dyDescent="0.25">
      <c r="A26" s="1"/>
      <c r="B26" s="1"/>
      <c r="C26" s="1"/>
      <c r="D26" s="1"/>
    </row>
    <row r="27" spans="1:4" x14ac:dyDescent="0.25">
      <c r="A27" s="1"/>
      <c r="B27" s="1"/>
      <c r="C27" s="1"/>
      <c r="D27" s="1"/>
    </row>
    <row r="28" spans="1:4" x14ac:dyDescent="0.25">
      <c r="A28" s="1"/>
      <c r="B28" s="1"/>
      <c r="C28" s="1"/>
      <c r="D28" s="1"/>
    </row>
    <row r="29" spans="1:4" x14ac:dyDescent="0.25">
      <c r="A29" s="1"/>
      <c r="B29" s="1"/>
      <c r="C29" s="1"/>
      <c r="D29" s="1"/>
    </row>
    <row r="30" spans="1:4" x14ac:dyDescent="0.25">
      <c r="A30" s="1"/>
      <c r="B30" s="1"/>
      <c r="C30" s="1"/>
      <c r="D30" s="1"/>
    </row>
    <row r="31" spans="1:4" x14ac:dyDescent="0.25">
      <c r="A31" s="1"/>
      <c r="B31" s="1"/>
      <c r="C31" s="1"/>
      <c r="D31" s="1"/>
    </row>
    <row r="32" spans="1:4" x14ac:dyDescent="0.25">
      <c r="A32" s="1"/>
      <c r="B32" s="1"/>
      <c r="C32" s="1"/>
      <c r="D32" s="1"/>
    </row>
    <row r="33" spans="1:4" x14ac:dyDescent="0.25">
      <c r="A33" s="1"/>
      <c r="B33" s="1"/>
      <c r="C33" s="1"/>
      <c r="D33" s="1"/>
    </row>
    <row r="34" spans="1:4" x14ac:dyDescent="0.25">
      <c r="A34" s="1"/>
      <c r="B34" s="1"/>
      <c r="C34" s="1"/>
      <c r="D34" s="1"/>
    </row>
    <row r="35" spans="1:4" x14ac:dyDescent="0.25">
      <c r="A35" s="1"/>
      <c r="B35" s="1"/>
      <c r="C35" s="1"/>
      <c r="D35" s="1"/>
    </row>
    <row r="36" spans="1:4" x14ac:dyDescent="0.25">
      <c r="A36" s="1"/>
      <c r="B36" s="1"/>
      <c r="C36" s="1"/>
      <c r="D36" s="1"/>
    </row>
    <row r="37" spans="1:4" x14ac:dyDescent="0.25">
      <c r="A37" s="1"/>
      <c r="B37" s="1"/>
      <c r="C37" s="1"/>
      <c r="D37" s="1"/>
    </row>
    <row r="38" spans="1:4" x14ac:dyDescent="0.25">
      <c r="A38" s="1"/>
      <c r="B38" s="1"/>
      <c r="C38" s="1"/>
      <c r="D38" s="1"/>
    </row>
    <row r="39" spans="1:4" x14ac:dyDescent="0.25">
      <c r="A39" s="1"/>
      <c r="B39" s="1"/>
      <c r="C39" s="1"/>
      <c r="D39" s="1"/>
    </row>
    <row r="40" spans="1:4" x14ac:dyDescent="0.25">
      <c r="A40" s="1"/>
      <c r="B40" s="1"/>
      <c r="C40" s="1"/>
      <c r="D40" s="1"/>
    </row>
    <row r="41" spans="1:4" x14ac:dyDescent="0.25">
      <c r="A41" s="1"/>
      <c r="B41" s="1"/>
      <c r="C41" s="1"/>
      <c r="D41" s="1"/>
    </row>
    <row r="42" spans="1:4" x14ac:dyDescent="0.25">
      <c r="A42" s="1"/>
      <c r="B42" s="1"/>
      <c r="C42" s="1"/>
      <c r="D42" s="1"/>
    </row>
    <row r="43" spans="1:4" x14ac:dyDescent="0.25">
      <c r="A43" s="1"/>
      <c r="B43" s="1"/>
      <c r="C43" s="1"/>
      <c r="D43" s="1"/>
    </row>
    <row r="44" spans="1:4" x14ac:dyDescent="0.25">
      <c r="A44" s="1"/>
      <c r="B44" s="1"/>
      <c r="C44" s="1"/>
      <c r="D44" s="1"/>
    </row>
    <row r="45" spans="1:4" x14ac:dyDescent="0.25">
      <c r="A45" s="1"/>
      <c r="B45" s="1"/>
      <c r="C45" s="1"/>
      <c r="D45" s="1"/>
    </row>
    <row r="46" spans="1:4" x14ac:dyDescent="0.25">
      <c r="A46" s="1"/>
      <c r="B46" s="1"/>
      <c r="C46" s="1"/>
      <c r="D46" s="1"/>
    </row>
    <row r="47" spans="1:4" x14ac:dyDescent="0.25">
      <c r="A47" s="1"/>
      <c r="B47" s="1"/>
      <c r="C47" s="1"/>
      <c r="D47" s="1"/>
    </row>
    <row r="48" spans="1:4" x14ac:dyDescent="0.25">
      <c r="A48" s="1"/>
      <c r="B48" s="1"/>
      <c r="C48" s="1"/>
      <c r="D48" s="1"/>
    </row>
    <row r="49" spans="1:4" x14ac:dyDescent="0.25">
      <c r="A49" s="1"/>
      <c r="B49" s="1"/>
      <c r="C49" s="1"/>
      <c r="D49" s="1"/>
    </row>
    <row r="50" spans="1:4" x14ac:dyDescent="0.25">
      <c r="A50" s="1"/>
      <c r="B50" s="1"/>
      <c r="C50" s="1"/>
      <c r="D50" s="1"/>
    </row>
    <row r="51" spans="1:4" x14ac:dyDescent="0.25">
      <c r="A51" s="1"/>
      <c r="B51" s="1"/>
      <c r="C51" s="1"/>
      <c r="D51" s="1"/>
    </row>
    <row r="52" spans="1:4" x14ac:dyDescent="0.25">
      <c r="A52" s="1"/>
      <c r="B52" s="1"/>
      <c r="C52" s="1"/>
      <c r="D52" s="1"/>
    </row>
    <row r="53" spans="1:4" x14ac:dyDescent="0.25">
      <c r="A53" s="1"/>
      <c r="B53" s="1"/>
      <c r="C53" s="1"/>
      <c r="D53" s="1"/>
    </row>
    <row r="54" spans="1:4" x14ac:dyDescent="0.25">
      <c r="A54" s="1"/>
      <c r="B54" s="1"/>
      <c r="C54" s="1"/>
      <c r="D54" s="1"/>
    </row>
    <row r="55" spans="1:4" x14ac:dyDescent="0.25">
      <c r="A55" s="1"/>
      <c r="B55" s="1"/>
      <c r="C55" s="1"/>
      <c r="D55" s="1"/>
    </row>
    <row r="56" spans="1:4" x14ac:dyDescent="0.25">
      <c r="A56" s="1"/>
      <c r="B56" s="1"/>
      <c r="C56" s="1"/>
      <c r="D56" s="1"/>
    </row>
    <row r="57" spans="1:4" x14ac:dyDescent="0.25">
      <c r="A57" s="1"/>
      <c r="B57" s="1"/>
      <c r="C57" s="1"/>
      <c r="D57" s="1"/>
    </row>
    <row r="58" spans="1:4" x14ac:dyDescent="0.25">
      <c r="A58" s="1"/>
      <c r="B58" s="1"/>
      <c r="C58" s="1"/>
      <c r="D58" s="1"/>
    </row>
    <row r="59" spans="1:4" x14ac:dyDescent="0.25">
      <c r="A59" s="1"/>
      <c r="B59" s="1"/>
      <c r="C59" s="1"/>
      <c r="D59" s="1"/>
    </row>
    <row r="60" spans="1:4" x14ac:dyDescent="0.25">
      <c r="A60" s="1"/>
      <c r="B60" s="1"/>
      <c r="C60" s="1"/>
      <c r="D60" s="1"/>
    </row>
    <row r="61" spans="1:4" x14ac:dyDescent="0.25">
      <c r="A61" s="1"/>
      <c r="B61" s="1"/>
      <c r="C61" s="1"/>
      <c r="D61" s="1"/>
    </row>
    <row r="62" spans="1:4" x14ac:dyDescent="0.25">
      <c r="A62" s="1"/>
      <c r="B62" s="1"/>
      <c r="C62" s="1"/>
      <c r="D62" s="1"/>
    </row>
    <row r="63" spans="1:4" x14ac:dyDescent="0.25">
      <c r="A63" s="1"/>
      <c r="B63" s="1"/>
      <c r="C63" s="1"/>
      <c r="D63" s="1"/>
    </row>
    <row r="64" spans="1:4" x14ac:dyDescent="0.25">
      <c r="A64" s="1"/>
      <c r="B64" s="1"/>
      <c r="C64" s="1"/>
      <c r="D64" s="1"/>
    </row>
    <row r="65" spans="1:4" x14ac:dyDescent="0.25">
      <c r="A65" s="1"/>
      <c r="B65" s="1"/>
      <c r="C65" s="1"/>
      <c r="D65" s="1"/>
    </row>
    <row r="66" spans="1:4" x14ac:dyDescent="0.25">
      <c r="A66" s="1"/>
      <c r="B66" s="1"/>
      <c r="C66" s="1"/>
      <c r="D66" s="1"/>
    </row>
    <row r="67" spans="1:4" x14ac:dyDescent="0.25">
      <c r="A67" s="1"/>
      <c r="B67" s="1"/>
      <c r="C67" s="1"/>
      <c r="D67" s="1"/>
    </row>
    <row r="68" spans="1:4" x14ac:dyDescent="0.25">
      <c r="A68" s="1"/>
      <c r="B68" s="1"/>
      <c r="C68" s="1"/>
      <c r="D68" s="1"/>
    </row>
    <row r="69" spans="1:4" x14ac:dyDescent="0.25">
      <c r="A69" s="1"/>
      <c r="B69" s="1"/>
      <c r="C69" s="1"/>
      <c r="D69" s="1"/>
    </row>
    <row r="70" spans="1:4" x14ac:dyDescent="0.25">
      <c r="A70" s="1"/>
      <c r="B70" s="1"/>
      <c r="C70" s="1"/>
      <c r="D70" s="1"/>
    </row>
    <row r="71" spans="1:4" x14ac:dyDescent="0.25">
      <c r="A71" s="1"/>
      <c r="B71" s="1"/>
      <c r="C71" s="1"/>
      <c r="D71" s="1"/>
    </row>
    <row r="72" spans="1:4" x14ac:dyDescent="0.25">
      <c r="A72" s="1"/>
      <c r="B72" s="1"/>
      <c r="C72" s="1"/>
      <c r="D72" s="1"/>
    </row>
    <row r="73" spans="1:4" x14ac:dyDescent="0.25">
      <c r="A73" s="1"/>
      <c r="B73" s="1"/>
      <c r="C73" s="1"/>
      <c r="D73" s="1"/>
    </row>
    <row r="74" spans="1:4" x14ac:dyDescent="0.25">
      <c r="A74" s="1"/>
      <c r="B74" s="1"/>
      <c r="C74" s="1"/>
      <c r="D74" s="1"/>
    </row>
    <row r="75" spans="1:4" x14ac:dyDescent="0.25">
      <c r="A75" s="1"/>
      <c r="B75" s="1"/>
      <c r="C75" s="1"/>
      <c r="D75" s="1"/>
    </row>
    <row r="76" spans="1:4" x14ac:dyDescent="0.25">
      <c r="A76" s="1"/>
      <c r="B76" s="1"/>
      <c r="C76" s="1"/>
      <c r="D76" s="1"/>
    </row>
    <row r="77" spans="1:4" x14ac:dyDescent="0.25">
      <c r="A77" s="1"/>
      <c r="B77" s="1"/>
      <c r="C77" s="1"/>
      <c r="D77" s="1"/>
    </row>
    <row r="78" spans="1:4" x14ac:dyDescent="0.25">
      <c r="A78" s="1"/>
      <c r="B78" s="1"/>
      <c r="C78" s="1"/>
      <c r="D78" s="1"/>
    </row>
    <row r="79" spans="1:4" x14ac:dyDescent="0.25">
      <c r="A79" s="1"/>
      <c r="B79" s="1"/>
      <c r="C79" s="1"/>
      <c r="D79" s="1"/>
    </row>
    <row r="80" spans="1:4" x14ac:dyDescent="0.25">
      <c r="A80" s="1"/>
      <c r="B80" s="1"/>
      <c r="C80" s="1"/>
      <c r="D80" s="1"/>
    </row>
    <row r="81" spans="1:4" x14ac:dyDescent="0.25">
      <c r="A81" s="1"/>
      <c r="B81" s="1"/>
      <c r="C81" s="1"/>
      <c r="D81" s="1"/>
    </row>
    <row r="82" spans="1:4" x14ac:dyDescent="0.25">
      <c r="A82" s="1"/>
      <c r="B82" s="1"/>
      <c r="C82" s="1"/>
      <c r="D82" s="1"/>
    </row>
    <row r="83" spans="1:4" x14ac:dyDescent="0.25">
      <c r="A83" s="1"/>
      <c r="B83" s="1"/>
      <c r="C83" s="1"/>
      <c r="D83" s="1"/>
    </row>
    <row r="84" spans="1:4" x14ac:dyDescent="0.25">
      <c r="A84" s="1"/>
      <c r="B84" s="1"/>
      <c r="C84" s="1"/>
      <c r="D84" s="1"/>
    </row>
    <row r="85" spans="1:4" x14ac:dyDescent="0.25">
      <c r="A85" s="1"/>
      <c r="B85" s="1"/>
      <c r="C85" s="1"/>
      <c r="D85" s="1"/>
    </row>
    <row r="86" spans="1:4" x14ac:dyDescent="0.25">
      <c r="A86" s="1"/>
      <c r="B86" s="1"/>
      <c r="C86" s="1"/>
      <c r="D86" s="1"/>
    </row>
    <row r="87" spans="1:4" x14ac:dyDescent="0.25">
      <c r="A87" s="1"/>
      <c r="B87" s="1"/>
      <c r="C87" s="1"/>
      <c r="D87" s="1"/>
    </row>
    <row r="88" spans="1:4" x14ac:dyDescent="0.25">
      <c r="A88" s="1"/>
      <c r="B88" s="1"/>
      <c r="C88" s="1"/>
      <c r="D88" s="1"/>
    </row>
    <row r="89" spans="1:4" x14ac:dyDescent="0.25">
      <c r="A89" s="1"/>
      <c r="B89" s="1"/>
      <c r="C89" s="1"/>
      <c r="D89" s="1"/>
    </row>
    <row r="90" spans="1:4" x14ac:dyDescent="0.25">
      <c r="A90" s="1"/>
      <c r="B90" s="1"/>
      <c r="C90" s="1"/>
      <c r="D90" s="1"/>
    </row>
    <row r="91" spans="1:4" x14ac:dyDescent="0.25">
      <c r="A91" s="1"/>
      <c r="B91" s="1"/>
      <c r="C91" s="1"/>
      <c r="D91" s="1"/>
    </row>
    <row r="92" spans="1:4" x14ac:dyDescent="0.25">
      <c r="A92" s="1"/>
      <c r="B92" s="1"/>
      <c r="C92" s="1"/>
      <c r="D92" s="1"/>
    </row>
    <row r="93" spans="1:4" x14ac:dyDescent="0.25">
      <c r="A93" s="1"/>
      <c r="B93" s="1"/>
      <c r="C93" s="1"/>
      <c r="D93" s="1"/>
    </row>
    <row r="94" spans="1:4" x14ac:dyDescent="0.25">
      <c r="A94" s="1"/>
      <c r="B94" s="1"/>
      <c r="C94" s="1"/>
      <c r="D94" s="1"/>
    </row>
    <row r="95" spans="1:4" x14ac:dyDescent="0.25">
      <c r="A95" s="1"/>
      <c r="B95" s="1"/>
      <c r="C95" s="1"/>
      <c r="D95" s="1"/>
    </row>
    <row r="96" spans="1:4" x14ac:dyDescent="0.25">
      <c r="A96" s="1"/>
      <c r="B96" s="1"/>
      <c r="C96" s="1"/>
      <c r="D96" s="1"/>
    </row>
    <row r="97" spans="1:4" x14ac:dyDescent="0.25">
      <c r="A97" s="1"/>
      <c r="B97" s="1"/>
      <c r="C97" s="1"/>
      <c r="D97" s="1"/>
    </row>
    <row r="98" spans="1:4" x14ac:dyDescent="0.25">
      <c r="A98" s="1"/>
      <c r="B98" s="1"/>
      <c r="C98" s="1"/>
      <c r="D98" s="1"/>
    </row>
    <row r="99" spans="1:4" x14ac:dyDescent="0.25">
      <c r="A99" s="1"/>
      <c r="B99" s="1"/>
      <c r="C99" s="1"/>
      <c r="D99" s="1"/>
    </row>
    <row r="100" spans="1:4" x14ac:dyDescent="0.25">
      <c r="A100" s="1"/>
      <c r="B100" s="1"/>
      <c r="C100" s="1"/>
      <c r="D100" s="1"/>
    </row>
    <row r="101" spans="1:4" x14ac:dyDescent="0.25">
      <c r="A101" s="1"/>
      <c r="B101" s="1"/>
      <c r="C101" s="1"/>
      <c r="D101" s="1"/>
    </row>
    <row r="102" spans="1:4" x14ac:dyDescent="0.25">
      <c r="A102" s="1"/>
      <c r="B102" s="1"/>
      <c r="C102" s="1"/>
      <c r="D102" s="1"/>
    </row>
    <row r="103" spans="1:4" x14ac:dyDescent="0.25">
      <c r="A103" s="1"/>
      <c r="B103" s="1"/>
      <c r="C103" s="1"/>
      <c r="D103" s="1"/>
    </row>
    <row r="104" spans="1:4" x14ac:dyDescent="0.25">
      <c r="A104" s="1"/>
      <c r="B104" s="1"/>
      <c r="C104" s="1"/>
      <c r="D104" s="1"/>
    </row>
    <row r="105" spans="1:4" x14ac:dyDescent="0.25">
      <c r="A105" s="1"/>
      <c r="B105" s="1"/>
      <c r="C105" s="1"/>
      <c r="D105" s="1"/>
    </row>
    <row r="106" spans="1:4" x14ac:dyDescent="0.25">
      <c r="A106" s="1"/>
      <c r="B106" s="1"/>
      <c r="C106" s="1"/>
      <c r="D106" s="1"/>
    </row>
    <row r="107" spans="1:4" x14ac:dyDescent="0.25">
      <c r="A107" s="1"/>
      <c r="B107" s="1"/>
      <c r="C107" s="1"/>
      <c r="D107" s="1"/>
    </row>
    <row r="108" spans="1:4" x14ac:dyDescent="0.25">
      <c r="A108" s="1"/>
      <c r="B108" s="1"/>
      <c r="C108" s="1"/>
      <c r="D108" s="1"/>
    </row>
    <row r="109" spans="1:4" x14ac:dyDescent="0.25">
      <c r="A109" s="1"/>
      <c r="B109" s="1"/>
      <c r="C109" s="1"/>
      <c r="D109" s="1"/>
    </row>
    <row r="110" spans="1:4" x14ac:dyDescent="0.25">
      <c r="A110" s="1"/>
      <c r="B110" s="1"/>
      <c r="C110" s="1"/>
      <c r="D110" s="1"/>
    </row>
    <row r="111" spans="1:4" x14ac:dyDescent="0.25">
      <c r="A111" s="1"/>
      <c r="B111" s="1"/>
      <c r="C111" s="1"/>
      <c r="D111" s="1"/>
    </row>
    <row r="112" spans="1:4" x14ac:dyDescent="0.25">
      <c r="A112" s="1"/>
      <c r="B112" s="1"/>
      <c r="C112" s="1"/>
      <c r="D112" s="1"/>
    </row>
    <row r="113" spans="1:4" x14ac:dyDescent="0.25">
      <c r="A113" s="1"/>
      <c r="B113" s="1"/>
      <c r="C113" s="1"/>
      <c r="D113" s="1"/>
    </row>
    <row r="114" spans="1:4" x14ac:dyDescent="0.25">
      <c r="A114" s="1"/>
      <c r="B114" s="1"/>
      <c r="C114" s="1"/>
      <c r="D114" s="1"/>
    </row>
    <row r="115" spans="1:4" x14ac:dyDescent="0.25">
      <c r="A115" s="1"/>
      <c r="B115" s="1"/>
      <c r="C115" s="1"/>
      <c r="D115" s="1"/>
    </row>
    <row r="116" spans="1:4" x14ac:dyDescent="0.25">
      <c r="A116" s="1"/>
      <c r="B116" s="1"/>
      <c r="C116" s="1"/>
      <c r="D116" s="1"/>
    </row>
    <row r="117" spans="1:4" x14ac:dyDescent="0.25">
      <c r="A117" s="1"/>
      <c r="B117" s="1"/>
      <c r="C117" s="1"/>
      <c r="D117" s="1"/>
    </row>
    <row r="118" spans="1:4" x14ac:dyDescent="0.25">
      <c r="A118" s="1"/>
      <c r="B118" s="1"/>
      <c r="C118" s="1"/>
      <c r="D118" s="1"/>
    </row>
    <row r="119" spans="1:4" x14ac:dyDescent="0.25">
      <c r="A119" s="1"/>
      <c r="B119" s="1"/>
      <c r="C119" s="1"/>
      <c r="D119" s="1"/>
    </row>
    <row r="120" spans="1:4" x14ac:dyDescent="0.25">
      <c r="A120" s="1"/>
      <c r="B120" s="1"/>
      <c r="C120" s="1"/>
      <c r="D120" s="1"/>
    </row>
    <row r="121" spans="1:4" x14ac:dyDescent="0.25">
      <c r="A121" s="1"/>
      <c r="B121" s="1"/>
      <c r="C121" s="1"/>
      <c r="D121" s="1"/>
    </row>
    <row r="122" spans="1:4" x14ac:dyDescent="0.25">
      <c r="A122" s="1"/>
      <c r="B122" s="1"/>
      <c r="C122" s="1"/>
      <c r="D122" s="1"/>
    </row>
    <row r="123" spans="1:4" x14ac:dyDescent="0.25">
      <c r="A123" s="1"/>
      <c r="B123" s="1"/>
      <c r="C123" s="1"/>
      <c r="D123" s="1"/>
    </row>
    <row r="124" spans="1:4" x14ac:dyDescent="0.25">
      <c r="A124" s="1"/>
      <c r="B124" s="1"/>
      <c r="C124" s="1"/>
      <c r="D124" s="1"/>
    </row>
    <row r="125" spans="1:4" x14ac:dyDescent="0.25">
      <c r="A125" s="1"/>
      <c r="B125" s="1"/>
      <c r="C125" s="1"/>
      <c r="D125" s="1"/>
    </row>
    <row r="126" spans="1:4" x14ac:dyDescent="0.25">
      <c r="A126" s="1"/>
      <c r="B126" s="1"/>
      <c r="C126" s="1"/>
      <c r="D126" s="1"/>
    </row>
    <row r="127" spans="1:4" x14ac:dyDescent="0.25">
      <c r="A127" s="1"/>
      <c r="B127" s="1"/>
      <c r="C127" s="1"/>
      <c r="D127" s="1"/>
    </row>
    <row r="128" spans="1:4" x14ac:dyDescent="0.25">
      <c r="A128" s="1"/>
      <c r="B128" s="1"/>
      <c r="C128" s="1"/>
      <c r="D128" s="1"/>
    </row>
    <row r="129" spans="1:4" x14ac:dyDescent="0.25">
      <c r="A129" s="1"/>
      <c r="B129" s="1"/>
      <c r="C129" s="1"/>
      <c r="D129" s="1"/>
    </row>
    <row r="130" spans="1:4" x14ac:dyDescent="0.25">
      <c r="A130" s="1"/>
      <c r="B130" s="1"/>
      <c r="C130" s="1"/>
      <c r="D130" s="1"/>
    </row>
    <row r="131" spans="1:4" x14ac:dyDescent="0.25">
      <c r="A131" s="1"/>
      <c r="B131" s="1"/>
      <c r="C131" s="1"/>
      <c r="D131" s="1"/>
    </row>
    <row r="132" spans="1:4" x14ac:dyDescent="0.25">
      <c r="A132" s="1"/>
      <c r="B132" s="1"/>
      <c r="C132" s="1"/>
      <c r="D132" s="1"/>
    </row>
    <row r="133" spans="1:4" x14ac:dyDescent="0.25">
      <c r="A133" s="1"/>
      <c r="B133" s="1"/>
      <c r="C133" s="1"/>
      <c r="D133" s="1"/>
    </row>
    <row r="134" spans="1:4" x14ac:dyDescent="0.25">
      <c r="A134" s="1"/>
      <c r="B134" s="1"/>
      <c r="C134" s="1"/>
      <c r="D134" s="1"/>
    </row>
    <row r="135" spans="1:4" x14ac:dyDescent="0.25">
      <c r="A135" s="1"/>
      <c r="B135" s="1"/>
      <c r="C135" s="1"/>
      <c r="D135" s="1"/>
    </row>
    <row r="136" spans="1:4" x14ac:dyDescent="0.25">
      <c r="A136" s="1"/>
      <c r="B136" s="1"/>
      <c r="C136" s="1"/>
      <c r="D136" s="1"/>
    </row>
    <row r="137" spans="1:4" x14ac:dyDescent="0.25">
      <c r="A137" s="1"/>
      <c r="B137" s="1"/>
      <c r="C137" s="1"/>
      <c r="D137" s="1"/>
    </row>
    <row r="138" spans="1:4" x14ac:dyDescent="0.25">
      <c r="A138" s="1"/>
      <c r="B138" s="1"/>
      <c r="C138" s="1"/>
      <c r="D138" s="1"/>
    </row>
    <row r="139" spans="1:4" x14ac:dyDescent="0.25">
      <c r="A139" s="1"/>
      <c r="B139" s="1"/>
      <c r="C139" s="1"/>
      <c r="D139" s="1"/>
    </row>
    <row r="140" spans="1:4" x14ac:dyDescent="0.25">
      <c r="A140" s="1"/>
      <c r="B140" s="1"/>
      <c r="C140" s="1"/>
      <c r="D140" s="1"/>
    </row>
    <row r="141" spans="1:4" x14ac:dyDescent="0.25">
      <c r="A141" s="1"/>
      <c r="B141" s="1"/>
      <c r="C141" s="1"/>
      <c r="D141" s="1"/>
    </row>
    <row r="142" spans="1:4" x14ac:dyDescent="0.25">
      <c r="A142" s="1"/>
      <c r="B142" s="1"/>
      <c r="C142" s="1"/>
      <c r="D142" s="1"/>
    </row>
    <row r="143" spans="1:4" x14ac:dyDescent="0.25">
      <c r="A143" s="1"/>
      <c r="B143" s="1"/>
      <c r="C143" s="1"/>
      <c r="D143" s="1"/>
    </row>
    <row r="144" spans="1:4" x14ac:dyDescent="0.25">
      <c r="A144" s="1"/>
      <c r="B144" s="1"/>
      <c r="C144" s="1"/>
      <c r="D144" s="1"/>
    </row>
    <row r="145" spans="1:4" x14ac:dyDescent="0.25">
      <c r="A145" s="1"/>
      <c r="B145" s="1"/>
      <c r="C145" s="1"/>
      <c r="D145" s="1"/>
    </row>
    <row r="146" spans="1:4" x14ac:dyDescent="0.25">
      <c r="A146" s="1"/>
      <c r="B146" s="1"/>
      <c r="C146" s="1"/>
      <c r="D146" s="1"/>
    </row>
    <row r="147" spans="1:4" x14ac:dyDescent="0.25">
      <c r="A147" s="1"/>
      <c r="B147" s="1"/>
      <c r="C147" s="1"/>
      <c r="D147" s="1"/>
    </row>
    <row r="148" spans="1:4" x14ac:dyDescent="0.25">
      <c r="A148" s="1"/>
      <c r="B148" s="1"/>
      <c r="C148" s="1"/>
      <c r="D148" s="1"/>
    </row>
    <row r="149" spans="1:4" x14ac:dyDescent="0.25">
      <c r="A149" s="1"/>
      <c r="B149" s="1"/>
      <c r="C149" s="1"/>
      <c r="D149" s="1"/>
    </row>
    <row r="150" spans="1:4" x14ac:dyDescent="0.25">
      <c r="A150" s="1"/>
      <c r="B150" s="1"/>
      <c r="C150" s="1"/>
      <c r="D150" s="1"/>
    </row>
    <row r="151" spans="1:4" x14ac:dyDescent="0.25">
      <c r="A151" s="1"/>
      <c r="B151" s="1"/>
      <c r="C151" s="1"/>
      <c r="D151" s="1"/>
    </row>
    <row r="152" spans="1:4" x14ac:dyDescent="0.25">
      <c r="A152" s="1"/>
      <c r="B152" s="1"/>
      <c r="C152" s="1"/>
      <c r="D152" s="1"/>
    </row>
    <row r="153" spans="1:4" x14ac:dyDescent="0.25">
      <c r="A153" s="1"/>
      <c r="B153" s="1"/>
      <c r="C153" s="1"/>
      <c r="D153" s="1"/>
    </row>
    <row r="154" spans="1:4" x14ac:dyDescent="0.25">
      <c r="A154" s="1"/>
      <c r="B154" s="1"/>
      <c r="C154" s="1"/>
      <c r="D154" s="1"/>
    </row>
    <row r="155" spans="1:4" x14ac:dyDescent="0.25">
      <c r="A155" s="1"/>
      <c r="B155" s="1"/>
      <c r="C155" s="1"/>
      <c r="D155" s="1"/>
    </row>
    <row r="156" spans="1:4" x14ac:dyDescent="0.25">
      <c r="A156" s="1"/>
      <c r="B156" s="1"/>
      <c r="C156" s="1"/>
      <c r="D156" s="1"/>
    </row>
    <row r="157" spans="1:4" x14ac:dyDescent="0.25">
      <c r="A157" s="1"/>
      <c r="B157" s="1"/>
      <c r="C157" s="1"/>
      <c r="D157" s="1"/>
    </row>
    <row r="158" spans="1:4" x14ac:dyDescent="0.25">
      <c r="A158" s="1"/>
      <c r="B158" s="1"/>
      <c r="C158" s="1"/>
      <c r="D158" s="1"/>
    </row>
    <row r="159" spans="1:4" x14ac:dyDescent="0.25">
      <c r="A159" s="1"/>
      <c r="B159" s="1"/>
      <c r="C159" s="1"/>
      <c r="D159" s="1"/>
    </row>
    <row r="160" spans="1:4" x14ac:dyDescent="0.25">
      <c r="A160" s="1"/>
      <c r="B160" s="1"/>
      <c r="C160" s="1"/>
      <c r="D160" s="1"/>
    </row>
    <row r="161" spans="1:4" x14ac:dyDescent="0.25">
      <c r="A161" s="1"/>
      <c r="B161" s="1"/>
      <c r="C161" s="1"/>
      <c r="D161" s="1"/>
    </row>
    <row r="162" spans="1:4" x14ac:dyDescent="0.25">
      <c r="A162" s="1"/>
      <c r="B162" s="1"/>
      <c r="C162" s="1"/>
      <c r="D162" s="1"/>
    </row>
    <row r="163" spans="1:4" x14ac:dyDescent="0.25">
      <c r="A163" s="1"/>
      <c r="B163" s="1"/>
      <c r="C163" s="1"/>
      <c r="D163" s="1"/>
    </row>
    <row r="164" spans="1:4" x14ac:dyDescent="0.25">
      <c r="A164" s="1"/>
      <c r="B164" s="1"/>
      <c r="C164" s="1"/>
      <c r="D164" s="1"/>
    </row>
    <row r="165" spans="1:4" x14ac:dyDescent="0.25">
      <c r="A165" s="1"/>
      <c r="B165" s="1"/>
      <c r="C165" s="1"/>
      <c r="D165" s="1"/>
    </row>
    <row r="166" spans="1:4" x14ac:dyDescent="0.25">
      <c r="A166" s="1"/>
      <c r="B166" s="1"/>
      <c r="C166" s="1"/>
      <c r="D166" s="1"/>
    </row>
    <row r="167" spans="1:4" x14ac:dyDescent="0.25">
      <c r="A167" s="1"/>
      <c r="B167" s="1"/>
      <c r="C167" s="1"/>
      <c r="D167" s="1"/>
    </row>
    <row r="168" spans="1:4" x14ac:dyDescent="0.25">
      <c r="A168" s="1"/>
      <c r="B168" s="1"/>
      <c r="C168" s="1"/>
      <c r="D168" s="1"/>
    </row>
    <row r="169" spans="1:4" x14ac:dyDescent="0.25">
      <c r="A169" s="1"/>
      <c r="B169" s="1"/>
      <c r="C169" s="1"/>
      <c r="D169" s="1"/>
    </row>
    <row r="170" spans="1:4" x14ac:dyDescent="0.25">
      <c r="A170" s="1"/>
      <c r="B170" s="1"/>
      <c r="C170" s="1"/>
      <c r="D170" s="1"/>
    </row>
    <row r="171" spans="1:4" x14ac:dyDescent="0.25">
      <c r="A171" s="1"/>
      <c r="B171" s="1"/>
      <c r="C171" s="1"/>
      <c r="D171" s="1"/>
    </row>
    <row r="172" spans="1:4" x14ac:dyDescent="0.25">
      <c r="A172" s="1"/>
      <c r="B172" s="1"/>
      <c r="C172" s="1"/>
      <c r="D172" s="1"/>
    </row>
    <row r="173" spans="1:4" x14ac:dyDescent="0.25">
      <c r="A173" s="1"/>
      <c r="B173" s="1"/>
      <c r="C173" s="1"/>
      <c r="D173" s="1"/>
    </row>
    <row r="174" spans="1:4" x14ac:dyDescent="0.25">
      <c r="A174" s="1"/>
      <c r="B174" s="1"/>
      <c r="C174" s="1"/>
      <c r="D174" s="1"/>
    </row>
    <row r="175" spans="1:4" x14ac:dyDescent="0.25">
      <c r="A175" s="1"/>
      <c r="B175" s="1"/>
      <c r="C175" s="1"/>
      <c r="D175" s="1"/>
    </row>
    <row r="176" spans="1:4" x14ac:dyDescent="0.25">
      <c r="A176" s="1"/>
      <c r="B176" s="1"/>
      <c r="C176" s="1"/>
      <c r="D176" s="1"/>
    </row>
    <row r="177" spans="1:4" x14ac:dyDescent="0.25">
      <c r="A177" s="1"/>
      <c r="B177" s="1"/>
      <c r="C177" s="1"/>
      <c r="D177" s="1"/>
    </row>
    <row r="178" spans="1:4" x14ac:dyDescent="0.25">
      <c r="A178" s="1"/>
      <c r="B178" s="1"/>
      <c r="C178" s="1"/>
      <c r="D178" s="1"/>
    </row>
    <row r="179" spans="1:4" x14ac:dyDescent="0.25">
      <c r="A179" s="1"/>
      <c r="B179" s="1"/>
      <c r="C179" s="1"/>
      <c r="D179" s="1"/>
    </row>
    <row r="180" spans="1:4" x14ac:dyDescent="0.25">
      <c r="A180" s="1"/>
      <c r="B180" s="1"/>
      <c r="C180" s="1"/>
      <c r="D180" s="1"/>
    </row>
    <row r="181" spans="1:4" x14ac:dyDescent="0.25">
      <c r="A181" s="1"/>
      <c r="B181" s="1"/>
      <c r="C181" s="1"/>
      <c r="D181" s="1"/>
    </row>
    <row r="182" spans="1:4" x14ac:dyDescent="0.25">
      <c r="A182" s="1"/>
      <c r="B182" s="1"/>
      <c r="C182" s="1"/>
      <c r="D182" s="1"/>
    </row>
    <row r="183" spans="1:4" x14ac:dyDescent="0.25">
      <c r="A183" s="1"/>
      <c r="B183" s="1"/>
      <c r="C183" s="1"/>
      <c r="D183" s="1"/>
    </row>
    <row r="184" spans="1:4" x14ac:dyDescent="0.25">
      <c r="A184" s="1"/>
      <c r="B184" s="1"/>
      <c r="C184" s="1"/>
      <c r="D184" s="1"/>
    </row>
    <row r="185" spans="1:4" x14ac:dyDescent="0.25">
      <c r="A185" s="1"/>
      <c r="B185" s="1"/>
      <c r="C185" s="1"/>
      <c r="D185" s="1"/>
    </row>
    <row r="186" spans="1:4" x14ac:dyDescent="0.25">
      <c r="A186" s="1"/>
      <c r="B186" s="1"/>
      <c r="C186" s="1"/>
      <c r="D186" s="1"/>
    </row>
    <row r="187" spans="1:4" x14ac:dyDescent="0.25">
      <c r="A187" s="1"/>
      <c r="B187" s="1"/>
      <c r="C187" s="1"/>
      <c r="D187" s="1"/>
    </row>
    <row r="188" spans="1:4" x14ac:dyDescent="0.25">
      <c r="A188" s="1"/>
      <c r="B188" s="1"/>
      <c r="C188" s="1"/>
      <c r="D188" s="1"/>
    </row>
    <row r="189" spans="1:4" x14ac:dyDescent="0.25">
      <c r="A189" s="1"/>
      <c r="B189" s="1"/>
      <c r="C189" s="1"/>
      <c r="D189" s="1"/>
    </row>
    <row r="190" spans="1:4" x14ac:dyDescent="0.25">
      <c r="A190" s="1"/>
      <c r="B190" s="1"/>
      <c r="C190" s="1"/>
      <c r="D190" s="1"/>
    </row>
    <row r="191" spans="1:4" x14ac:dyDescent="0.25">
      <c r="A191" s="1"/>
      <c r="B191" s="1"/>
      <c r="C191" s="1"/>
      <c r="D191" s="1"/>
    </row>
    <row r="192" spans="1:4" x14ac:dyDescent="0.25">
      <c r="A192" s="1"/>
      <c r="B192" s="1"/>
      <c r="C192" s="1"/>
      <c r="D192" s="1"/>
    </row>
    <row r="193" spans="1:4" x14ac:dyDescent="0.25">
      <c r="A193" s="1"/>
      <c r="B193" s="1"/>
      <c r="C193" s="1"/>
      <c r="D193" s="1"/>
    </row>
    <row r="194" spans="1:4" x14ac:dyDescent="0.25">
      <c r="A194" s="1"/>
      <c r="B194" s="1"/>
      <c r="C194" s="1"/>
      <c r="D194" s="1"/>
    </row>
    <row r="195" spans="1:4" x14ac:dyDescent="0.25">
      <c r="A195" s="1"/>
      <c r="B195" s="1"/>
      <c r="C195" s="1"/>
      <c r="D195" s="1"/>
    </row>
    <row r="196" spans="1:4" x14ac:dyDescent="0.25">
      <c r="A196" s="1"/>
      <c r="B196" s="1"/>
      <c r="C196" s="1"/>
      <c r="D196" s="1"/>
    </row>
    <row r="197" spans="1:4" x14ac:dyDescent="0.25">
      <c r="A197" s="1"/>
      <c r="B197" s="1"/>
      <c r="C197" s="1"/>
      <c r="D197" s="1"/>
    </row>
    <row r="198" spans="1:4" x14ac:dyDescent="0.25">
      <c r="A198" s="1"/>
      <c r="B198" s="1"/>
      <c r="C198" s="1"/>
      <c r="D198" s="1"/>
    </row>
    <row r="199" spans="1:4" x14ac:dyDescent="0.25">
      <c r="A199" s="1"/>
      <c r="B199" s="1"/>
      <c r="C199" s="1"/>
      <c r="D199" s="1"/>
    </row>
    <row r="200" spans="1:4" x14ac:dyDescent="0.25">
      <c r="A200" s="1"/>
      <c r="B200" s="1"/>
      <c r="C200" s="1"/>
      <c r="D200" s="1"/>
    </row>
    <row r="201" spans="1:4" x14ac:dyDescent="0.25">
      <c r="A201" s="1"/>
      <c r="B201" s="1"/>
      <c r="C201" s="1"/>
      <c r="D201" s="1"/>
    </row>
    <row r="202" spans="1:4" x14ac:dyDescent="0.25">
      <c r="A202" s="1"/>
      <c r="B202" s="1"/>
      <c r="C202" s="1"/>
      <c r="D202" s="1"/>
    </row>
    <row r="203" spans="1:4" x14ac:dyDescent="0.25">
      <c r="A203" s="1"/>
      <c r="B203" s="1"/>
      <c r="C203" s="1"/>
      <c r="D203" s="1"/>
    </row>
    <row r="204" spans="1:4" x14ac:dyDescent="0.25">
      <c r="A204" s="1"/>
      <c r="B204" s="1"/>
      <c r="C204" s="1"/>
      <c r="D204" s="1"/>
    </row>
    <row r="205" spans="1:4" x14ac:dyDescent="0.25">
      <c r="A205" s="1"/>
      <c r="B205" s="1"/>
      <c r="C205" s="1"/>
      <c r="D205" s="1"/>
    </row>
    <row r="206" spans="1:4" x14ac:dyDescent="0.25">
      <c r="A206" s="1"/>
      <c r="B206" s="1"/>
      <c r="C206" s="1"/>
      <c r="D206" s="1"/>
    </row>
    <row r="207" spans="1:4" x14ac:dyDescent="0.25">
      <c r="A207" s="1"/>
      <c r="B207" s="1"/>
      <c r="C207" s="1"/>
      <c r="D207" s="1"/>
    </row>
    <row r="208" spans="1:4" x14ac:dyDescent="0.25">
      <c r="A208" s="1"/>
      <c r="B208" s="1"/>
      <c r="C208" s="1"/>
      <c r="D208" s="1"/>
    </row>
    <row r="209" spans="1:4" x14ac:dyDescent="0.25">
      <c r="A209" s="1"/>
      <c r="B209" s="1"/>
      <c r="C209" s="1"/>
      <c r="D209" s="1"/>
    </row>
    <row r="210" spans="1:4" x14ac:dyDescent="0.25">
      <c r="A210" s="1"/>
      <c r="B210" s="1"/>
      <c r="C210" s="1"/>
      <c r="D210" s="1"/>
    </row>
    <row r="211" spans="1:4" x14ac:dyDescent="0.25">
      <c r="A211" s="1"/>
      <c r="B211" s="1"/>
      <c r="C211" s="1"/>
      <c r="D211" s="1"/>
    </row>
    <row r="212" spans="1:4" x14ac:dyDescent="0.25">
      <c r="A212" s="1"/>
      <c r="B212" s="1"/>
      <c r="C212" s="1"/>
      <c r="D212" s="1"/>
    </row>
    <row r="213" spans="1:4" x14ac:dyDescent="0.25">
      <c r="A213" s="1"/>
      <c r="B213" s="1"/>
      <c r="C213" s="1"/>
      <c r="D213" s="1"/>
    </row>
    <row r="214" spans="1:4" x14ac:dyDescent="0.25">
      <c r="A214" s="1"/>
      <c r="B214" s="1"/>
      <c r="C214" s="1"/>
      <c r="D214" s="1"/>
    </row>
    <row r="215" spans="1:4" x14ac:dyDescent="0.25">
      <c r="A215" s="1"/>
      <c r="B215" s="1"/>
      <c r="C215" s="1"/>
      <c r="D215" s="1"/>
    </row>
    <row r="216" spans="1:4" x14ac:dyDescent="0.25">
      <c r="A216" s="1"/>
      <c r="B216" s="1"/>
      <c r="C216" s="1"/>
      <c r="D216" s="1"/>
    </row>
    <row r="217" spans="1:4" x14ac:dyDescent="0.25">
      <c r="A217" s="1"/>
      <c r="B217" s="1"/>
      <c r="C217" s="1"/>
      <c r="D217" s="1"/>
    </row>
    <row r="218" spans="1:4" x14ac:dyDescent="0.25">
      <c r="A218" s="1"/>
      <c r="B218" s="1"/>
      <c r="C218" s="1"/>
      <c r="D218" s="1"/>
    </row>
    <row r="219" spans="1:4" x14ac:dyDescent="0.25">
      <c r="A219" s="1"/>
      <c r="B219" s="1"/>
      <c r="C219" s="1"/>
      <c r="D219" s="1"/>
    </row>
    <row r="220" spans="1:4" x14ac:dyDescent="0.25">
      <c r="A220" s="1"/>
      <c r="B220" s="1"/>
      <c r="C220" s="1"/>
      <c r="D220" s="1"/>
    </row>
    <row r="221" spans="1:4" x14ac:dyDescent="0.25">
      <c r="A221" s="1"/>
      <c r="B221" s="1"/>
      <c r="C221" s="1"/>
      <c r="D221" s="1"/>
    </row>
    <row r="222" spans="1:4" x14ac:dyDescent="0.25">
      <c r="A222" s="1"/>
      <c r="B222" s="1"/>
      <c r="C222" s="1"/>
      <c r="D222" s="1"/>
    </row>
    <row r="223" spans="1:4" x14ac:dyDescent="0.25">
      <c r="A223" s="1"/>
      <c r="B223" s="1"/>
      <c r="C223" s="1"/>
      <c r="D223" s="1"/>
    </row>
    <row r="224" spans="1:4" x14ac:dyDescent="0.25">
      <c r="A224" s="1"/>
      <c r="B224" s="1"/>
      <c r="C224" s="1"/>
      <c r="D224" s="1"/>
    </row>
    <row r="225" spans="1:4" x14ac:dyDescent="0.25">
      <c r="A225" s="1"/>
      <c r="B225" s="1"/>
      <c r="C225" s="1"/>
      <c r="D225" s="1"/>
    </row>
    <row r="226" spans="1:4" x14ac:dyDescent="0.25">
      <c r="A226" s="1"/>
      <c r="B226" s="1"/>
      <c r="C226" s="1"/>
      <c r="D226" s="1"/>
    </row>
    <row r="227" spans="1:4" x14ac:dyDescent="0.25">
      <c r="A227" s="1"/>
      <c r="B227" s="1"/>
      <c r="C227" s="1"/>
      <c r="D227" s="1"/>
    </row>
    <row r="228" spans="1:4" x14ac:dyDescent="0.25">
      <c r="A228" s="1"/>
      <c r="B228" s="1"/>
      <c r="C228" s="1"/>
      <c r="D228" s="1"/>
    </row>
    <row r="229" spans="1:4" x14ac:dyDescent="0.25">
      <c r="A229" s="1"/>
      <c r="B229" s="1"/>
      <c r="C229" s="1"/>
      <c r="D229" s="1"/>
    </row>
    <row r="230" spans="1:4" x14ac:dyDescent="0.25">
      <c r="A230" s="1"/>
      <c r="B230" s="1"/>
      <c r="C230" s="1"/>
      <c r="D230" s="1"/>
    </row>
    <row r="231" spans="1:4" x14ac:dyDescent="0.25">
      <c r="A231" s="1"/>
      <c r="B231" s="1"/>
      <c r="C231" s="1"/>
      <c r="D231" s="1"/>
    </row>
    <row r="232" spans="1:4" x14ac:dyDescent="0.25">
      <c r="A232" s="1"/>
      <c r="B232" s="1"/>
      <c r="C232" s="1"/>
      <c r="D232" s="1"/>
    </row>
    <row r="233" spans="1:4" x14ac:dyDescent="0.25">
      <c r="A233" s="1"/>
      <c r="B233" s="1"/>
      <c r="C233" s="1"/>
      <c r="D233" s="1"/>
    </row>
    <row r="234" spans="1:4" x14ac:dyDescent="0.25">
      <c r="A234" s="1"/>
      <c r="B234" s="1"/>
      <c r="C234" s="1"/>
      <c r="D234" s="1"/>
    </row>
    <row r="235" spans="1:4" x14ac:dyDescent="0.25">
      <c r="A235" s="1"/>
      <c r="B235" s="1"/>
      <c r="C235" s="1"/>
      <c r="D235" s="1"/>
    </row>
    <row r="236" spans="1:4" x14ac:dyDescent="0.25">
      <c r="A236" s="1"/>
      <c r="B236" s="1"/>
      <c r="C236" s="1"/>
      <c r="D236" s="1"/>
    </row>
    <row r="237" spans="1:4" x14ac:dyDescent="0.25">
      <c r="A237" s="1"/>
      <c r="B237" s="1"/>
      <c r="C237" s="1"/>
      <c r="D237" s="1"/>
    </row>
    <row r="238" spans="1:4" x14ac:dyDescent="0.25">
      <c r="A238" s="1"/>
      <c r="B238" s="1"/>
      <c r="C238" s="1"/>
      <c r="D238" s="1"/>
    </row>
    <row r="239" spans="1:4" x14ac:dyDescent="0.25">
      <c r="A239" s="1"/>
      <c r="B239" s="1"/>
      <c r="C239" s="1"/>
      <c r="D239" s="1"/>
    </row>
    <row r="240" spans="1:4" x14ac:dyDescent="0.25">
      <c r="A240" s="1"/>
      <c r="B240" s="1"/>
      <c r="C240" s="1"/>
      <c r="D240" s="1"/>
    </row>
    <row r="241" spans="1:4" x14ac:dyDescent="0.25">
      <c r="A241" s="1"/>
      <c r="B241" s="1"/>
      <c r="C241" s="1"/>
      <c r="D241" s="1"/>
    </row>
    <row r="242" spans="1:4" x14ac:dyDescent="0.25">
      <c r="A242" s="1"/>
      <c r="B242" s="1"/>
      <c r="C242" s="1"/>
      <c r="D242" s="1"/>
    </row>
    <row r="243" spans="1:4" x14ac:dyDescent="0.25">
      <c r="A243" s="1"/>
      <c r="B243" s="1"/>
      <c r="C243" s="1"/>
      <c r="D243" s="1"/>
    </row>
    <row r="244" spans="1:4" x14ac:dyDescent="0.25">
      <c r="A244" s="1"/>
      <c r="B244" s="1"/>
      <c r="C244" s="1"/>
      <c r="D244" s="1"/>
    </row>
    <row r="245" spans="1:4" x14ac:dyDescent="0.25">
      <c r="A245" s="1"/>
      <c r="B245" s="1"/>
      <c r="C245" s="1"/>
      <c r="D245" s="1"/>
    </row>
    <row r="246" spans="1:4" x14ac:dyDescent="0.25">
      <c r="A246" s="1"/>
      <c r="B246" s="1"/>
      <c r="C246" s="1"/>
      <c r="D246" s="1"/>
    </row>
    <row r="247" spans="1:4" x14ac:dyDescent="0.25">
      <c r="A247" s="1"/>
      <c r="B247" s="1"/>
      <c r="C247" s="1"/>
      <c r="D247" s="1"/>
    </row>
    <row r="248" spans="1:4" x14ac:dyDescent="0.25">
      <c r="A248" s="1"/>
      <c r="B248" s="1"/>
      <c r="C248" s="1"/>
      <c r="D248" s="1"/>
    </row>
    <row r="249" spans="1:4" x14ac:dyDescent="0.25">
      <c r="A249" s="1"/>
      <c r="B249" s="1"/>
      <c r="C249" s="1"/>
      <c r="D249" s="1"/>
    </row>
    <row r="250" spans="1:4" x14ac:dyDescent="0.25">
      <c r="A250" s="1"/>
      <c r="B250" s="1"/>
      <c r="C250" s="1"/>
      <c r="D250" s="1"/>
    </row>
    <row r="251" spans="1:4" x14ac:dyDescent="0.25">
      <c r="A251" s="1"/>
      <c r="B251" s="1"/>
      <c r="C251" s="1"/>
      <c r="D251" s="1"/>
    </row>
    <row r="252" spans="1:4" x14ac:dyDescent="0.25">
      <c r="A252" s="1"/>
      <c r="B252" s="1"/>
      <c r="C252" s="1"/>
      <c r="D252" s="1"/>
    </row>
    <row r="253" spans="1:4" x14ac:dyDescent="0.25">
      <c r="A253" s="1"/>
      <c r="B253" s="1"/>
      <c r="C253" s="1"/>
      <c r="D253" s="1"/>
    </row>
    <row r="254" spans="1:4" x14ac:dyDescent="0.25">
      <c r="A254" s="1"/>
      <c r="B254" s="1"/>
      <c r="C254" s="1"/>
      <c r="D254" s="1"/>
    </row>
    <row r="255" spans="1:4" x14ac:dyDescent="0.25">
      <c r="A255" s="1"/>
      <c r="B255" s="1"/>
      <c r="C255" s="1"/>
      <c r="D255" s="1"/>
    </row>
    <row r="256" spans="1:4" x14ac:dyDescent="0.25">
      <c r="A256" s="1"/>
      <c r="B256" s="1"/>
      <c r="C256" s="1"/>
      <c r="D256" s="1"/>
    </row>
    <row r="257" spans="1:4" x14ac:dyDescent="0.25">
      <c r="A257" s="1"/>
      <c r="B257" s="1"/>
      <c r="C257" s="1"/>
      <c r="D257" s="1"/>
    </row>
    <row r="258" spans="1:4" x14ac:dyDescent="0.25">
      <c r="A258" s="1"/>
      <c r="B258" s="1"/>
      <c r="C258" s="1"/>
      <c r="D258" s="1"/>
    </row>
    <row r="259" spans="1:4" x14ac:dyDescent="0.25">
      <c r="A259" s="1"/>
      <c r="B259" s="1"/>
      <c r="C259" s="1"/>
      <c r="D259" s="1"/>
    </row>
    <row r="260" spans="1:4" x14ac:dyDescent="0.25">
      <c r="A260" s="1"/>
      <c r="B260" s="1"/>
      <c r="C260" s="1"/>
      <c r="D260" s="1"/>
    </row>
    <row r="261" spans="1:4" x14ac:dyDescent="0.25">
      <c r="A261" s="1"/>
      <c r="B261" s="1"/>
      <c r="C261" s="1"/>
      <c r="D261" s="1"/>
    </row>
    <row r="262" spans="1:4" x14ac:dyDescent="0.25">
      <c r="A262" s="1"/>
      <c r="B262" s="1"/>
      <c r="C262" s="1"/>
      <c r="D262" s="1"/>
    </row>
    <row r="263" spans="1:4" x14ac:dyDescent="0.25">
      <c r="A263" s="1"/>
      <c r="B263" s="1"/>
      <c r="C263" s="1"/>
      <c r="D263" s="1"/>
    </row>
    <row r="264" spans="1:4" x14ac:dyDescent="0.25">
      <c r="A264" s="1"/>
      <c r="B264" s="1"/>
      <c r="C264" s="1"/>
      <c r="D264" s="1"/>
    </row>
    <row r="265" spans="1:4" x14ac:dyDescent="0.25">
      <c r="A265" s="1"/>
      <c r="B265" s="1"/>
      <c r="C265" s="1"/>
      <c r="D265" s="1"/>
    </row>
    <row r="266" spans="1:4" x14ac:dyDescent="0.25">
      <c r="A266" s="1"/>
      <c r="B266" s="1"/>
      <c r="C266" s="1"/>
      <c r="D266" s="1"/>
    </row>
    <row r="267" spans="1:4" x14ac:dyDescent="0.25">
      <c r="A267" s="1"/>
      <c r="B267" s="1"/>
      <c r="C267" s="1"/>
      <c r="D267" s="1"/>
    </row>
    <row r="268" spans="1:4" x14ac:dyDescent="0.25">
      <c r="A268" s="1"/>
      <c r="B268" s="1"/>
      <c r="C268" s="1"/>
      <c r="D268" s="1"/>
    </row>
    <row r="269" spans="1:4" x14ac:dyDescent="0.25">
      <c r="A269" s="1"/>
      <c r="B269" s="1"/>
      <c r="C269" s="1"/>
      <c r="D269" s="1"/>
    </row>
    <row r="270" spans="1:4" x14ac:dyDescent="0.25">
      <c r="A270" s="1"/>
      <c r="B270" s="1"/>
      <c r="C270" s="1"/>
      <c r="D270" s="1"/>
    </row>
    <row r="271" spans="1:4" x14ac:dyDescent="0.25">
      <c r="A271" s="1"/>
      <c r="B271" s="1"/>
      <c r="C271" s="1"/>
      <c r="D271" s="1"/>
    </row>
    <row r="272" spans="1:4" x14ac:dyDescent="0.25">
      <c r="A272" s="1"/>
      <c r="B272" s="1"/>
      <c r="C272" s="1"/>
      <c r="D272" s="1"/>
    </row>
    <row r="273" spans="1:4" x14ac:dyDescent="0.25">
      <c r="A273" s="1"/>
      <c r="B273" s="1"/>
      <c r="C273" s="1"/>
      <c r="D273" s="1"/>
    </row>
    <row r="274" spans="1:4" x14ac:dyDescent="0.25">
      <c r="A274" s="1"/>
      <c r="B274" s="1"/>
      <c r="C274" s="1"/>
      <c r="D274" s="1"/>
    </row>
    <row r="275" spans="1:4" x14ac:dyDescent="0.25">
      <c r="A275" s="1"/>
      <c r="B275" s="1"/>
      <c r="C275" s="1"/>
      <c r="D275" s="1"/>
    </row>
    <row r="276" spans="1:4" x14ac:dyDescent="0.25">
      <c r="A276" s="1"/>
      <c r="B276" s="1"/>
      <c r="C276" s="1"/>
      <c r="D276" s="1"/>
    </row>
    <row r="277" spans="1:4" x14ac:dyDescent="0.25">
      <c r="A277" s="1"/>
      <c r="B277" s="1"/>
      <c r="C277" s="1"/>
      <c r="D277" s="1"/>
    </row>
    <row r="278" spans="1:4" x14ac:dyDescent="0.25">
      <c r="A278" s="1"/>
      <c r="B278" s="1"/>
      <c r="C278" s="1"/>
      <c r="D278" s="1"/>
    </row>
    <row r="279" spans="1:4" x14ac:dyDescent="0.25">
      <c r="A279" s="1"/>
      <c r="B279" s="1"/>
      <c r="C279" s="1"/>
      <c r="D279" s="1"/>
    </row>
    <row r="280" spans="1:4" x14ac:dyDescent="0.25">
      <c r="A280" s="1"/>
      <c r="B280" s="1"/>
      <c r="C280" s="1"/>
      <c r="D280" s="1"/>
    </row>
    <row r="281" spans="1:4" x14ac:dyDescent="0.25">
      <c r="A281" s="1"/>
      <c r="B281" s="1"/>
      <c r="C281" s="1"/>
      <c r="D281" s="1"/>
    </row>
    <row r="282" spans="1:4" x14ac:dyDescent="0.25">
      <c r="A282" s="1"/>
      <c r="B282" s="1"/>
      <c r="C282" s="1"/>
      <c r="D282" s="1"/>
    </row>
    <row r="283" spans="1:4" x14ac:dyDescent="0.25">
      <c r="A283" s="1"/>
      <c r="B283" s="1"/>
      <c r="C283" s="1"/>
      <c r="D283" s="1"/>
    </row>
    <row r="284" spans="1:4" x14ac:dyDescent="0.25">
      <c r="A284" s="1"/>
      <c r="B284" s="1"/>
      <c r="C284" s="1"/>
      <c r="D284" s="1"/>
    </row>
    <row r="285" spans="1:4" x14ac:dyDescent="0.25">
      <c r="A285" s="1"/>
      <c r="B285" s="1"/>
      <c r="C285" s="1"/>
      <c r="D285" s="1"/>
    </row>
    <row r="286" spans="1:4" x14ac:dyDescent="0.25">
      <c r="A286" s="1"/>
      <c r="B286" s="1"/>
      <c r="C286" s="1"/>
      <c r="D286" s="1"/>
    </row>
    <row r="287" spans="1:4" x14ac:dyDescent="0.25">
      <c r="A287" s="1"/>
      <c r="B287" s="1"/>
      <c r="C287" s="1"/>
      <c r="D287" s="1"/>
    </row>
    <row r="288" spans="1:4" x14ac:dyDescent="0.25">
      <c r="A288" s="1"/>
      <c r="B288" s="1"/>
      <c r="C288" s="1"/>
      <c r="D288" s="1"/>
    </row>
    <row r="289" spans="1:4" x14ac:dyDescent="0.25">
      <c r="A289" s="1"/>
      <c r="B289" s="1"/>
      <c r="C289" s="1"/>
      <c r="D289" s="1"/>
    </row>
    <row r="290" spans="1:4" x14ac:dyDescent="0.25">
      <c r="A290" s="1"/>
      <c r="B290" s="1"/>
      <c r="C290" s="1"/>
      <c r="D290" s="1"/>
    </row>
    <row r="291" spans="1:4" x14ac:dyDescent="0.25">
      <c r="A291" s="1"/>
      <c r="B291" s="1"/>
      <c r="C291" s="1"/>
      <c r="D291" s="1"/>
    </row>
    <row r="292" spans="1:4" x14ac:dyDescent="0.25">
      <c r="A292" s="1"/>
      <c r="B292" s="1"/>
      <c r="C292" s="1"/>
      <c r="D292" s="1"/>
    </row>
    <row r="293" spans="1:4" x14ac:dyDescent="0.25">
      <c r="A293" s="1"/>
      <c r="B293" s="1"/>
      <c r="C293" s="1"/>
      <c r="D293" s="1"/>
    </row>
    <row r="294" spans="1:4" x14ac:dyDescent="0.25">
      <c r="A294" s="1"/>
      <c r="B294" s="1"/>
      <c r="C294" s="1"/>
      <c r="D294" s="1"/>
    </row>
    <row r="295" spans="1:4" x14ac:dyDescent="0.25">
      <c r="A295" s="1"/>
      <c r="B295" s="1"/>
      <c r="C295" s="1"/>
      <c r="D295" s="1"/>
    </row>
    <row r="296" spans="1:4" x14ac:dyDescent="0.25">
      <c r="A296" s="1"/>
      <c r="B296" s="1"/>
      <c r="C296" s="1"/>
      <c r="D296" s="1"/>
    </row>
    <row r="297" spans="1:4" x14ac:dyDescent="0.25">
      <c r="A297" s="1"/>
      <c r="B297" s="1"/>
      <c r="C297" s="1"/>
      <c r="D297" s="1"/>
    </row>
    <row r="298" spans="1:4" x14ac:dyDescent="0.25">
      <c r="A298" s="1"/>
      <c r="B298" s="1"/>
      <c r="C298" s="1"/>
      <c r="D298" s="1"/>
    </row>
    <row r="299" spans="1:4" x14ac:dyDescent="0.25">
      <c r="A299" s="1"/>
      <c r="B299" s="1"/>
      <c r="C299" s="1"/>
      <c r="D299" s="1"/>
    </row>
    <row r="300" spans="1:4" x14ac:dyDescent="0.25">
      <c r="A300" s="1"/>
      <c r="B300" s="1"/>
      <c r="C300" s="1"/>
      <c r="D300" s="1"/>
    </row>
    <row r="301" spans="1:4" x14ac:dyDescent="0.25">
      <c r="A301" s="1"/>
      <c r="B301" s="1"/>
      <c r="C301" s="1"/>
      <c r="D301" s="1"/>
    </row>
    <row r="302" spans="1:4" x14ac:dyDescent="0.25">
      <c r="A302" s="1"/>
      <c r="B302" s="1"/>
      <c r="C302" s="1"/>
      <c r="D302" s="1"/>
    </row>
    <row r="303" spans="1:4" x14ac:dyDescent="0.25">
      <c r="A303" s="1"/>
      <c r="B303" s="1"/>
      <c r="C303" s="1"/>
      <c r="D303" s="1"/>
    </row>
    <row r="304" spans="1:4" x14ac:dyDescent="0.25">
      <c r="A304" s="1"/>
      <c r="B304" s="1"/>
      <c r="C304" s="1"/>
      <c r="D304" s="1"/>
    </row>
    <row r="305" spans="1:4" x14ac:dyDescent="0.25">
      <c r="A305" s="1"/>
      <c r="B305" s="1"/>
      <c r="C305" s="1"/>
      <c r="D305" s="1"/>
    </row>
    <row r="306" spans="1:4" x14ac:dyDescent="0.25">
      <c r="A306" s="1"/>
      <c r="B306" s="1"/>
      <c r="C306" s="1"/>
      <c r="D306" s="1"/>
    </row>
    <row r="307" spans="1:4" x14ac:dyDescent="0.25">
      <c r="A307" s="1"/>
      <c r="B307" s="1"/>
      <c r="C307" s="1"/>
      <c r="D307" s="1"/>
    </row>
    <row r="308" spans="1:4" x14ac:dyDescent="0.25">
      <c r="A308" s="1"/>
      <c r="B308" s="1"/>
      <c r="C308" s="1"/>
      <c r="D308" s="1"/>
    </row>
    <row r="309" spans="1:4" x14ac:dyDescent="0.25">
      <c r="A309" s="1"/>
      <c r="B309" s="1"/>
      <c r="C309" s="1"/>
      <c r="D309" s="1"/>
    </row>
    <row r="310" spans="1:4" x14ac:dyDescent="0.25">
      <c r="A310" s="1"/>
      <c r="B310" s="1"/>
      <c r="C310" s="1"/>
      <c r="D310" s="1"/>
    </row>
    <row r="311" spans="1:4" x14ac:dyDescent="0.25">
      <c r="A311" s="1"/>
      <c r="B311" s="1"/>
      <c r="C311" s="1"/>
      <c r="D311" s="1"/>
    </row>
    <row r="312" spans="1:4" x14ac:dyDescent="0.25">
      <c r="A312" s="1"/>
      <c r="B312" s="1"/>
      <c r="C312" s="1"/>
      <c r="D312" s="1"/>
    </row>
    <row r="313" spans="1:4" x14ac:dyDescent="0.25">
      <c r="A313" s="1"/>
      <c r="B313" s="1"/>
      <c r="C313" s="1"/>
      <c r="D313" s="1"/>
    </row>
    <row r="314" spans="1:4" x14ac:dyDescent="0.25">
      <c r="A314" s="1"/>
      <c r="B314" s="1"/>
      <c r="C314" s="1"/>
      <c r="D314" s="1"/>
    </row>
    <row r="315" spans="1:4" x14ac:dyDescent="0.25">
      <c r="A315" s="1"/>
      <c r="B315" s="1"/>
      <c r="C315" s="1"/>
      <c r="D315" s="1"/>
    </row>
    <row r="316" spans="1:4" x14ac:dyDescent="0.25">
      <c r="A316" s="1"/>
      <c r="B316" s="1"/>
      <c r="C316" s="1"/>
      <c r="D316" s="1"/>
    </row>
    <row r="317" spans="1:4" x14ac:dyDescent="0.25">
      <c r="A317" s="1"/>
      <c r="B317" s="1"/>
      <c r="C317" s="1"/>
      <c r="D317" s="1"/>
    </row>
    <row r="318" spans="1:4" x14ac:dyDescent="0.25">
      <c r="A318" s="1"/>
      <c r="B318" s="1"/>
      <c r="C318" s="1"/>
      <c r="D318" s="1"/>
    </row>
    <row r="319" spans="1:4" x14ac:dyDescent="0.25">
      <c r="A319" s="1"/>
      <c r="B319" s="1"/>
      <c r="C319" s="1"/>
      <c r="D319" s="1"/>
    </row>
    <row r="320" spans="1:4" x14ac:dyDescent="0.25">
      <c r="A320" s="1"/>
      <c r="B320" s="1"/>
      <c r="C320" s="1"/>
      <c r="D320" s="1"/>
    </row>
    <row r="321" spans="1:4" x14ac:dyDescent="0.25">
      <c r="A321" s="1"/>
      <c r="B321" s="1"/>
      <c r="C321" s="1"/>
      <c r="D321" s="1"/>
    </row>
    <row r="322" spans="1:4" x14ac:dyDescent="0.25">
      <c r="A322" s="1"/>
      <c r="B322" s="1"/>
      <c r="C322" s="1"/>
      <c r="D322" s="1"/>
    </row>
    <row r="323" spans="1:4" x14ac:dyDescent="0.25">
      <c r="A323" s="1"/>
      <c r="B323" s="1"/>
      <c r="C323" s="1"/>
      <c r="D323" s="1"/>
    </row>
    <row r="324" spans="1:4" x14ac:dyDescent="0.25">
      <c r="A324" s="1"/>
      <c r="B324" s="1"/>
      <c r="C324" s="1"/>
      <c r="D324" s="1"/>
    </row>
    <row r="325" spans="1:4" x14ac:dyDescent="0.25">
      <c r="A325" s="1"/>
      <c r="B325" s="1"/>
      <c r="C325" s="1"/>
      <c r="D325" s="1"/>
    </row>
    <row r="326" spans="1:4" x14ac:dyDescent="0.25">
      <c r="A326" s="1"/>
      <c r="B326" s="1"/>
      <c r="C326" s="1"/>
      <c r="D326" s="1"/>
    </row>
    <row r="327" spans="1:4" x14ac:dyDescent="0.25">
      <c r="A327" s="1"/>
      <c r="B327" s="1"/>
      <c r="C327" s="1"/>
      <c r="D327" s="1"/>
    </row>
    <row r="328" spans="1:4" x14ac:dyDescent="0.25">
      <c r="A328" s="1"/>
      <c r="B328" s="1"/>
      <c r="C328" s="1"/>
      <c r="D328" s="1"/>
    </row>
    <row r="329" spans="1:4" x14ac:dyDescent="0.25">
      <c r="A329" s="1"/>
      <c r="B329" s="1"/>
      <c r="C329" s="1"/>
      <c r="D329" s="1"/>
    </row>
    <row r="330" spans="1:4" x14ac:dyDescent="0.25">
      <c r="A330" s="1"/>
      <c r="B330" s="1"/>
      <c r="C330" s="1"/>
      <c r="D330" s="1"/>
    </row>
    <row r="331" spans="1:4" x14ac:dyDescent="0.25">
      <c r="A331" s="1"/>
      <c r="B331" s="1"/>
      <c r="C331" s="1"/>
      <c r="D331" s="1"/>
    </row>
    <row r="332" spans="1:4" x14ac:dyDescent="0.25">
      <c r="A332" s="1"/>
      <c r="B332" s="1"/>
      <c r="C332" s="1"/>
      <c r="D332" s="1"/>
    </row>
    <row r="333" spans="1:4" x14ac:dyDescent="0.25">
      <c r="A333" s="1"/>
      <c r="B333" s="1"/>
      <c r="C333" s="1"/>
      <c r="D333" s="1"/>
    </row>
    <row r="334" spans="1:4" x14ac:dyDescent="0.25">
      <c r="A334" s="1"/>
      <c r="B334" s="1"/>
      <c r="C334" s="1"/>
      <c r="D334" s="1"/>
    </row>
    <row r="335" spans="1:4" x14ac:dyDescent="0.25">
      <c r="A335" s="1"/>
      <c r="B335" s="1"/>
      <c r="C335" s="1"/>
      <c r="D335" s="1"/>
    </row>
    <row r="336" spans="1:4" x14ac:dyDescent="0.25">
      <c r="A336" s="1"/>
      <c r="B336" s="1"/>
      <c r="C336" s="1"/>
      <c r="D336" s="1"/>
    </row>
    <row r="337" spans="1:4" x14ac:dyDescent="0.25">
      <c r="A337" s="1"/>
      <c r="B337" s="1"/>
      <c r="C337" s="1"/>
      <c r="D337" s="1"/>
    </row>
    <row r="338" spans="1:4" x14ac:dyDescent="0.25">
      <c r="A338" s="1"/>
      <c r="B338" s="1"/>
      <c r="C338" s="1"/>
      <c r="D338" s="1"/>
    </row>
    <row r="339" spans="1:4" x14ac:dyDescent="0.25">
      <c r="A339" s="1"/>
      <c r="B339" s="1"/>
      <c r="C339" s="1"/>
      <c r="D339" s="1"/>
    </row>
    <row r="340" spans="1:4" x14ac:dyDescent="0.25">
      <c r="A340" s="1"/>
      <c r="B340" s="1"/>
      <c r="C340" s="1"/>
      <c r="D340" s="1"/>
    </row>
    <row r="341" spans="1:4" x14ac:dyDescent="0.25">
      <c r="A341" s="1"/>
      <c r="B341" s="1"/>
      <c r="C341" s="1"/>
      <c r="D341" s="1"/>
    </row>
    <row r="342" spans="1:4" x14ac:dyDescent="0.25">
      <c r="A342" s="1"/>
      <c r="B342" s="1"/>
      <c r="C342" s="1"/>
      <c r="D342" s="1"/>
    </row>
    <row r="343" spans="1:4" x14ac:dyDescent="0.25">
      <c r="A343" s="1"/>
      <c r="B343" s="1"/>
      <c r="C343" s="1"/>
      <c r="D343" s="1"/>
    </row>
    <row r="344" spans="1:4" x14ac:dyDescent="0.25">
      <c r="A344" s="1"/>
      <c r="B344" s="1"/>
      <c r="C344" s="1"/>
      <c r="D344" s="1"/>
    </row>
    <row r="345" spans="1:4" x14ac:dyDescent="0.25">
      <c r="A345" s="1"/>
      <c r="B345" s="1"/>
      <c r="C345" s="1"/>
      <c r="D345" s="1"/>
    </row>
    <row r="346" spans="1:4" x14ac:dyDescent="0.25">
      <c r="A346" s="1"/>
      <c r="B346" s="1"/>
      <c r="C346" s="1"/>
      <c r="D346" s="1"/>
    </row>
    <row r="347" spans="1:4" x14ac:dyDescent="0.25">
      <c r="A347" s="1"/>
      <c r="B347" s="1"/>
      <c r="C347" s="1"/>
      <c r="D347" s="1"/>
    </row>
    <row r="348" spans="1:4" x14ac:dyDescent="0.25">
      <c r="A348" s="1"/>
      <c r="B348" s="1"/>
      <c r="C348" s="1"/>
      <c r="D348" s="1"/>
    </row>
    <row r="349" spans="1:4" x14ac:dyDescent="0.25">
      <c r="A349" s="1"/>
      <c r="B349" s="1"/>
      <c r="C349" s="1"/>
      <c r="D349" s="1"/>
    </row>
    <row r="350" spans="1:4" x14ac:dyDescent="0.25">
      <c r="A350" s="1"/>
      <c r="B350" s="1"/>
      <c r="C350" s="1"/>
      <c r="D350" s="1"/>
    </row>
    <row r="351" spans="1:4" x14ac:dyDescent="0.25">
      <c r="A351" s="1"/>
      <c r="B351" s="1"/>
      <c r="C351" s="1"/>
      <c r="D351" s="1"/>
    </row>
    <row r="352" spans="1:4" x14ac:dyDescent="0.25">
      <c r="A352" s="1"/>
      <c r="B352" s="1"/>
      <c r="C352" s="1"/>
      <c r="D352" s="1"/>
    </row>
    <row r="353" spans="1:4" x14ac:dyDescent="0.25">
      <c r="A353" s="1"/>
      <c r="B353" s="1"/>
      <c r="C353" s="1"/>
      <c r="D353" s="1"/>
    </row>
    <row r="354" spans="1:4" x14ac:dyDescent="0.25">
      <c r="A354" s="1"/>
      <c r="B354" s="1"/>
      <c r="C354" s="1"/>
      <c r="D354" s="1"/>
    </row>
    <row r="355" spans="1:4" x14ac:dyDescent="0.25">
      <c r="A355" s="1"/>
      <c r="B355" s="1"/>
      <c r="C355" s="1"/>
      <c r="D355" s="1"/>
    </row>
    <row r="356" spans="1:4" x14ac:dyDescent="0.25">
      <c r="A356" s="1"/>
      <c r="B356" s="1"/>
      <c r="C356" s="1"/>
      <c r="D356" s="1"/>
    </row>
    <row r="357" spans="1:4" x14ac:dyDescent="0.25">
      <c r="A357" s="1"/>
      <c r="B357" s="1"/>
      <c r="C357" s="1"/>
      <c r="D357" s="1"/>
    </row>
    <row r="358" spans="1:4" x14ac:dyDescent="0.25">
      <c r="A358" s="1"/>
      <c r="B358" s="1"/>
      <c r="C358" s="1"/>
      <c r="D358" s="1"/>
    </row>
    <row r="359" spans="1:4" x14ac:dyDescent="0.25">
      <c r="A359" s="1"/>
      <c r="B359" s="1"/>
      <c r="C359" s="1"/>
      <c r="D359" s="1"/>
    </row>
    <row r="360" spans="1:4" x14ac:dyDescent="0.25">
      <c r="A360" s="1"/>
      <c r="B360" s="1"/>
      <c r="C360" s="1"/>
      <c r="D360" s="1"/>
    </row>
    <row r="361" spans="1:4" x14ac:dyDescent="0.25">
      <c r="A361" s="1"/>
      <c r="B361" s="1"/>
      <c r="C361" s="1"/>
      <c r="D361" s="1"/>
    </row>
    <row r="362" spans="1:4" x14ac:dyDescent="0.25">
      <c r="A362" s="1"/>
      <c r="B362" s="1"/>
      <c r="C362" s="1"/>
      <c r="D362" s="1"/>
    </row>
    <row r="363" spans="1:4" x14ac:dyDescent="0.25">
      <c r="A363" s="1"/>
      <c r="B363" s="1"/>
      <c r="C363" s="1"/>
      <c r="D363" s="1"/>
    </row>
    <row r="364" spans="1:4" x14ac:dyDescent="0.25">
      <c r="A364" s="1"/>
      <c r="B364" s="1"/>
      <c r="C364" s="1"/>
      <c r="D364" s="1"/>
    </row>
    <row r="365" spans="1:4" x14ac:dyDescent="0.25">
      <c r="A365" s="1"/>
      <c r="B365" s="1"/>
      <c r="C365" s="1"/>
      <c r="D365" s="1"/>
    </row>
    <row r="366" spans="1:4" x14ac:dyDescent="0.25">
      <c r="A366" s="1"/>
      <c r="B366" s="1"/>
      <c r="C366" s="1"/>
      <c r="D366" s="1"/>
    </row>
    <row r="367" spans="1:4" x14ac:dyDescent="0.25">
      <c r="A367" s="1"/>
      <c r="B367" s="1"/>
      <c r="C367" s="1"/>
      <c r="D367" s="1"/>
    </row>
    <row r="368" spans="1:4" x14ac:dyDescent="0.25">
      <c r="A368" s="1"/>
      <c r="B368" s="1"/>
      <c r="C368" s="1"/>
      <c r="D368" s="1"/>
    </row>
    <row r="369" spans="1:4" x14ac:dyDescent="0.25">
      <c r="A369" s="1"/>
      <c r="B369" s="1"/>
      <c r="C369" s="1"/>
      <c r="D369" s="1"/>
    </row>
    <row r="370" spans="1:4" x14ac:dyDescent="0.25">
      <c r="A370" s="1"/>
      <c r="B370" s="1"/>
      <c r="C370" s="1"/>
      <c r="D370" s="1"/>
    </row>
    <row r="371" spans="1:4" x14ac:dyDescent="0.25">
      <c r="A371" s="1"/>
      <c r="B371" s="1"/>
      <c r="C371" s="1"/>
      <c r="D371" s="1"/>
    </row>
    <row r="372" spans="1:4" x14ac:dyDescent="0.25">
      <c r="A372" s="1"/>
      <c r="B372" s="1"/>
      <c r="C372" s="1"/>
      <c r="D372" s="1"/>
    </row>
    <row r="373" spans="1:4" x14ac:dyDescent="0.25">
      <c r="A373" s="1"/>
      <c r="B373" s="1"/>
      <c r="C373" s="1"/>
      <c r="D373" s="1"/>
    </row>
    <row r="374" spans="1:4" x14ac:dyDescent="0.25">
      <c r="A374" s="1"/>
      <c r="B374" s="1"/>
      <c r="C374" s="1"/>
      <c r="D374" s="1"/>
    </row>
    <row r="375" spans="1:4" x14ac:dyDescent="0.25">
      <c r="A375" s="1"/>
      <c r="B375" s="1"/>
      <c r="C375" s="1"/>
      <c r="D375" s="1"/>
    </row>
    <row r="376" spans="1:4" x14ac:dyDescent="0.25">
      <c r="A376" s="1"/>
      <c r="B376" s="1"/>
      <c r="C376" s="1"/>
      <c r="D376" s="1"/>
    </row>
    <row r="377" spans="1:4" x14ac:dyDescent="0.25">
      <c r="A377" s="1"/>
      <c r="B377" s="1"/>
      <c r="C377" s="1"/>
      <c r="D377" s="1"/>
    </row>
    <row r="378" spans="1:4" x14ac:dyDescent="0.25">
      <c r="A378" s="1"/>
      <c r="B378" s="1"/>
      <c r="C378" s="1"/>
      <c r="D378" s="1"/>
    </row>
    <row r="379" spans="1:4" x14ac:dyDescent="0.25">
      <c r="A379" s="1"/>
      <c r="B379" s="1"/>
      <c r="C379" s="1"/>
      <c r="D379" s="1"/>
    </row>
    <row r="380" spans="1:4" x14ac:dyDescent="0.25">
      <c r="A380" s="1"/>
      <c r="B380" s="1"/>
      <c r="C380" s="1"/>
      <c r="D380" s="1"/>
    </row>
    <row r="381" spans="1:4" x14ac:dyDescent="0.25">
      <c r="A381" s="1"/>
      <c r="B381" s="1"/>
      <c r="C381" s="1"/>
      <c r="D381" s="1"/>
    </row>
    <row r="382" spans="1:4" x14ac:dyDescent="0.25">
      <c r="A382" s="1"/>
      <c r="B382" s="1"/>
      <c r="C382" s="1"/>
      <c r="D382" s="1"/>
    </row>
    <row r="383" spans="1:4" x14ac:dyDescent="0.25">
      <c r="A383" s="1"/>
      <c r="B383" s="1"/>
      <c r="C383" s="1"/>
      <c r="D383" s="1"/>
    </row>
    <row r="384" spans="1:4" x14ac:dyDescent="0.25">
      <c r="A384" s="1"/>
      <c r="B384" s="1"/>
      <c r="C384" s="1"/>
      <c r="D384" s="1"/>
    </row>
    <row r="385" spans="1:4" x14ac:dyDescent="0.25">
      <c r="A385" s="1"/>
      <c r="B385" s="1"/>
      <c r="C385" s="1"/>
      <c r="D385" s="1"/>
    </row>
    <row r="386" spans="1:4" x14ac:dyDescent="0.25">
      <c r="A386" s="1"/>
      <c r="B386" s="1"/>
      <c r="C386" s="1"/>
      <c r="D386" s="1"/>
    </row>
    <row r="387" spans="1:4" x14ac:dyDescent="0.25">
      <c r="A387" s="1"/>
      <c r="B387" s="1"/>
      <c r="C387" s="1"/>
      <c r="D387" s="1"/>
    </row>
    <row r="388" spans="1:4" x14ac:dyDescent="0.25">
      <c r="A388" s="1"/>
      <c r="B388" s="1"/>
      <c r="C388" s="1"/>
      <c r="D388" s="1"/>
    </row>
    <row r="389" spans="1:4" x14ac:dyDescent="0.25">
      <c r="A389" s="1"/>
      <c r="B389" s="1"/>
      <c r="C389" s="1"/>
      <c r="D389" s="1"/>
    </row>
    <row r="390" spans="1:4" x14ac:dyDescent="0.25">
      <c r="A390" s="1"/>
      <c r="B390" s="1"/>
      <c r="C390" s="1"/>
      <c r="D390" s="1"/>
    </row>
    <row r="391" spans="1:4" x14ac:dyDescent="0.25">
      <c r="A391" s="1"/>
      <c r="B391" s="1"/>
      <c r="C391" s="1"/>
      <c r="D391" s="1"/>
    </row>
    <row r="392" spans="1:4" x14ac:dyDescent="0.25">
      <c r="A392" s="1"/>
      <c r="B392" s="1"/>
      <c r="C392" s="1"/>
      <c r="D392" s="1"/>
    </row>
    <row r="393" spans="1:4" x14ac:dyDescent="0.25">
      <c r="A393" s="1"/>
      <c r="B393" s="1"/>
      <c r="C393" s="1"/>
      <c r="D393" s="1"/>
    </row>
    <row r="394" spans="1:4" x14ac:dyDescent="0.25">
      <c r="A394" s="1"/>
      <c r="B394" s="1"/>
      <c r="C394" s="1"/>
      <c r="D394" s="1"/>
    </row>
    <row r="395" spans="1:4" x14ac:dyDescent="0.25">
      <c r="A395" s="1"/>
      <c r="B395" s="1"/>
      <c r="C395" s="1"/>
      <c r="D395" s="1"/>
    </row>
    <row r="396" spans="1:4" x14ac:dyDescent="0.25">
      <c r="A396" s="1"/>
      <c r="B396" s="1"/>
      <c r="C396" s="1"/>
      <c r="D396" s="1"/>
    </row>
    <row r="397" spans="1:4" x14ac:dyDescent="0.25">
      <c r="A397" s="1"/>
      <c r="B397" s="1"/>
      <c r="C397" s="1"/>
      <c r="D397" s="1"/>
    </row>
    <row r="398" spans="1:4" x14ac:dyDescent="0.25">
      <c r="A398" s="1"/>
      <c r="B398" s="1"/>
      <c r="C398" s="1"/>
      <c r="D398" s="1"/>
    </row>
    <row r="399" spans="1:4" x14ac:dyDescent="0.25">
      <c r="A399" s="1"/>
      <c r="B399" s="1"/>
      <c r="C399" s="1"/>
      <c r="D399" s="1"/>
    </row>
    <row r="400" spans="1:4" x14ac:dyDescent="0.25">
      <c r="A400" s="1"/>
      <c r="B400" s="1"/>
      <c r="C400" s="1"/>
      <c r="D400" s="1"/>
    </row>
    <row r="401" spans="1:4" x14ac:dyDescent="0.25">
      <c r="A401" s="1"/>
      <c r="B401" s="1"/>
      <c r="C401" s="1"/>
      <c r="D401" s="1"/>
    </row>
    <row r="402" spans="1:4" x14ac:dyDescent="0.25">
      <c r="A402" s="1"/>
      <c r="B402" s="1"/>
      <c r="C402" s="1"/>
      <c r="D402" s="1"/>
    </row>
    <row r="403" spans="1:4" x14ac:dyDescent="0.25">
      <c r="A403" s="1"/>
      <c r="B403" s="1"/>
      <c r="C403" s="1"/>
      <c r="D403" s="1"/>
    </row>
    <row r="404" spans="1:4" x14ac:dyDescent="0.25">
      <c r="A404" s="1"/>
      <c r="B404" s="1"/>
      <c r="C404" s="1"/>
      <c r="D404" s="1"/>
    </row>
    <row r="405" spans="1:4" x14ac:dyDescent="0.25">
      <c r="A405" s="1"/>
      <c r="B405" s="1"/>
      <c r="C405" s="1"/>
      <c r="D405" s="1"/>
    </row>
    <row r="406" spans="1:4" x14ac:dyDescent="0.25">
      <c r="A406" s="1"/>
      <c r="B406" s="1"/>
      <c r="C406" s="1"/>
      <c r="D406" s="1"/>
    </row>
    <row r="407" spans="1:4" x14ac:dyDescent="0.25">
      <c r="A407" s="1"/>
      <c r="B407" s="1"/>
      <c r="C407" s="1"/>
      <c r="D407" s="1"/>
    </row>
    <row r="408" spans="1:4" x14ac:dyDescent="0.25">
      <c r="A408" s="1"/>
      <c r="B408" s="1"/>
      <c r="C408" s="1"/>
      <c r="D408" s="1"/>
    </row>
    <row r="409" spans="1:4" x14ac:dyDescent="0.25">
      <c r="A409" s="1"/>
      <c r="B409" s="1"/>
      <c r="C409" s="1"/>
      <c r="D409" s="1"/>
    </row>
    <row r="410" spans="1:4" x14ac:dyDescent="0.25">
      <c r="A410" s="1"/>
      <c r="B410" s="1"/>
      <c r="C410" s="1"/>
      <c r="D410" s="1"/>
    </row>
    <row r="411" spans="1:4" x14ac:dyDescent="0.25">
      <c r="A411" s="1"/>
      <c r="B411" s="1"/>
      <c r="C411" s="1"/>
      <c r="D411" s="1"/>
    </row>
    <row r="412" spans="1:4" x14ac:dyDescent="0.25">
      <c r="A412" s="1"/>
      <c r="B412" s="1"/>
      <c r="C412" s="1"/>
      <c r="D412" s="1"/>
    </row>
    <row r="413" spans="1:4" x14ac:dyDescent="0.25">
      <c r="A413" s="1"/>
      <c r="B413" s="1"/>
      <c r="C413" s="1"/>
      <c r="D413" s="1"/>
    </row>
    <row r="414" spans="1:4" x14ac:dyDescent="0.25">
      <c r="A414" s="1"/>
      <c r="B414" s="1"/>
      <c r="C414" s="1"/>
      <c r="D414" s="1"/>
    </row>
    <row r="415" spans="1:4" x14ac:dyDescent="0.25">
      <c r="A415" s="1"/>
      <c r="B415" s="1"/>
      <c r="C415" s="1"/>
      <c r="D415" s="1"/>
    </row>
    <row r="416" spans="1:4" x14ac:dyDescent="0.25">
      <c r="A416" s="1"/>
      <c r="B416" s="1"/>
      <c r="C416" s="1"/>
      <c r="D416" s="1"/>
    </row>
    <row r="417" spans="1:4" x14ac:dyDescent="0.25">
      <c r="A417" s="1"/>
      <c r="B417" s="1"/>
      <c r="C417" s="1"/>
      <c r="D417" s="1"/>
    </row>
    <row r="418" spans="1:4" x14ac:dyDescent="0.25">
      <c r="A418" s="1"/>
      <c r="B418" s="1"/>
      <c r="C418" s="1"/>
      <c r="D418" s="1"/>
    </row>
    <row r="419" spans="1:4" x14ac:dyDescent="0.25">
      <c r="A419" s="1"/>
      <c r="B419" s="1"/>
      <c r="C419" s="1"/>
      <c r="D419" s="1"/>
    </row>
    <row r="420" spans="1:4" x14ac:dyDescent="0.25">
      <c r="A420" s="1"/>
      <c r="B420" s="1"/>
      <c r="C420" s="1"/>
      <c r="D420" s="1"/>
    </row>
    <row r="421" spans="1:4" x14ac:dyDescent="0.25">
      <c r="A421" s="1"/>
      <c r="B421" s="1"/>
      <c r="C421" s="1"/>
      <c r="D421" s="1"/>
    </row>
    <row r="422" spans="1:4" x14ac:dyDescent="0.25">
      <c r="A422" s="1"/>
      <c r="B422" s="1"/>
      <c r="C422" s="1"/>
      <c r="D422" s="1"/>
    </row>
    <row r="423" spans="1:4" x14ac:dyDescent="0.25">
      <c r="A423" s="1"/>
      <c r="B423" s="1"/>
      <c r="C423" s="1"/>
      <c r="D423" s="1"/>
    </row>
    <row r="424" spans="1:4" x14ac:dyDescent="0.25">
      <c r="A424" s="1"/>
      <c r="B424" s="1"/>
      <c r="C424" s="1"/>
      <c r="D424" s="1"/>
    </row>
    <row r="425" spans="1:4" x14ac:dyDescent="0.25">
      <c r="A425" s="1"/>
      <c r="B425" s="1"/>
      <c r="C425" s="1"/>
      <c r="D425" s="1"/>
    </row>
    <row r="426" spans="1:4" x14ac:dyDescent="0.25">
      <c r="A426" s="1"/>
      <c r="B426" s="1"/>
      <c r="C426" s="1"/>
      <c r="D426" s="1"/>
    </row>
    <row r="427" spans="1:4" x14ac:dyDescent="0.25">
      <c r="A427" s="1"/>
      <c r="B427" s="1"/>
      <c r="C427" s="1"/>
      <c r="D427" s="1"/>
    </row>
    <row r="428" spans="1:4" x14ac:dyDescent="0.25">
      <c r="A428" s="1"/>
      <c r="B428" s="1"/>
      <c r="C428" s="1"/>
      <c r="D428" s="1"/>
    </row>
    <row r="429" spans="1:4" x14ac:dyDescent="0.25">
      <c r="A429" s="1"/>
      <c r="B429" s="1"/>
      <c r="C429" s="1"/>
      <c r="D429" s="1"/>
    </row>
    <row r="430" spans="1:4" x14ac:dyDescent="0.25">
      <c r="A430" s="1"/>
      <c r="B430" s="1"/>
      <c r="C430" s="1"/>
      <c r="D430" s="1"/>
    </row>
    <row r="431" spans="1:4" x14ac:dyDescent="0.25">
      <c r="A431" s="1"/>
      <c r="B431" s="1"/>
      <c r="C431" s="1"/>
      <c r="D431" s="1"/>
    </row>
    <row r="432" spans="1:4" x14ac:dyDescent="0.25">
      <c r="A432" s="1"/>
      <c r="B432" s="1"/>
      <c r="C432" s="1"/>
      <c r="D432" s="1"/>
    </row>
    <row r="433" spans="1:4" x14ac:dyDescent="0.25">
      <c r="A433" s="1"/>
      <c r="B433" s="1"/>
      <c r="C433" s="1"/>
      <c r="D433" s="1"/>
    </row>
    <row r="434" spans="1:4" x14ac:dyDescent="0.25">
      <c r="A434" s="1"/>
      <c r="B434" s="1"/>
      <c r="C434" s="1"/>
      <c r="D434" s="1"/>
    </row>
    <row r="435" spans="1:4" x14ac:dyDescent="0.25">
      <c r="A435" s="1"/>
      <c r="B435" s="1"/>
      <c r="C435" s="1"/>
      <c r="D435" s="1"/>
    </row>
    <row r="436" spans="1:4" x14ac:dyDescent="0.25">
      <c r="A436" s="1"/>
      <c r="B436" s="1"/>
      <c r="C436" s="1"/>
      <c r="D436" s="1"/>
    </row>
    <row r="437" spans="1:4" x14ac:dyDescent="0.25">
      <c r="A437" s="1"/>
      <c r="B437" s="1"/>
      <c r="C437" s="1"/>
      <c r="D437" s="1"/>
    </row>
    <row r="438" spans="1:4" x14ac:dyDescent="0.25">
      <c r="A438" s="1"/>
      <c r="B438" s="1"/>
      <c r="C438" s="1"/>
      <c r="D438" s="1"/>
    </row>
    <row r="439" spans="1:4" x14ac:dyDescent="0.25">
      <c r="A439" s="1"/>
      <c r="B439" s="1"/>
      <c r="C439" s="1"/>
      <c r="D439" s="1"/>
    </row>
    <row r="440" spans="1:4" x14ac:dyDescent="0.25">
      <c r="A440" s="1"/>
      <c r="B440" s="1"/>
      <c r="C440" s="1"/>
      <c r="D440" s="1"/>
    </row>
    <row r="441" spans="1:4" x14ac:dyDescent="0.25">
      <c r="A441" s="1"/>
      <c r="B441" s="1"/>
      <c r="C441" s="1"/>
      <c r="D441" s="1"/>
    </row>
    <row r="442" spans="1:4" x14ac:dyDescent="0.25">
      <c r="A442" s="1"/>
      <c r="B442" s="1"/>
      <c r="C442" s="1"/>
      <c r="D442" s="1"/>
    </row>
    <row r="443" spans="1:4" x14ac:dyDescent="0.25">
      <c r="A443" s="1"/>
      <c r="B443" s="1"/>
      <c r="C443" s="1"/>
      <c r="D443" s="1"/>
    </row>
    <row r="444" spans="1:4" x14ac:dyDescent="0.25">
      <c r="A444" s="1"/>
      <c r="B444" s="1"/>
      <c r="C444" s="1"/>
      <c r="D444" s="1"/>
    </row>
    <row r="445" spans="1:4" x14ac:dyDescent="0.25">
      <c r="A445" s="1"/>
      <c r="B445" s="1"/>
      <c r="C445" s="1"/>
      <c r="D445" s="1"/>
    </row>
    <row r="446" spans="1:4" x14ac:dyDescent="0.25">
      <c r="A446" s="1"/>
      <c r="B446" s="1"/>
      <c r="C446" s="1"/>
      <c r="D446" s="1"/>
    </row>
    <row r="447" spans="1:4" x14ac:dyDescent="0.25">
      <c r="A447" s="1"/>
      <c r="B447" s="1"/>
      <c r="C447" s="1"/>
      <c r="D447" s="1"/>
    </row>
    <row r="448" spans="1:4" x14ac:dyDescent="0.25">
      <c r="A448" s="1"/>
      <c r="B448" s="1"/>
      <c r="C448" s="1"/>
      <c r="D448" s="1"/>
    </row>
    <row r="449" spans="1:4" x14ac:dyDescent="0.25">
      <c r="A449" s="1"/>
      <c r="B449" s="1"/>
      <c r="C449" s="1"/>
      <c r="D449" s="1"/>
    </row>
    <row r="450" spans="1:4" x14ac:dyDescent="0.25">
      <c r="A450" s="1"/>
      <c r="B450" s="1"/>
      <c r="C450" s="1"/>
      <c r="D450" s="1"/>
    </row>
    <row r="451" spans="1:4" x14ac:dyDescent="0.25">
      <c r="A451" s="1"/>
      <c r="B451" s="1"/>
      <c r="C451" s="1"/>
      <c r="D451" s="1"/>
    </row>
    <row r="452" spans="1:4" x14ac:dyDescent="0.25">
      <c r="A452" s="1"/>
      <c r="B452" s="1"/>
      <c r="C452" s="1"/>
      <c r="D452" s="1"/>
    </row>
    <row r="453" spans="1:4" x14ac:dyDescent="0.25">
      <c r="A453" s="1"/>
      <c r="B453" s="1"/>
      <c r="C453" s="1"/>
      <c r="D453" s="1"/>
    </row>
    <row r="454" spans="1:4" x14ac:dyDescent="0.25">
      <c r="A454" s="1"/>
      <c r="B454" s="1"/>
      <c r="C454" s="1"/>
      <c r="D454" s="1"/>
    </row>
    <row r="455" spans="1:4" x14ac:dyDescent="0.25">
      <c r="A455" s="1"/>
      <c r="B455" s="1"/>
      <c r="C455" s="1"/>
      <c r="D455" s="1"/>
    </row>
    <row r="456" spans="1:4" x14ac:dyDescent="0.25">
      <c r="A456" s="1"/>
      <c r="B456" s="1"/>
      <c r="C456" s="1"/>
      <c r="D456" s="1"/>
    </row>
    <row r="457" spans="1:4" x14ac:dyDescent="0.25">
      <c r="A457" s="1"/>
      <c r="B457" s="1"/>
      <c r="C457" s="1"/>
      <c r="D457" s="1"/>
    </row>
    <row r="458" spans="1:4" x14ac:dyDescent="0.25">
      <c r="A458" s="1"/>
      <c r="B458" s="1"/>
      <c r="C458" s="1"/>
      <c r="D458" s="1"/>
    </row>
    <row r="459" spans="1:4" x14ac:dyDescent="0.25">
      <c r="A459" s="1"/>
      <c r="B459" s="1"/>
      <c r="C459" s="1"/>
      <c r="D459" s="1"/>
    </row>
    <row r="460" spans="1:4" x14ac:dyDescent="0.25">
      <c r="A460" s="1"/>
      <c r="B460" s="1"/>
      <c r="C460" s="1"/>
      <c r="D460" s="1"/>
    </row>
    <row r="461" spans="1:4" x14ac:dyDescent="0.25">
      <c r="A461" s="1"/>
      <c r="B461" s="1"/>
      <c r="C461" s="1"/>
      <c r="D461" s="1"/>
    </row>
    <row r="462" spans="1:4" x14ac:dyDescent="0.25">
      <c r="A462" s="1"/>
      <c r="B462" s="1"/>
      <c r="C462" s="1"/>
      <c r="D462" s="1"/>
    </row>
    <row r="463" spans="1:4" x14ac:dyDescent="0.25">
      <c r="A463" s="1"/>
      <c r="B463" s="1"/>
      <c r="C463" s="1"/>
      <c r="D463" s="1"/>
    </row>
    <row r="464" spans="1:4" x14ac:dyDescent="0.25">
      <c r="A464" s="1"/>
      <c r="B464" s="1"/>
      <c r="C464" s="1"/>
      <c r="D464" s="1"/>
    </row>
    <row r="465" spans="1:4" x14ac:dyDescent="0.25">
      <c r="A465" s="1"/>
      <c r="B465" s="1"/>
      <c r="C465" s="1"/>
      <c r="D465" s="1"/>
    </row>
    <row r="466" spans="1:4" x14ac:dyDescent="0.25">
      <c r="A466" s="1"/>
      <c r="B466" s="1"/>
      <c r="C466" s="1"/>
      <c r="D466" s="1"/>
    </row>
    <row r="467" spans="1:4" x14ac:dyDescent="0.25">
      <c r="A467" s="1"/>
      <c r="B467" s="1"/>
      <c r="C467" s="1"/>
      <c r="D467" s="1"/>
    </row>
    <row r="468" spans="1:4" x14ac:dyDescent="0.25">
      <c r="A468" s="1"/>
      <c r="B468" s="1"/>
      <c r="C468" s="1"/>
      <c r="D468" s="1"/>
    </row>
    <row r="469" spans="1:4" x14ac:dyDescent="0.25">
      <c r="A469" s="1"/>
      <c r="B469" s="1"/>
      <c r="C469" s="1"/>
      <c r="D469" s="1"/>
    </row>
    <row r="470" spans="1:4" x14ac:dyDescent="0.25">
      <c r="A470" s="1"/>
      <c r="B470" s="1"/>
      <c r="C470" s="1"/>
      <c r="D470" s="1"/>
    </row>
    <row r="471" spans="1:4" x14ac:dyDescent="0.25">
      <c r="A471" s="1"/>
      <c r="B471" s="1"/>
      <c r="C471" s="1"/>
      <c r="D471" s="1"/>
    </row>
    <row r="472" spans="1:4" x14ac:dyDescent="0.25">
      <c r="A472" s="1"/>
      <c r="B472" s="1"/>
      <c r="C472" s="1"/>
      <c r="D472" s="1"/>
    </row>
    <row r="473" spans="1:4" x14ac:dyDescent="0.25">
      <c r="A473" s="1"/>
      <c r="B473" s="1"/>
      <c r="C473" s="1"/>
      <c r="D473" s="1"/>
    </row>
    <row r="474" spans="1:4" x14ac:dyDescent="0.25">
      <c r="A474" s="1"/>
      <c r="B474" s="1"/>
      <c r="C474" s="1"/>
      <c r="D474" s="1"/>
    </row>
    <row r="475" spans="1:4" x14ac:dyDescent="0.25">
      <c r="A475" s="1"/>
      <c r="B475" s="1"/>
      <c r="C475" s="1"/>
      <c r="D475" s="1"/>
    </row>
    <row r="476" spans="1:4" x14ac:dyDescent="0.25">
      <c r="A476" s="1"/>
      <c r="B476" s="1"/>
      <c r="C476" s="1"/>
      <c r="D476" s="1"/>
    </row>
    <row r="477" spans="1:4" x14ac:dyDescent="0.25">
      <c r="A477" s="1"/>
      <c r="B477" s="1"/>
      <c r="C477" s="1"/>
      <c r="D477" s="1"/>
    </row>
    <row r="478" spans="1:4" x14ac:dyDescent="0.25">
      <c r="A478" s="1"/>
      <c r="B478" s="1"/>
      <c r="C478" s="1"/>
      <c r="D478" s="1"/>
    </row>
    <row r="479" spans="1:4" x14ac:dyDescent="0.25">
      <c r="A479" s="1"/>
      <c r="B479" s="1"/>
      <c r="C479" s="1"/>
      <c r="D479" s="1"/>
    </row>
    <row r="480" spans="1:4" x14ac:dyDescent="0.25">
      <c r="A480" s="1"/>
      <c r="B480" s="1"/>
      <c r="C480" s="1"/>
      <c r="D480" s="1"/>
    </row>
    <row r="481" spans="1:4" x14ac:dyDescent="0.25">
      <c r="A481" s="1"/>
      <c r="B481" s="1"/>
      <c r="C481" s="1"/>
      <c r="D481" s="1"/>
    </row>
    <row r="482" spans="1:4" x14ac:dyDescent="0.25">
      <c r="A482" s="1"/>
      <c r="B482" s="1"/>
      <c r="C482" s="1"/>
      <c r="D482" s="1"/>
    </row>
    <row r="483" spans="1:4" x14ac:dyDescent="0.25">
      <c r="A483" s="1"/>
      <c r="B483" s="1"/>
      <c r="C483" s="1"/>
      <c r="D483" s="1"/>
    </row>
    <row r="484" spans="1:4" x14ac:dyDescent="0.25">
      <c r="A484" s="1"/>
      <c r="B484" s="1"/>
      <c r="C484" s="1"/>
      <c r="D484" s="1"/>
    </row>
    <row r="485" spans="1:4" x14ac:dyDescent="0.25">
      <c r="A485" s="1"/>
      <c r="B485" s="1"/>
      <c r="C485" s="1"/>
      <c r="D485" s="1"/>
    </row>
    <row r="486" spans="1:4" x14ac:dyDescent="0.25">
      <c r="A486" s="1"/>
      <c r="B486" s="1"/>
      <c r="C486" s="1"/>
      <c r="D486" s="1"/>
    </row>
    <row r="487" spans="1:4" x14ac:dyDescent="0.25">
      <c r="A487" s="1"/>
      <c r="B487" s="1"/>
      <c r="C487" s="1"/>
      <c r="D487" s="1"/>
    </row>
    <row r="488" spans="1:4" x14ac:dyDescent="0.25">
      <c r="A488" s="1"/>
      <c r="B488" s="1"/>
      <c r="C488" s="1"/>
      <c r="D488" s="1"/>
    </row>
    <row r="489" spans="1:4" x14ac:dyDescent="0.25">
      <c r="A489" s="1"/>
      <c r="B489" s="1"/>
      <c r="C489" s="1"/>
      <c r="D489" s="1"/>
    </row>
    <row r="490" spans="1:4" x14ac:dyDescent="0.25">
      <c r="A490" s="1"/>
      <c r="B490" s="1"/>
      <c r="C490" s="1"/>
      <c r="D490" s="1"/>
    </row>
    <row r="491" spans="1:4" x14ac:dyDescent="0.25">
      <c r="A491" s="1"/>
      <c r="B491" s="1"/>
      <c r="C491" s="1"/>
      <c r="D491" s="1"/>
    </row>
    <row r="492" spans="1:4" x14ac:dyDescent="0.25">
      <c r="A492" s="1"/>
      <c r="B492" s="1"/>
      <c r="C492" s="1"/>
      <c r="D492" s="1"/>
    </row>
    <row r="493" spans="1:4" x14ac:dyDescent="0.25">
      <c r="A493" s="1"/>
      <c r="B493" s="1"/>
      <c r="C493" s="1"/>
      <c r="D493" s="1"/>
    </row>
    <row r="494" spans="1:4" x14ac:dyDescent="0.25">
      <c r="A494" s="1"/>
      <c r="B494" s="1"/>
      <c r="C494" s="1"/>
      <c r="D494" s="1"/>
    </row>
    <row r="495" spans="1:4" x14ac:dyDescent="0.25">
      <c r="A495" s="1"/>
      <c r="B495" s="1"/>
      <c r="C495" s="1"/>
      <c r="D495" s="1"/>
    </row>
    <row r="496" spans="1:4" x14ac:dyDescent="0.25">
      <c r="A496" s="1"/>
      <c r="B496" s="1"/>
      <c r="C496" s="1"/>
      <c r="D496" s="1"/>
    </row>
    <row r="497" spans="1:4" x14ac:dyDescent="0.25">
      <c r="A497" s="1"/>
      <c r="B497" s="1"/>
      <c r="C497" s="1"/>
      <c r="D497" s="1"/>
    </row>
    <row r="498" spans="1:4" x14ac:dyDescent="0.25">
      <c r="A498" s="1"/>
      <c r="B498" s="1"/>
      <c r="C498" s="1"/>
      <c r="D498" s="1"/>
    </row>
    <row r="499" spans="1:4" x14ac:dyDescent="0.25">
      <c r="A499" s="1"/>
      <c r="B499" s="1"/>
      <c r="C499" s="1"/>
      <c r="D499" s="1"/>
    </row>
    <row r="500" spans="1:4" x14ac:dyDescent="0.25">
      <c r="A500" s="1"/>
      <c r="B500" s="1"/>
      <c r="C500" s="1"/>
      <c r="D500" s="1"/>
    </row>
    <row r="501" spans="1:4" x14ac:dyDescent="0.25">
      <c r="A501" s="1"/>
      <c r="B501" s="1"/>
      <c r="C501" s="1"/>
      <c r="D501" s="1"/>
    </row>
    <row r="502" spans="1:4" x14ac:dyDescent="0.25">
      <c r="A502" s="1"/>
      <c r="B502" s="1"/>
      <c r="C502" s="1"/>
      <c r="D502" s="1"/>
    </row>
    <row r="503" spans="1:4" x14ac:dyDescent="0.25">
      <c r="A503" s="1"/>
      <c r="B503" s="1"/>
      <c r="C503" s="1"/>
      <c r="D503" s="1"/>
    </row>
    <row r="504" spans="1:4" x14ac:dyDescent="0.25">
      <c r="A504" s="1"/>
      <c r="B504" s="1"/>
      <c r="C504" s="1"/>
      <c r="D504" s="1"/>
    </row>
    <row r="505" spans="1:4" x14ac:dyDescent="0.25">
      <c r="A505" s="1"/>
      <c r="B505" s="1"/>
      <c r="C505" s="1"/>
      <c r="D505" s="1"/>
    </row>
    <row r="506" spans="1:4" x14ac:dyDescent="0.25">
      <c r="A506" s="1"/>
      <c r="B506" s="1"/>
      <c r="C506" s="1"/>
      <c r="D506" s="1"/>
    </row>
    <row r="507" spans="1:4" x14ac:dyDescent="0.25">
      <c r="A507" s="1"/>
      <c r="B507" s="1"/>
      <c r="C507" s="1"/>
      <c r="D507" s="1"/>
    </row>
    <row r="508" spans="1:4" x14ac:dyDescent="0.25">
      <c r="A508" s="1"/>
      <c r="B508" s="1"/>
      <c r="C508" s="1"/>
      <c r="D508" s="1"/>
    </row>
    <row r="509" spans="1:4" x14ac:dyDescent="0.25">
      <c r="A509" s="1"/>
      <c r="B509" s="1"/>
      <c r="C509" s="1"/>
      <c r="D509" s="1"/>
    </row>
    <row r="510" spans="1:4" x14ac:dyDescent="0.25">
      <c r="A510" s="1"/>
      <c r="B510" s="1"/>
      <c r="C510" s="1"/>
      <c r="D510" s="1"/>
    </row>
    <row r="511" spans="1:4" x14ac:dyDescent="0.25">
      <c r="A511" s="1"/>
      <c r="B511" s="1"/>
      <c r="C511" s="1"/>
      <c r="D511" s="1"/>
    </row>
    <row r="512" spans="1:4" x14ac:dyDescent="0.25">
      <c r="A512" s="1"/>
      <c r="B512" s="1"/>
      <c r="C512" s="1"/>
      <c r="D512" s="1"/>
    </row>
    <row r="513" spans="1:4" x14ac:dyDescent="0.25">
      <c r="A513" s="1"/>
      <c r="B513" s="1"/>
      <c r="C513" s="1"/>
      <c r="D513" s="1"/>
    </row>
    <row r="514" spans="1:4" x14ac:dyDescent="0.25">
      <c r="A514" s="1"/>
      <c r="B514" s="1"/>
      <c r="C514" s="1"/>
      <c r="D514" s="1"/>
    </row>
    <row r="515" spans="1:4" x14ac:dyDescent="0.25">
      <c r="A515" s="1"/>
      <c r="B515" s="1"/>
      <c r="C515" s="1"/>
      <c r="D515" s="1"/>
    </row>
    <row r="516" spans="1:4" x14ac:dyDescent="0.25">
      <c r="A516" s="1"/>
      <c r="B516" s="1"/>
      <c r="C516" s="1"/>
      <c r="D516" s="1"/>
    </row>
    <row r="517" spans="1:4" x14ac:dyDescent="0.25">
      <c r="A517" s="1"/>
      <c r="B517" s="1"/>
      <c r="C517" s="1"/>
      <c r="D517" s="1"/>
    </row>
    <row r="518" spans="1:4" x14ac:dyDescent="0.25">
      <c r="A518" s="1"/>
      <c r="B518" s="1"/>
      <c r="C518" s="1"/>
      <c r="D518" s="1"/>
    </row>
    <row r="519" spans="1:4" x14ac:dyDescent="0.25">
      <c r="A519" s="1"/>
      <c r="B519" s="1"/>
      <c r="C519" s="1"/>
      <c r="D519" s="1"/>
    </row>
    <row r="520" spans="1:4" x14ac:dyDescent="0.25">
      <c r="A520" s="1"/>
      <c r="B520" s="1"/>
      <c r="C520" s="1"/>
      <c r="D520" s="1"/>
    </row>
    <row r="521" spans="1:4" x14ac:dyDescent="0.25">
      <c r="A521" s="1"/>
      <c r="B521" s="1"/>
      <c r="C521" s="1"/>
      <c r="D521" s="1"/>
    </row>
    <row r="522" spans="1:4" x14ac:dyDescent="0.25">
      <c r="A522" s="1"/>
      <c r="B522" s="1"/>
      <c r="C522" s="1"/>
      <c r="D522" s="1"/>
    </row>
    <row r="523" spans="1:4" x14ac:dyDescent="0.25">
      <c r="A523" s="1"/>
      <c r="B523" s="1"/>
      <c r="C523" s="1"/>
      <c r="D523" s="1"/>
    </row>
    <row r="524" spans="1:4" x14ac:dyDescent="0.25">
      <c r="A524" s="1"/>
      <c r="B524" s="1"/>
      <c r="C524" s="1"/>
      <c r="D524" s="1"/>
    </row>
    <row r="525" spans="1:4" x14ac:dyDescent="0.25">
      <c r="A525" s="1"/>
      <c r="B525" s="1"/>
      <c r="C525" s="1"/>
      <c r="D525" s="1"/>
    </row>
    <row r="526" spans="1:4" x14ac:dyDescent="0.25">
      <c r="A526" s="1"/>
      <c r="B526" s="1"/>
      <c r="C526" s="1"/>
      <c r="D526" s="1"/>
    </row>
    <row r="527" spans="1:4" x14ac:dyDescent="0.25">
      <c r="A527" s="1"/>
      <c r="B527" s="1"/>
      <c r="C527" s="1"/>
      <c r="D527" s="1"/>
    </row>
    <row r="528" spans="1:4" x14ac:dyDescent="0.25">
      <c r="A528" s="1"/>
      <c r="B528" s="1"/>
      <c r="C528" s="1"/>
      <c r="D528" s="1"/>
    </row>
    <row r="529" spans="1:4" x14ac:dyDescent="0.25">
      <c r="A529" s="1"/>
      <c r="B529" s="1"/>
      <c r="C529" s="1"/>
      <c r="D529" s="1"/>
    </row>
    <row r="530" spans="1:4" x14ac:dyDescent="0.25">
      <c r="A530" s="1"/>
      <c r="B530" s="1"/>
      <c r="C530" s="1"/>
      <c r="D530" s="1"/>
    </row>
    <row r="531" spans="1:4" x14ac:dyDescent="0.25">
      <c r="A531" s="1"/>
      <c r="B531" s="1"/>
      <c r="C531" s="1"/>
      <c r="D531" s="1"/>
    </row>
    <row r="532" spans="1:4" x14ac:dyDescent="0.25">
      <c r="A532" s="1"/>
      <c r="B532" s="1"/>
      <c r="C532" s="1"/>
      <c r="D532" s="1"/>
    </row>
    <row r="533" spans="1:4" x14ac:dyDescent="0.25">
      <c r="A533" s="1"/>
      <c r="B533" s="1"/>
      <c r="C533" s="1"/>
      <c r="D533" s="1"/>
    </row>
    <row r="534" spans="1:4" x14ac:dyDescent="0.25">
      <c r="A534" s="1"/>
      <c r="B534" s="1"/>
      <c r="C534" s="1"/>
      <c r="D534" s="1"/>
    </row>
    <row r="535" spans="1:4" x14ac:dyDescent="0.25">
      <c r="A535" s="1"/>
      <c r="B535" s="1"/>
      <c r="C535" s="1"/>
      <c r="D535" s="1"/>
    </row>
    <row r="536" spans="1:4" x14ac:dyDescent="0.25">
      <c r="A536" s="1"/>
      <c r="B536" s="1"/>
      <c r="C536" s="1"/>
      <c r="D536" s="1"/>
    </row>
    <row r="537" spans="1:4" x14ac:dyDescent="0.25">
      <c r="A537" s="1"/>
      <c r="B537" s="1"/>
      <c r="C537" s="1"/>
      <c r="D537" s="1"/>
    </row>
    <row r="538" spans="1:4" x14ac:dyDescent="0.25">
      <c r="A538" s="1"/>
      <c r="B538" s="1"/>
      <c r="C538" s="1"/>
      <c r="D538" s="1"/>
    </row>
    <row r="539" spans="1:4" x14ac:dyDescent="0.25">
      <c r="A539" s="1"/>
      <c r="B539" s="1"/>
      <c r="C539" s="1"/>
      <c r="D539" s="1"/>
    </row>
    <row r="540" spans="1:4" x14ac:dyDescent="0.25">
      <c r="A540" s="1"/>
      <c r="B540" s="1"/>
      <c r="C540" s="1"/>
      <c r="D540" s="1"/>
    </row>
    <row r="541" spans="1:4" x14ac:dyDescent="0.25">
      <c r="A541" s="1"/>
      <c r="B541" s="1"/>
      <c r="C541" s="1"/>
      <c r="D541" s="1"/>
    </row>
    <row r="542" spans="1:4" x14ac:dyDescent="0.25">
      <c r="A542" s="1"/>
      <c r="B542" s="1"/>
      <c r="C542" s="1"/>
      <c r="D542" s="1"/>
    </row>
    <row r="543" spans="1:4" x14ac:dyDescent="0.25">
      <c r="A543" s="1"/>
      <c r="B543" s="1"/>
      <c r="C543" s="1"/>
      <c r="D543" s="1"/>
    </row>
    <row r="544" spans="1:4" x14ac:dyDescent="0.25">
      <c r="A544" s="1"/>
      <c r="B544" s="1"/>
      <c r="C544" s="1"/>
      <c r="D544" s="1"/>
    </row>
    <row r="545" spans="1:4" x14ac:dyDescent="0.25">
      <c r="A545" s="1"/>
      <c r="B545" s="1"/>
      <c r="C545" s="1"/>
      <c r="D545" s="1"/>
    </row>
    <row r="546" spans="1:4" x14ac:dyDescent="0.25">
      <c r="A546" s="1"/>
      <c r="B546" s="1"/>
      <c r="C546" s="1"/>
      <c r="D546" s="1"/>
    </row>
    <row r="547" spans="1:4" x14ac:dyDescent="0.25">
      <c r="A547" s="1"/>
      <c r="B547" s="1"/>
      <c r="C547" s="1"/>
      <c r="D547" s="1"/>
    </row>
    <row r="548" spans="1:4" x14ac:dyDescent="0.25">
      <c r="A548" s="1"/>
      <c r="B548" s="1"/>
      <c r="C548" s="1"/>
      <c r="D548" s="1"/>
    </row>
    <row r="549" spans="1:4" x14ac:dyDescent="0.25">
      <c r="A549" s="1"/>
      <c r="B549" s="1"/>
      <c r="C549" s="1"/>
      <c r="D549" s="1"/>
    </row>
    <row r="550" spans="1:4" x14ac:dyDescent="0.25">
      <c r="A550" s="1"/>
      <c r="B550" s="1"/>
      <c r="C550" s="1"/>
      <c r="D550" s="1"/>
    </row>
    <row r="551" spans="1:4" x14ac:dyDescent="0.25">
      <c r="A551" s="1"/>
      <c r="B551" s="1"/>
      <c r="C551" s="1"/>
      <c r="D551" s="1"/>
    </row>
    <row r="552" spans="1:4" x14ac:dyDescent="0.25">
      <c r="A552" s="1"/>
      <c r="B552" s="1"/>
      <c r="C552" s="1"/>
      <c r="D552" s="1"/>
    </row>
    <row r="553" spans="1:4" x14ac:dyDescent="0.25">
      <c r="A553" s="1"/>
      <c r="B553" s="1"/>
      <c r="C553" s="1"/>
      <c r="D553" s="1"/>
    </row>
    <row r="554" spans="1:4" x14ac:dyDescent="0.25">
      <c r="A554" s="1"/>
      <c r="B554" s="1"/>
      <c r="C554" s="1"/>
      <c r="D554" s="1"/>
    </row>
    <row r="555" spans="1:4" x14ac:dyDescent="0.25">
      <c r="A555" s="1"/>
      <c r="B555" s="1"/>
      <c r="C555" s="1"/>
      <c r="D555" s="1"/>
    </row>
    <row r="556" spans="1:4" x14ac:dyDescent="0.25">
      <c r="A556" s="1"/>
      <c r="B556" s="1"/>
      <c r="C556" s="1"/>
      <c r="D556" s="1"/>
    </row>
    <row r="557" spans="1:4" x14ac:dyDescent="0.25">
      <c r="A557" s="1"/>
      <c r="B557" s="1"/>
      <c r="C557" s="1"/>
      <c r="D557" s="1"/>
    </row>
    <row r="558" spans="1:4" x14ac:dyDescent="0.25">
      <c r="A558" s="1"/>
      <c r="B558" s="1"/>
      <c r="C558" s="1"/>
      <c r="D558" s="1"/>
    </row>
    <row r="559" spans="1:4" x14ac:dyDescent="0.25">
      <c r="A559" s="1"/>
      <c r="B559" s="1"/>
      <c r="C559" s="1"/>
      <c r="D559" s="1"/>
    </row>
    <row r="560" spans="1:4" x14ac:dyDescent="0.25">
      <c r="A560" s="1"/>
      <c r="B560" s="1"/>
      <c r="C560" s="1"/>
      <c r="D560" s="1"/>
    </row>
    <row r="561" spans="1:4" x14ac:dyDescent="0.25">
      <c r="A561" s="1"/>
      <c r="B561" s="1"/>
      <c r="C561" s="1"/>
      <c r="D561" s="1"/>
    </row>
    <row r="562" spans="1:4" x14ac:dyDescent="0.25">
      <c r="A562" s="1"/>
      <c r="B562" s="1"/>
      <c r="C562" s="1"/>
      <c r="D562" s="1"/>
    </row>
    <row r="563" spans="1:4" x14ac:dyDescent="0.25">
      <c r="A563" s="1"/>
      <c r="B563" s="1"/>
      <c r="C563" s="1"/>
      <c r="D563" s="1"/>
    </row>
    <row r="564" spans="1:4" x14ac:dyDescent="0.25">
      <c r="A564" s="1"/>
      <c r="B564" s="1"/>
      <c r="C564" s="1"/>
      <c r="D564" s="1"/>
    </row>
    <row r="565" spans="1:4" x14ac:dyDescent="0.25">
      <c r="A565" s="1"/>
      <c r="B565" s="1"/>
      <c r="C565" s="1"/>
      <c r="D565" s="1"/>
    </row>
    <row r="566" spans="1:4" x14ac:dyDescent="0.25">
      <c r="A566" s="1"/>
      <c r="B566" s="1"/>
      <c r="C566" s="1"/>
      <c r="D566" s="1"/>
    </row>
    <row r="567" spans="1:4" x14ac:dyDescent="0.25">
      <c r="A567" s="1"/>
      <c r="B567" s="1"/>
      <c r="C567" s="1"/>
      <c r="D567" s="1"/>
    </row>
    <row r="568" spans="1:4" x14ac:dyDescent="0.25">
      <c r="A568" s="1"/>
      <c r="B568" s="1"/>
      <c r="C568" s="1"/>
      <c r="D568" s="1"/>
    </row>
    <row r="569" spans="1:4" x14ac:dyDescent="0.25">
      <c r="A569" s="1"/>
      <c r="B569" s="1"/>
      <c r="C569" s="1"/>
      <c r="D569" s="1"/>
    </row>
    <row r="570" spans="1:4" x14ac:dyDescent="0.25">
      <c r="A570" s="1"/>
      <c r="B570" s="1"/>
      <c r="C570" s="1"/>
      <c r="D570" s="1"/>
    </row>
    <row r="571" spans="1:4" x14ac:dyDescent="0.25">
      <c r="A571" s="1"/>
      <c r="B571" s="1"/>
      <c r="C571" s="1"/>
      <c r="D571" s="1"/>
    </row>
    <row r="572" spans="1:4" x14ac:dyDescent="0.25">
      <c r="A572" s="1"/>
      <c r="B572" s="1"/>
      <c r="C572" s="1"/>
      <c r="D572" s="1"/>
    </row>
    <row r="573" spans="1:4" x14ac:dyDescent="0.25">
      <c r="A573" s="1"/>
      <c r="B573" s="1"/>
      <c r="C573" s="1"/>
      <c r="D573" s="1"/>
    </row>
    <row r="574" spans="1:4" x14ac:dyDescent="0.25">
      <c r="A574" s="1"/>
      <c r="B574" s="1"/>
      <c r="C574" s="1"/>
      <c r="D574" s="1"/>
    </row>
    <row r="575" spans="1:4" x14ac:dyDescent="0.25">
      <c r="A575" s="1"/>
      <c r="B575" s="1"/>
      <c r="C575" s="1"/>
      <c r="D575" s="1"/>
    </row>
    <row r="576" spans="1:4" x14ac:dyDescent="0.25">
      <c r="A576" s="1"/>
      <c r="B576" s="1"/>
      <c r="C576" s="1"/>
      <c r="D576" s="1"/>
    </row>
    <row r="577" spans="1:4" x14ac:dyDescent="0.25">
      <c r="A577" s="1"/>
      <c r="B577" s="1"/>
      <c r="C577" s="1"/>
      <c r="D577" s="1"/>
    </row>
    <row r="578" spans="1:4" x14ac:dyDescent="0.25">
      <c r="A578" s="1"/>
      <c r="B578" s="1"/>
      <c r="C578" s="1"/>
      <c r="D578" s="1"/>
    </row>
    <row r="579" spans="1:4" x14ac:dyDescent="0.25">
      <c r="A579" s="1"/>
      <c r="B579" s="1"/>
      <c r="C579" s="1"/>
      <c r="D579" s="1"/>
    </row>
    <row r="580" spans="1:4" x14ac:dyDescent="0.25">
      <c r="A580" s="1"/>
      <c r="B580" s="1"/>
      <c r="C580" s="1"/>
      <c r="D580" s="1"/>
    </row>
    <row r="581" spans="1:4" x14ac:dyDescent="0.25">
      <c r="A581" s="1"/>
      <c r="B581" s="1"/>
      <c r="C581" s="1"/>
      <c r="D581" s="1"/>
    </row>
    <row r="582" spans="1:4" x14ac:dyDescent="0.25">
      <c r="A582" s="1"/>
      <c r="B582" s="1"/>
      <c r="C582" s="1"/>
      <c r="D582" s="1"/>
    </row>
    <row r="583" spans="1:4" x14ac:dyDescent="0.25">
      <c r="A583" s="1"/>
      <c r="B583" s="1"/>
      <c r="C583" s="1"/>
      <c r="D583" s="1"/>
    </row>
    <row r="584" spans="1:4" x14ac:dyDescent="0.25">
      <c r="A584" s="1"/>
      <c r="B584" s="1"/>
      <c r="C584" s="1"/>
      <c r="D584" s="1"/>
    </row>
    <row r="585" spans="1:4" x14ac:dyDescent="0.25">
      <c r="A585" s="1"/>
      <c r="B585" s="1"/>
      <c r="C585" s="1"/>
      <c r="D585" s="1"/>
    </row>
    <row r="586" spans="1:4" x14ac:dyDescent="0.25">
      <c r="A586" s="1"/>
      <c r="B586" s="1"/>
      <c r="C586" s="1"/>
      <c r="D586" s="1"/>
    </row>
    <row r="587" spans="1:4" x14ac:dyDescent="0.25">
      <c r="A587" s="1"/>
      <c r="B587" s="1"/>
      <c r="C587" s="1"/>
      <c r="D587" s="1"/>
    </row>
    <row r="588" spans="1:4" x14ac:dyDescent="0.25">
      <c r="A588" s="1"/>
      <c r="B588" s="1"/>
      <c r="C588" s="1"/>
      <c r="D588" s="1"/>
    </row>
    <row r="589" spans="1:4" x14ac:dyDescent="0.25">
      <c r="A589" s="1"/>
      <c r="B589" s="1"/>
      <c r="C589" s="1"/>
      <c r="D589" s="1"/>
    </row>
    <row r="590" spans="1:4" x14ac:dyDescent="0.25">
      <c r="A590" s="1"/>
      <c r="B590" s="1"/>
      <c r="C590" s="1"/>
      <c r="D590" s="1"/>
    </row>
    <row r="591" spans="1:4" x14ac:dyDescent="0.25">
      <c r="A591" s="1"/>
      <c r="B591" s="1"/>
      <c r="C591" s="1"/>
      <c r="D591" s="1"/>
    </row>
    <row r="592" spans="1:4" x14ac:dyDescent="0.25">
      <c r="A592" s="1"/>
      <c r="B592" s="1"/>
      <c r="C592" s="1"/>
      <c r="D592" s="1"/>
    </row>
    <row r="593" spans="1:4" x14ac:dyDescent="0.25">
      <c r="A593" s="1"/>
      <c r="B593" s="1"/>
      <c r="C593" s="1"/>
      <c r="D593" s="1"/>
    </row>
    <row r="594" spans="1:4" x14ac:dyDescent="0.25">
      <c r="A594" s="1"/>
      <c r="B594" s="1"/>
      <c r="C594" s="1"/>
      <c r="D594" s="1"/>
    </row>
    <row r="595" spans="1:4" x14ac:dyDescent="0.25">
      <c r="A595" s="1"/>
      <c r="B595" s="1"/>
      <c r="C595" s="1"/>
      <c r="D595" s="1"/>
    </row>
    <row r="596" spans="1:4" x14ac:dyDescent="0.25">
      <c r="A596" s="1"/>
      <c r="B596" s="1"/>
      <c r="C596" s="1"/>
      <c r="D596" s="1"/>
    </row>
    <row r="597" spans="1:4" x14ac:dyDescent="0.25">
      <c r="A597" s="1"/>
      <c r="B597" s="1"/>
      <c r="C597" s="1"/>
      <c r="D597" s="1"/>
    </row>
    <row r="598" spans="1:4" x14ac:dyDescent="0.25">
      <c r="A598" s="1"/>
      <c r="B598" s="1"/>
      <c r="C598" s="1"/>
      <c r="D598" s="1"/>
    </row>
    <row r="599" spans="1:4" x14ac:dyDescent="0.25">
      <c r="A599" s="1"/>
      <c r="B599" s="1"/>
      <c r="C599" s="1"/>
      <c r="D599" s="1"/>
    </row>
    <row r="600" spans="1:4" x14ac:dyDescent="0.25">
      <c r="A600" s="1"/>
      <c r="B600" s="1"/>
      <c r="C600" s="1"/>
      <c r="D600" s="1"/>
    </row>
    <row r="601" spans="1:4" x14ac:dyDescent="0.25">
      <c r="A601" s="1"/>
      <c r="B601" s="1"/>
      <c r="C601" s="1"/>
      <c r="D601" s="1"/>
    </row>
    <row r="602" spans="1:4" x14ac:dyDescent="0.25">
      <c r="A602" s="1"/>
      <c r="B602" s="1"/>
      <c r="C602" s="1"/>
      <c r="D602" s="1"/>
    </row>
    <row r="603" spans="1:4" x14ac:dyDescent="0.25">
      <c r="A603" s="1"/>
      <c r="B603" s="1"/>
      <c r="C603" s="1"/>
      <c r="D603" s="1"/>
    </row>
    <row r="604" spans="1:4" x14ac:dyDescent="0.25">
      <c r="A604" s="1"/>
      <c r="B604" s="1"/>
      <c r="C604" s="1"/>
      <c r="D604" s="1"/>
    </row>
    <row r="605" spans="1:4" x14ac:dyDescent="0.25">
      <c r="A605" s="1"/>
      <c r="B605" s="1"/>
      <c r="C605" s="1"/>
      <c r="D605" s="1"/>
    </row>
    <row r="606" spans="1:4" x14ac:dyDescent="0.25">
      <c r="A606" s="1"/>
      <c r="B606" s="1"/>
      <c r="C606" s="1"/>
      <c r="D606" s="1"/>
    </row>
    <row r="607" spans="1:4" x14ac:dyDescent="0.25">
      <c r="A607" s="1"/>
      <c r="B607" s="1"/>
      <c r="C607" s="1"/>
      <c r="D607" s="1"/>
    </row>
    <row r="608" spans="1:4" x14ac:dyDescent="0.25">
      <c r="A608" s="1"/>
      <c r="B608" s="1"/>
      <c r="C608" s="1"/>
      <c r="D608" s="1"/>
    </row>
    <row r="609" spans="1:4" x14ac:dyDescent="0.25">
      <c r="A609" s="1"/>
      <c r="B609" s="1"/>
      <c r="C609" s="1"/>
      <c r="D609" s="1"/>
    </row>
    <row r="610" spans="1:4" x14ac:dyDescent="0.25">
      <c r="A610" s="1"/>
      <c r="B610" s="1"/>
      <c r="C610" s="1"/>
      <c r="D610" s="1"/>
    </row>
    <row r="611" spans="1:4" x14ac:dyDescent="0.25">
      <c r="A611" s="1"/>
      <c r="B611" s="1"/>
      <c r="C611" s="1"/>
      <c r="D611" s="1"/>
    </row>
    <row r="612" spans="1:4" x14ac:dyDescent="0.25">
      <c r="A612" s="1"/>
      <c r="B612" s="1"/>
      <c r="C612" s="1"/>
      <c r="D612" s="1"/>
    </row>
    <row r="613" spans="1:4" x14ac:dyDescent="0.25">
      <c r="A613" s="1"/>
      <c r="B613" s="1"/>
      <c r="C613" s="1"/>
      <c r="D613" s="1"/>
    </row>
    <row r="614" spans="1:4" x14ac:dyDescent="0.25">
      <c r="A614" s="1"/>
      <c r="B614" s="1"/>
      <c r="C614" s="1"/>
      <c r="D614" s="1"/>
    </row>
    <row r="615" spans="1:4" x14ac:dyDescent="0.25">
      <c r="A615" s="1"/>
      <c r="B615" s="1"/>
      <c r="C615" s="1"/>
      <c r="D615" s="1"/>
    </row>
    <row r="616" spans="1:4" x14ac:dyDescent="0.25">
      <c r="A616" s="1"/>
      <c r="B616" s="1"/>
      <c r="C616" s="1"/>
      <c r="D616" s="1"/>
    </row>
    <row r="617" spans="1:4" x14ac:dyDescent="0.25">
      <c r="A617" s="1"/>
      <c r="B617" s="1"/>
      <c r="C617" s="1"/>
      <c r="D617" s="1"/>
    </row>
    <row r="618" spans="1:4" x14ac:dyDescent="0.25">
      <c r="A618" s="1"/>
      <c r="B618" s="1"/>
      <c r="C618" s="1"/>
      <c r="D618" s="1"/>
    </row>
    <row r="619" spans="1:4" x14ac:dyDescent="0.25">
      <c r="A619" s="1"/>
      <c r="B619" s="1"/>
      <c r="C619" s="1"/>
      <c r="D619" s="1"/>
    </row>
    <row r="620" spans="1:4" x14ac:dyDescent="0.25">
      <c r="A620" s="1"/>
      <c r="B620" s="1"/>
      <c r="C620" s="1"/>
      <c r="D620" s="1"/>
    </row>
    <row r="621" spans="1:4" x14ac:dyDescent="0.25">
      <c r="A621" s="1"/>
      <c r="B621" s="1"/>
      <c r="C621" s="1"/>
      <c r="D621" s="1"/>
    </row>
    <row r="622" spans="1:4" x14ac:dyDescent="0.25">
      <c r="A622" s="1"/>
      <c r="B622" s="1"/>
      <c r="C622" s="1"/>
      <c r="D622" s="1"/>
    </row>
    <row r="623" spans="1:4" x14ac:dyDescent="0.25">
      <c r="A623" s="1"/>
      <c r="B623" s="1"/>
      <c r="C623" s="1"/>
      <c r="D623" s="1"/>
    </row>
    <row r="624" spans="1:4" x14ac:dyDescent="0.25">
      <c r="A624" s="1"/>
      <c r="B624" s="1"/>
      <c r="C624" s="1"/>
      <c r="D624" s="1"/>
    </row>
    <row r="625" spans="1:4" x14ac:dyDescent="0.25">
      <c r="A625" s="1"/>
      <c r="B625" s="1"/>
      <c r="C625" s="1"/>
      <c r="D625" s="1"/>
    </row>
    <row r="626" spans="1:4" x14ac:dyDescent="0.25">
      <c r="A626" s="1"/>
      <c r="B626" s="1"/>
      <c r="C626" s="1"/>
      <c r="D626" s="1"/>
    </row>
    <row r="627" spans="1:4" x14ac:dyDescent="0.25">
      <c r="A627" s="1"/>
      <c r="B627" s="1"/>
      <c r="C627" s="1"/>
      <c r="D627" s="1"/>
    </row>
    <row r="628" spans="1:4" x14ac:dyDescent="0.25">
      <c r="A628" s="1"/>
      <c r="B628" s="1"/>
      <c r="C628" s="1"/>
      <c r="D628" s="1"/>
    </row>
    <row r="629" spans="1:4" x14ac:dyDescent="0.25">
      <c r="A629" s="1"/>
      <c r="B629" s="1"/>
      <c r="C629" s="1"/>
      <c r="D629" s="1"/>
    </row>
    <row r="630" spans="1:4" x14ac:dyDescent="0.25">
      <c r="A630" s="1"/>
      <c r="B630" s="1"/>
      <c r="C630" s="1"/>
      <c r="D630" s="1"/>
    </row>
    <row r="631" spans="1:4" x14ac:dyDescent="0.25">
      <c r="A631" s="1"/>
      <c r="B631" s="1"/>
      <c r="C631" s="1"/>
      <c r="D631" s="1"/>
    </row>
    <row r="632" spans="1:4" x14ac:dyDescent="0.25">
      <c r="A632" s="1"/>
      <c r="B632" s="1"/>
      <c r="C632" s="1"/>
      <c r="D632" s="1"/>
    </row>
    <row r="633" spans="1:4" x14ac:dyDescent="0.25">
      <c r="A633" s="1"/>
      <c r="B633" s="1"/>
      <c r="C633" s="1"/>
      <c r="D633" s="1"/>
    </row>
    <row r="634" spans="1:4" x14ac:dyDescent="0.25">
      <c r="A634" s="1"/>
      <c r="B634" s="1"/>
      <c r="C634" s="1"/>
      <c r="D634" s="1"/>
    </row>
    <row r="635" spans="1:4" x14ac:dyDescent="0.25">
      <c r="A635" s="1"/>
      <c r="B635" s="1"/>
      <c r="C635" s="1"/>
      <c r="D635" s="1"/>
    </row>
    <row r="636" spans="1:4" x14ac:dyDescent="0.25">
      <c r="A636" s="1"/>
      <c r="B636" s="1"/>
      <c r="C636" s="1"/>
      <c r="D636" s="1"/>
    </row>
    <row r="637" spans="1:4" x14ac:dyDescent="0.25">
      <c r="A637" s="1"/>
      <c r="B637" s="1"/>
      <c r="C637" s="1"/>
      <c r="D637" s="1"/>
    </row>
    <row r="638" spans="1:4" x14ac:dyDescent="0.25">
      <c r="A638" s="1"/>
      <c r="B638" s="1"/>
      <c r="C638" s="1"/>
      <c r="D638" s="1"/>
    </row>
    <row r="639" spans="1:4" x14ac:dyDescent="0.25">
      <c r="A639" s="1"/>
      <c r="B639" s="1"/>
      <c r="C639" s="1"/>
      <c r="D639" s="1"/>
    </row>
    <row r="640" spans="1:4" x14ac:dyDescent="0.25">
      <c r="A640" s="1"/>
      <c r="B640" s="1"/>
      <c r="C640" s="1"/>
      <c r="D640" s="1"/>
    </row>
    <row r="641" spans="1:4" x14ac:dyDescent="0.25">
      <c r="A641" s="1"/>
      <c r="B641" s="1"/>
      <c r="C641" s="1"/>
      <c r="D641" s="1"/>
    </row>
    <row r="642" spans="1:4" x14ac:dyDescent="0.25">
      <c r="A642" s="1"/>
      <c r="B642" s="1"/>
      <c r="C642" s="1"/>
      <c r="D642" s="1"/>
    </row>
    <row r="643" spans="1:4" x14ac:dyDescent="0.25">
      <c r="A643" s="1"/>
      <c r="B643" s="1"/>
      <c r="C643" s="1"/>
      <c r="D643" s="1"/>
    </row>
    <row r="644" spans="1:4" x14ac:dyDescent="0.25">
      <c r="A644" s="1"/>
      <c r="B644" s="1"/>
      <c r="C644" s="1"/>
      <c r="D644" s="1"/>
    </row>
    <row r="645" spans="1:4" x14ac:dyDescent="0.25">
      <c r="A645" s="1"/>
      <c r="B645" s="1"/>
      <c r="C645" s="1"/>
      <c r="D645" s="1"/>
    </row>
    <row r="646" spans="1:4" x14ac:dyDescent="0.25">
      <c r="A646" s="1"/>
      <c r="B646" s="1"/>
      <c r="C646" s="1"/>
      <c r="D646" s="1"/>
    </row>
    <row r="647" spans="1:4" x14ac:dyDescent="0.25">
      <c r="A647" s="1"/>
      <c r="B647" s="1"/>
      <c r="C647" s="1"/>
      <c r="D647" s="1"/>
    </row>
    <row r="648" spans="1:4" x14ac:dyDescent="0.25">
      <c r="A648" s="1"/>
      <c r="B648" s="1"/>
      <c r="C648" s="1"/>
      <c r="D648" s="1"/>
    </row>
    <row r="649" spans="1:4" x14ac:dyDescent="0.25">
      <c r="A649" s="1"/>
      <c r="B649" s="1"/>
      <c r="C649" s="1"/>
      <c r="D649" s="1"/>
    </row>
    <row r="650" spans="1:4" x14ac:dyDescent="0.25">
      <c r="A650" s="1"/>
      <c r="B650" s="1"/>
      <c r="C650" s="1"/>
      <c r="D650" s="1"/>
    </row>
    <row r="651" spans="1:4" x14ac:dyDescent="0.25">
      <c r="A651" s="1"/>
      <c r="B651" s="1"/>
      <c r="C651" s="1"/>
      <c r="D651" s="1"/>
    </row>
    <row r="652" spans="1:4" x14ac:dyDescent="0.25">
      <c r="A652" s="1"/>
      <c r="B652" s="1"/>
      <c r="C652" s="1"/>
      <c r="D652" s="1"/>
    </row>
    <row r="653" spans="1:4" x14ac:dyDescent="0.25">
      <c r="A653" s="1"/>
      <c r="B653" s="1"/>
      <c r="C653" s="1"/>
      <c r="D653" s="1"/>
    </row>
    <row r="654" spans="1:4" x14ac:dyDescent="0.25">
      <c r="A654" s="1"/>
      <c r="B654" s="1"/>
      <c r="C654" s="1"/>
      <c r="D654" s="1"/>
    </row>
    <row r="655" spans="1:4" x14ac:dyDescent="0.25">
      <c r="A655" s="1"/>
      <c r="B655" s="1"/>
      <c r="C655" s="1"/>
      <c r="D655" s="1"/>
    </row>
    <row r="656" spans="1:4" x14ac:dyDescent="0.25">
      <c r="A656" s="1"/>
      <c r="B656" s="1"/>
      <c r="C656" s="1"/>
      <c r="D656" s="1"/>
    </row>
    <row r="657" spans="1:4" x14ac:dyDescent="0.25">
      <c r="A657" s="1"/>
      <c r="B657" s="1"/>
      <c r="C657" s="1"/>
      <c r="D657" s="1"/>
    </row>
    <row r="658" spans="1:4" x14ac:dyDescent="0.25">
      <c r="A658" s="1"/>
      <c r="B658" s="1"/>
      <c r="C658" s="1"/>
      <c r="D658" s="1"/>
    </row>
    <row r="659" spans="1:4" x14ac:dyDescent="0.25">
      <c r="A659" s="1"/>
      <c r="B659" s="1"/>
      <c r="C659" s="1"/>
      <c r="D659" s="1"/>
    </row>
    <row r="660" spans="1:4" x14ac:dyDescent="0.25">
      <c r="A660" s="1"/>
      <c r="B660" s="1"/>
      <c r="C660" s="1"/>
      <c r="D660" s="1"/>
    </row>
    <row r="661" spans="1:4" x14ac:dyDescent="0.25">
      <c r="A661" s="1"/>
      <c r="B661" s="1"/>
      <c r="C661" s="1"/>
      <c r="D661" s="1"/>
    </row>
    <row r="662" spans="1:4" x14ac:dyDescent="0.25">
      <c r="A662" s="1"/>
      <c r="B662" s="1"/>
      <c r="C662" s="1"/>
      <c r="D662" s="1"/>
    </row>
    <row r="663" spans="1:4" x14ac:dyDescent="0.25">
      <c r="A663" s="1"/>
      <c r="B663" s="1"/>
      <c r="C663" s="1"/>
      <c r="D663" s="1"/>
    </row>
    <row r="664" spans="1:4" x14ac:dyDescent="0.25">
      <c r="A664" s="1"/>
      <c r="B664" s="1"/>
      <c r="C664" s="1"/>
      <c r="D664" s="1"/>
    </row>
    <row r="665" spans="1:4" x14ac:dyDescent="0.25">
      <c r="A665" s="1"/>
      <c r="B665" s="1"/>
      <c r="C665" s="1"/>
      <c r="D665" s="1"/>
    </row>
    <row r="666" spans="1:4" x14ac:dyDescent="0.25">
      <c r="A666" s="1"/>
      <c r="B666" s="1"/>
      <c r="C666" s="1"/>
      <c r="D666" s="1"/>
    </row>
    <row r="667" spans="1:4" x14ac:dyDescent="0.25">
      <c r="A667" s="1"/>
      <c r="B667" s="1"/>
      <c r="C667" s="1"/>
      <c r="D667" s="1"/>
    </row>
    <row r="668" spans="1:4" x14ac:dyDescent="0.25">
      <c r="A668" s="1"/>
      <c r="B668" s="1"/>
      <c r="C668" s="1"/>
      <c r="D668" s="1"/>
    </row>
    <row r="669" spans="1:4" x14ac:dyDescent="0.25">
      <c r="A669" s="1"/>
      <c r="B669" s="1"/>
      <c r="C669" s="1"/>
      <c r="D669" s="1"/>
    </row>
    <row r="670" spans="1:4" x14ac:dyDescent="0.25">
      <c r="A670" s="1"/>
      <c r="B670" s="1"/>
      <c r="C670" s="1"/>
      <c r="D670" s="1"/>
    </row>
    <row r="671" spans="1:4" x14ac:dyDescent="0.25">
      <c r="A671" s="1"/>
      <c r="B671" s="1"/>
      <c r="C671" s="1"/>
      <c r="D671" s="1"/>
    </row>
    <row r="672" spans="1:4" x14ac:dyDescent="0.25">
      <c r="A672" s="1"/>
      <c r="B672" s="1"/>
      <c r="C672" s="1"/>
      <c r="D672" s="1"/>
    </row>
    <row r="673" spans="1:4" x14ac:dyDescent="0.25">
      <c r="A673" s="1"/>
      <c r="B673" s="1"/>
      <c r="C673" s="1"/>
      <c r="D673" s="1"/>
    </row>
    <row r="674" spans="1:4" x14ac:dyDescent="0.25">
      <c r="A674" s="1"/>
      <c r="B674" s="1"/>
      <c r="C674" s="1"/>
      <c r="D674" s="1"/>
    </row>
    <row r="675" spans="1:4" x14ac:dyDescent="0.25">
      <c r="A675" s="1"/>
      <c r="B675" s="1"/>
      <c r="C675" s="1"/>
      <c r="D675" s="1"/>
    </row>
    <row r="676" spans="1:4" x14ac:dyDescent="0.25">
      <c r="A676" s="1"/>
      <c r="B676" s="1"/>
      <c r="C676" s="1"/>
      <c r="D676" s="1"/>
    </row>
    <row r="677" spans="1:4" x14ac:dyDescent="0.25">
      <c r="A677" s="1"/>
      <c r="B677" s="1"/>
      <c r="C677" s="1"/>
      <c r="D677" s="1"/>
    </row>
    <row r="678" spans="1:4" x14ac:dyDescent="0.25">
      <c r="A678" s="1"/>
      <c r="B678" s="1"/>
      <c r="C678" s="1"/>
      <c r="D678" s="1"/>
    </row>
    <row r="679" spans="1:4" x14ac:dyDescent="0.25">
      <c r="A679" s="1"/>
      <c r="B679" s="1"/>
      <c r="C679" s="1"/>
      <c r="D679" s="1"/>
    </row>
    <row r="680" spans="1:4" x14ac:dyDescent="0.25">
      <c r="A680" s="1"/>
      <c r="B680" s="1"/>
      <c r="C680" s="1"/>
      <c r="D680" s="1"/>
    </row>
    <row r="681" spans="1:4" x14ac:dyDescent="0.25">
      <c r="A681" s="1"/>
      <c r="B681" s="1"/>
      <c r="C681" s="1"/>
      <c r="D681" s="1"/>
    </row>
    <row r="682" spans="1:4" x14ac:dyDescent="0.25">
      <c r="A682" s="1"/>
      <c r="B682" s="1"/>
      <c r="C682" s="1"/>
      <c r="D682" s="1"/>
    </row>
    <row r="683" spans="1:4" x14ac:dyDescent="0.25">
      <c r="A683" s="1"/>
      <c r="B683" s="1"/>
      <c r="C683" s="1"/>
      <c r="D683" s="1"/>
    </row>
    <row r="684" spans="1:4" x14ac:dyDescent="0.25">
      <c r="A684" s="1"/>
      <c r="B684" s="1"/>
      <c r="C684" s="1"/>
      <c r="D684" s="1"/>
    </row>
    <row r="685" spans="1:4" x14ac:dyDescent="0.25">
      <c r="A685" s="1"/>
      <c r="B685" s="1"/>
      <c r="C685" s="1"/>
      <c r="D685" s="1"/>
    </row>
    <row r="686" spans="1:4" x14ac:dyDescent="0.25">
      <c r="A686" s="1"/>
      <c r="B686" s="1"/>
      <c r="C686" s="1"/>
      <c r="D686" s="1"/>
    </row>
    <row r="687" spans="1:4" x14ac:dyDescent="0.25">
      <c r="A687" s="1"/>
      <c r="B687" s="1"/>
      <c r="C687" s="1"/>
      <c r="D687" s="1"/>
    </row>
    <row r="688" spans="1:4" x14ac:dyDescent="0.25">
      <c r="A688" s="1"/>
      <c r="B688" s="1"/>
      <c r="C688" s="1"/>
      <c r="D688" s="1"/>
    </row>
    <row r="689" spans="1:4" x14ac:dyDescent="0.25">
      <c r="A689" s="1"/>
      <c r="B689" s="1"/>
      <c r="C689" s="1"/>
      <c r="D689" s="1"/>
    </row>
    <row r="690" spans="1:4" x14ac:dyDescent="0.25">
      <c r="A690" s="1"/>
      <c r="B690" s="1"/>
      <c r="C690" s="1"/>
      <c r="D690" s="1"/>
    </row>
    <row r="691" spans="1:4" x14ac:dyDescent="0.25">
      <c r="A691" s="1"/>
      <c r="B691" s="1"/>
      <c r="C691" s="1"/>
      <c r="D691" s="1"/>
    </row>
    <row r="692" spans="1:4" x14ac:dyDescent="0.25">
      <c r="A692" s="1"/>
      <c r="B692" s="1"/>
      <c r="C692" s="1"/>
      <c r="D692" s="1"/>
    </row>
    <row r="693" spans="1:4" x14ac:dyDescent="0.25">
      <c r="A693" s="1"/>
      <c r="B693" s="1"/>
      <c r="C693" s="1"/>
      <c r="D693" s="1"/>
    </row>
    <row r="694" spans="1:4" x14ac:dyDescent="0.25">
      <c r="A694" s="1"/>
      <c r="B694" s="1"/>
      <c r="C694" s="1"/>
      <c r="D694" s="1"/>
    </row>
    <row r="695" spans="1:4" x14ac:dyDescent="0.25">
      <c r="A695" s="1"/>
      <c r="B695" s="1"/>
      <c r="C695" s="1"/>
      <c r="D695" s="1"/>
    </row>
    <row r="696" spans="1:4" x14ac:dyDescent="0.25">
      <c r="A696" s="1"/>
      <c r="B696" s="1"/>
      <c r="C696" s="1"/>
      <c r="D696" s="1"/>
    </row>
    <row r="697" spans="1:4" x14ac:dyDescent="0.25">
      <c r="A697" s="1"/>
      <c r="B697" s="1"/>
      <c r="C697" s="1"/>
      <c r="D697" s="1"/>
    </row>
    <row r="698" spans="1:4" x14ac:dyDescent="0.25">
      <c r="A698" s="1"/>
      <c r="B698" s="1"/>
      <c r="C698" s="1"/>
      <c r="D698" s="1"/>
    </row>
    <row r="699" spans="1:4" x14ac:dyDescent="0.25">
      <c r="A699" s="1"/>
      <c r="B699" s="1"/>
      <c r="C699" s="1"/>
      <c r="D699" s="1"/>
    </row>
    <row r="700" spans="1:4" x14ac:dyDescent="0.25">
      <c r="A700" s="1"/>
      <c r="B700" s="1"/>
      <c r="C700" s="1"/>
      <c r="D700" s="1"/>
    </row>
    <row r="701" spans="1:4" x14ac:dyDescent="0.25">
      <c r="A701" s="1"/>
      <c r="B701" s="1"/>
      <c r="C701" s="1"/>
      <c r="D701" s="1"/>
    </row>
    <row r="702" spans="1:4" x14ac:dyDescent="0.25">
      <c r="A702" s="1"/>
      <c r="B702" s="1"/>
      <c r="C702" s="1"/>
      <c r="D702" s="1"/>
    </row>
    <row r="703" spans="1:4" x14ac:dyDescent="0.25">
      <c r="A703" s="1"/>
      <c r="B703" s="1"/>
      <c r="C703" s="1"/>
      <c r="D703" s="1"/>
    </row>
    <row r="704" spans="1:4" x14ac:dyDescent="0.25">
      <c r="A704" s="1"/>
      <c r="B704" s="1"/>
      <c r="C704" s="1"/>
      <c r="D704" s="1"/>
    </row>
    <row r="705" spans="1:4" x14ac:dyDescent="0.25">
      <c r="A705" s="1"/>
      <c r="B705" s="1"/>
      <c r="C705" s="1"/>
      <c r="D705" s="1"/>
    </row>
    <row r="706" spans="1:4" x14ac:dyDescent="0.25">
      <c r="A706" s="1"/>
      <c r="B706" s="1"/>
      <c r="C706" s="1"/>
      <c r="D706" s="1"/>
    </row>
    <row r="707" spans="1:4" x14ac:dyDescent="0.25">
      <c r="A707" s="1"/>
      <c r="B707" s="1"/>
      <c r="C707" s="1"/>
      <c r="D707" s="1"/>
    </row>
    <row r="708" spans="1:4" x14ac:dyDescent="0.25">
      <c r="A708" s="1"/>
      <c r="B708" s="1"/>
      <c r="C708" s="1"/>
      <c r="D708" s="1"/>
    </row>
    <row r="709" spans="1:4" x14ac:dyDescent="0.25">
      <c r="A709" s="1"/>
      <c r="B709" s="1"/>
      <c r="C709" s="1"/>
      <c r="D709" s="1"/>
    </row>
    <row r="710" spans="1:4" x14ac:dyDescent="0.25">
      <c r="A710" s="1"/>
      <c r="B710" s="1"/>
      <c r="C710" s="1"/>
      <c r="D710" s="1"/>
    </row>
    <row r="711" spans="1:4" x14ac:dyDescent="0.25">
      <c r="A711" s="1"/>
      <c r="B711" s="1"/>
      <c r="C711" s="1"/>
      <c r="D711" s="1"/>
    </row>
    <row r="712" spans="1:4" x14ac:dyDescent="0.25">
      <c r="A712" s="1"/>
      <c r="B712" s="1"/>
      <c r="C712" s="1"/>
      <c r="D712" s="1"/>
    </row>
    <row r="713" spans="1:4" x14ac:dyDescent="0.25">
      <c r="A713" s="1"/>
      <c r="B713" s="1"/>
      <c r="C713" s="1"/>
      <c r="D713" s="1"/>
    </row>
    <row r="714" spans="1:4" x14ac:dyDescent="0.25">
      <c r="A714" s="1"/>
      <c r="B714" s="1"/>
      <c r="C714" s="1"/>
      <c r="D714" s="1"/>
    </row>
    <row r="715" spans="1:4" x14ac:dyDescent="0.25">
      <c r="A715" s="1"/>
      <c r="B715" s="1"/>
      <c r="C715" s="1"/>
      <c r="D715" s="1"/>
    </row>
    <row r="716" spans="1:4" x14ac:dyDescent="0.25">
      <c r="A716" s="1"/>
      <c r="B716" s="1"/>
      <c r="C716" s="1"/>
      <c r="D716" s="1"/>
    </row>
    <row r="717" spans="1:4" x14ac:dyDescent="0.25">
      <c r="A717" s="1"/>
      <c r="B717" s="1"/>
      <c r="C717" s="1"/>
      <c r="D717" s="1"/>
    </row>
    <row r="718" spans="1:4" x14ac:dyDescent="0.25">
      <c r="A718" s="1"/>
      <c r="B718" s="1"/>
      <c r="C718" s="1"/>
      <c r="D718" s="1"/>
    </row>
    <row r="719" spans="1:4" x14ac:dyDescent="0.25">
      <c r="A719" s="1"/>
      <c r="B719" s="1"/>
      <c r="C719" s="1"/>
      <c r="D719" s="1"/>
    </row>
    <row r="720" spans="1:4" x14ac:dyDescent="0.25">
      <c r="A720" s="1"/>
      <c r="B720" s="1"/>
      <c r="C720" s="1"/>
      <c r="D720" s="1"/>
    </row>
    <row r="721" spans="1:4" x14ac:dyDescent="0.25">
      <c r="A721" s="1"/>
      <c r="B721" s="1"/>
      <c r="C721" s="1"/>
      <c r="D721" s="1"/>
    </row>
    <row r="722" spans="1:4" x14ac:dyDescent="0.25">
      <c r="A722" s="1"/>
      <c r="B722" s="1"/>
      <c r="C722" s="1"/>
      <c r="D722" s="1"/>
    </row>
    <row r="723" spans="1:4" x14ac:dyDescent="0.25">
      <c r="A723" s="1"/>
      <c r="B723" s="1"/>
      <c r="C723" s="1"/>
      <c r="D723" s="1"/>
    </row>
    <row r="724" spans="1:4" x14ac:dyDescent="0.25">
      <c r="A724" s="1"/>
      <c r="B724" s="1"/>
      <c r="C724" s="1"/>
      <c r="D724" s="1"/>
    </row>
    <row r="725" spans="1:4" x14ac:dyDescent="0.25">
      <c r="A725" s="1"/>
      <c r="B725" s="1"/>
      <c r="C725" s="1"/>
      <c r="D725" s="1"/>
    </row>
    <row r="726" spans="1:4" x14ac:dyDescent="0.25">
      <c r="A726" s="1"/>
      <c r="B726" s="1"/>
      <c r="C726" s="1"/>
      <c r="D726" s="1"/>
    </row>
    <row r="727" spans="1:4" x14ac:dyDescent="0.25">
      <c r="A727" s="1"/>
      <c r="B727" s="1"/>
      <c r="C727" s="1"/>
      <c r="D727" s="1"/>
    </row>
    <row r="728" spans="1:4" x14ac:dyDescent="0.25">
      <c r="A728" s="1"/>
      <c r="B728" s="1"/>
      <c r="C728" s="1"/>
      <c r="D728" s="1"/>
    </row>
    <row r="729" spans="1:4" x14ac:dyDescent="0.25">
      <c r="A729" s="1"/>
      <c r="B729" s="1"/>
      <c r="C729" s="1"/>
      <c r="D729" s="1"/>
    </row>
    <row r="730" spans="1:4" x14ac:dyDescent="0.25">
      <c r="A730" s="1"/>
      <c r="B730" s="1"/>
      <c r="C730" s="1"/>
      <c r="D730" s="1"/>
    </row>
    <row r="731" spans="1:4" x14ac:dyDescent="0.25">
      <c r="A731" s="1"/>
      <c r="B731" s="1"/>
      <c r="C731" s="1"/>
      <c r="D731" s="1"/>
    </row>
    <row r="732" spans="1:4" x14ac:dyDescent="0.25">
      <c r="A732" s="1"/>
      <c r="B732" s="1"/>
      <c r="C732" s="1"/>
      <c r="D732" s="1"/>
    </row>
    <row r="733" spans="1:4" x14ac:dyDescent="0.25">
      <c r="A733" s="1"/>
      <c r="B733" s="1"/>
      <c r="C733" s="1"/>
      <c r="D733" s="1"/>
    </row>
    <row r="734" spans="1:4" x14ac:dyDescent="0.25">
      <c r="A734" s="1"/>
      <c r="B734" s="1"/>
      <c r="C734" s="1"/>
      <c r="D734" s="1"/>
    </row>
    <row r="735" spans="1:4" x14ac:dyDescent="0.25">
      <c r="A735" s="1"/>
      <c r="B735" s="1"/>
      <c r="C735" s="1"/>
      <c r="D735" s="1"/>
    </row>
    <row r="736" spans="1:4" x14ac:dyDescent="0.25">
      <c r="A736" s="1"/>
      <c r="B736" s="1"/>
      <c r="C736" s="1"/>
      <c r="D736" s="1"/>
    </row>
    <row r="737" spans="1:4" x14ac:dyDescent="0.25">
      <c r="A737" s="1"/>
      <c r="B737" s="1"/>
      <c r="C737" s="1"/>
      <c r="D737" s="1"/>
    </row>
    <row r="738" spans="1:4" x14ac:dyDescent="0.25">
      <c r="A738" s="1"/>
      <c r="B738" s="1"/>
      <c r="C738" s="1"/>
      <c r="D738" s="1"/>
    </row>
    <row r="739" spans="1:4" x14ac:dyDescent="0.25">
      <c r="A739" s="1"/>
      <c r="B739" s="1"/>
      <c r="C739" s="1"/>
      <c r="D739" s="1"/>
    </row>
    <row r="740" spans="1:4" x14ac:dyDescent="0.25">
      <c r="A740" s="1"/>
      <c r="B740" s="1"/>
      <c r="C740" s="1"/>
      <c r="D740" s="1"/>
    </row>
    <row r="741" spans="1:4" x14ac:dyDescent="0.25">
      <c r="A741" s="1"/>
      <c r="B741" s="1"/>
      <c r="C741" s="1"/>
      <c r="D741" s="1"/>
    </row>
    <row r="742" spans="1:4" x14ac:dyDescent="0.25">
      <c r="A742" s="1"/>
      <c r="B742" s="1"/>
      <c r="C742" s="1"/>
      <c r="D742" s="1"/>
    </row>
    <row r="743" spans="1:4" x14ac:dyDescent="0.25">
      <c r="A743" s="1"/>
      <c r="B743" s="1"/>
      <c r="C743" s="1"/>
      <c r="D743" s="1"/>
    </row>
    <row r="744" spans="1:4" x14ac:dyDescent="0.25">
      <c r="A744" s="1"/>
      <c r="B744" s="1"/>
      <c r="C744" s="1"/>
      <c r="D744" s="1"/>
    </row>
    <row r="745" spans="1:4" x14ac:dyDescent="0.25">
      <c r="A745" s="1"/>
      <c r="B745" s="1"/>
      <c r="C745" s="1"/>
      <c r="D745" s="1"/>
    </row>
    <row r="746" spans="1:4" x14ac:dyDescent="0.25">
      <c r="A746" s="1"/>
      <c r="B746" s="1"/>
      <c r="C746" s="1"/>
      <c r="D746" s="1"/>
    </row>
    <row r="747" spans="1:4" x14ac:dyDescent="0.25">
      <c r="A747" s="1"/>
      <c r="B747" s="1"/>
      <c r="C747" s="1"/>
      <c r="D747" s="1"/>
    </row>
    <row r="748" spans="1:4" x14ac:dyDescent="0.25">
      <c r="A748" s="1"/>
      <c r="B748" s="1"/>
      <c r="C748" s="1"/>
      <c r="D748" s="1"/>
    </row>
    <row r="749" spans="1:4" x14ac:dyDescent="0.25">
      <c r="A749" s="1"/>
      <c r="B749" s="1"/>
      <c r="C749" s="1"/>
      <c r="D749" s="1"/>
    </row>
    <row r="750" spans="1:4" x14ac:dyDescent="0.25">
      <c r="A750" s="1"/>
      <c r="B750" s="1"/>
      <c r="C750" s="1"/>
      <c r="D750" s="1"/>
    </row>
    <row r="751" spans="1:4" x14ac:dyDescent="0.25">
      <c r="A751" s="1"/>
      <c r="B751" s="1"/>
      <c r="C751" s="1"/>
      <c r="D751" s="1"/>
    </row>
    <row r="752" spans="1:4" x14ac:dyDescent="0.25">
      <c r="A752" s="1"/>
      <c r="B752" s="1"/>
      <c r="C752" s="1"/>
      <c r="D752" s="1"/>
    </row>
    <row r="753" spans="1:4" x14ac:dyDescent="0.25">
      <c r="A753" s="1"/>
      <c r="B753" s="1"/>
      <c r="C753" s="1"/>
      <c r="D753" s="1"/>
    </row>
    <row r="754" spans="1:4" x14ac:dyDescent="0.25">
      <c r="A754" s="1"/>
      <c r="B754" s="1"/>
      <c r="C754" s="1"/>
      <c r="D754" s="1"/>
    </row>
    <row r="755" spans="1:4" x14ac:dyDescent="0.25">
      <c r="A755" s="1"/>
      <c r="B755" s="1"/>
      <c r="C755" s="1"/>
      <c r="D755" s="1"/>
    </row>
    <row r="756" spans="1:4" x14ac:dyDescent="0.25">
      <c r="A756" s="1"/>
      <c r="B756" s="1"/>
      <c r="C756" s="1"/>
      <c r="D756" s="1"/>
    </row>
    <row r="757" spans="1:4" x14ac:dyDescent="0.25">
      <c r="A757" s="1"/>
      <c r="B757" s="1"/>
      <c r="C757" s="1"/>
      <c r="D757" s="1"/>
    </row>
    <row r="758" spans="1:4" x14ac:dyDescent="0.25">
      <c r="A758" s="1"/>
      <c r="B758" s="1"/>
      <c r="C758" s="1"/>
      <c r="D758" s="1"/>
    </row>
    <row r="759" spans="1:4" x14ac:dyDescent="0.25">
      <c r="A759" s="1"/>
      <c r="B759" s="1"/>
      <c r="C759" s="1"/>
      <c r="D759" s="1"/>
    </row>
    <row r="760" spans="1:4" x14ac:dyDescent="0.25">
      <c r="A760" s="1"/>
      <c r="B760" s="1"/>
      <c r="C760" s="1"/>
      <c r="D760" s="1"/>
    </row>
    <row r="761" spans="1:4" x14ac:dyDescent="0.25">
      <c r="A761" s="1"/>
      <c r="B761" s="1"/>
      <c r="C761" s="1"/>
      <c r="D761" s="1"/>
    </row>
    <row r="762" spans="1:4" x14ac:dyDescent="0.25">
      <c r="A762" s="1"/>
      <c r="B762" s="1"/>
      <c r="C762" s="1"/>
      <c r="D762" s="1"/>
    </row>
    <row r="763" spans="1:4" x14ac:dyDescent="0.25">
      <c r="A763" s="1"/>
      <c r="B763" s="1"/>
      <c r="C763" s="1"/>
      <c r="D763" s="1"/>
    </row>
    <row r="764" spans="1:4" x14ac:dyDescent="0.25">
      <c r="A764" s="1"/>
      <c r="B764" s="1"/>
      <c r="C764" s="1"/>
      <c r="D764" s="1"/>
    </row>
    <row r="765" spans="1:4" x14ac:dyDescent="0.25">
      <c r="A765" s="1"/>
      <c r="B765" s="1"/>
      <c r="C765" s="1"/>
      <c r="D765" s="1"/>
    </row>
    <row r="766" spans="1:4" x14ac:dyDescent="0.25">
      <c r="A766" s="1"/>
      <c r="B766" s="1"/>
      <c r="C766" s="1"/>
      <c r="D766" s="1"/>
    </row>
    <row r="767" spans="1:4" x14ac:dyDescent="0.25">
      <c r="A767" s="1"/>
      <c r="B767" s="1"/>
      <c r="C767" s="1"/>
      <c r="D767" s="1"/>
    </row>
    <row r="768" spans="1:4" x14ac:dyDescent="0.25">
      <c r="A768" s="1"/>
      <c r="B768" s="1"/>
      <c r="C768" s="1"/>
      <c r="D768" s="1"/>
    </row>
    <row r="769" spans="1:4" x14ac:dyDescent="0.25">
      <c r="A769" s="1"/>
      <c r="B769" s="1"/>
      <c r="C769" s="1"/>
      <c r="D769" s="1"/>
    </row>
    <row r="770" spans="1:4" x14ac:dyDescent="0.25">
      <c r="A770" s="1"/>
      <c r="B770" s="1"/>
      <c r="C770" s="1"/>
      <c r="D770" s="1"/>
    </row>
    <row r="771" spans="1:4" x14ac:dyDescent="0.25">
      <c r="A771" s="1"/>
      <c r="B771" s="1"/>
      <c r="C771" s="1"/>
      <c r="D771" s="1"/>
    </row>
    <row r="772" spans="1:4" x14ac:dyDescent="0.25">
      <c r="A772" s="1"/>
      <c r="B772" s="1"/>
      <c r="C772" s="1"/>
      <c r="D772" s="1"/>
    </row>
    <row r="773" spans="1:4" x14ac:dyDescent="0.25">
      <c r="A773" s="1"/>
      <c r="B773" s="1"/>
      <c r="C773" s="1"/>
      <c r="D773" s="1"/>
    </row>
    <row r="774" spans="1:4" x14ac:dyDescent="0.25">
      <c r="A774" s="1"/>
      <c r="B774" s="1"/>
      <c r="C774" s="1"/>
      <c r="D774" s="1"/>
    </row>
    <row r="775" spans="1:4" x14ac:dyDescent="0.25">
      <c r="A775" s="1"/>
      <c r="B775" s="1"/>
      <c r="C775" s="1"/>
      <c r="D775" s="1"/>
    </row>
    <row r="776" spans="1:4" x14ac:dyDescent="0.25">
      <c r="A776" s="1"/>
      <c r="B776" s="1"/>
      <c r="C776" s="1"/>
      <c r="D776" s="1"/>
    </row>
    <row r="777" spans="1:4" x14ac:dyDescent="0.25">
      <c r="A777" s="1"/>
      <c r="B777" s="1"/>
      <c r="C777" s="1"/>
      <c r="D777" s="1"/>
    </row>
    <row r="778" spans="1:4" x14ac:dyDescent="0.25">
      <c r="A778" s="1"/>
      <c r="B778" s="1"/>
      <c r="C778" s="1"/>
      <c r="D778" s="1"/>
    </row>
    <row r="779" spans="1:4" x14ac:dyDescent="0.25">
      <c r="A779" s="1"/>
      <c r="B779" s="1"/>
      <c r="C779" s="1"/>
      <c r="D779" s="1"/>
    </row>
    <row r="780" spans="1:4" x14ac:dyDescent="0.25">
      <c r="A780" s="1"/>
      <c r="B780" s="1"/>
      <c r="C780" s="1"/>
      <c r="D780" s="1"/>
    </row>
    <row r="781" spans="1:4" x14ac:dyDescent="0.25">
      <c r="A781" s="1"/>
      <c r="B781" s="1"/>
      <c r="C781" s="1"/>
      <c r="D781" s="1"/>
    </row>
    <row r="782" spans="1:4" x14ac:dyDescent="0.25">
      <c r="A782" s="1"/>
      <c r="B782" s="1"/>
      <c r="C782" s="1"/>
      <c r="D782" s="1"/>
    </row>
    <row r="783" spans="1:4" x14ac:dyDescent="0.25">
      <c r="A783" s="1"/>
      <c r="B783" s="1"/>
      <c r="C783" s="1"/>
      <c r="D783" s="1"/>
    </row>
    <row r="784" spans="1:4" x14ac:dyDescent="0.25">
      <c r="A784" s="1"/>
      <c r="B784" s="1"/>
      <c r="C784" s="1"/>
      <c r="D784" s="1"/>
    </row>
    <row r="785" spans="1:4" x14ac:dyDescent="0.25">
      <c r="A785" s="1"/>
      <c r="B785" s="1"/>
      <c r="C785" s="1"/>
      <c r="D785" s="1"/>
    </row>
    <row r="786" spans="1:4" x14ac:dyDescent="0.25">
      <c r="A786" s="1"/>
      <c r="B786" s="1"/>
      <c r="C786" s="1"/>
      <c r="D786" s="1"/>
    </row>
    <row r="787" spans="1:4" x14ac:dyDescent="0.25">
      <c r="A787" s="1"/>
      <c r="B787" s="1"/>
      <c r="C787" s="1"/>
      <c r="D787" s="1"/>
    </row>
    <row r="788" spans="1:4" x14ac:dyDescent="0.25">
      <c r="A788" s="1"/>
      <c r="B788" s="1"/>
      <c r="C788" s="1"/>
      <c r="D788" s="1"/>
    </row>
    <row r="789" spans="1:4" x14ac:dyDescent="0.25">
      <c r="A789" s="1"/>
      <c r="B789" s="1"/>
      <c r="C789" s="1"/>
      <c r="D789" s="1"/>
    </row>
    <row r="790" spans="1:4" x14ac:dyDescent="0.25">
      <c r="A790" s="1"/>
      <c r="B790" s="1"/>
      <c r="C790" s="1"/>
      <c r="D790" s="1"/>
    </row>
    <row r="791" spans="1:4" x14ac:dyDescent="0.25">
      <c r="A791" s="1"/>
      <c r="B791" s="1"/>
      <c r="C791" s="1"/>
      <c r="D791" s="1"/>
    </row>
    <row r="792" spans="1:4" x14ac:dyDescent="0.25">
      <c r="A792" s="1"/>
      <c r="B792" s="1"/>
      <c r="C792" s="1"/>
      <c r="D792" s="1"/>
    </row>
    <row r="793" spans="1:4" x14ac:dyDescent="0.25">
      <c r="A793" s="1"/>
      <c r="B793" s="1"/>
      <c r="C793" s="1"/>
      <c r="D793" s="1"/>
    </row>
    <row r="794" spans="1:4" x14ac:dyDescent="0.25">
      <c r="A794" s="1"/>
      <c r="B794" s="1"/>
      <c r="C794" s="1"/>
      <c r="D794" s="1"/>
    </row>
    <row r="795" spans="1:4" x14ac:dyDescent="0.25">
      <c r="A795" s="1"/>
      <c r="B795" s="1"/>
      <c r="C795" s="1"/>
      <c r="D795" s="1"/>
    </row>
    <row r="796" spans="1:4" x14ac:dyDescent="0.25">
      <c r="A796" s="1"/>
      <c r="B796" s="1"/>
      <c r="C796" s="1"/>
      <c r="D796" s="1"/>
    </row>
    <row r="797" spans="1:4" x14ac:dyDescent="0.25">
      <c r="A797" s="1"/>
      <c r="B797" s="1"/>
      <c r="C797" s="1"/>
      <c r="D797" s="1"/>
    </row>
    <row r="798" spans="1:4" x14ac:dyDescent="0.25">
      <c r="A798" s="1"/>
      <c r="B798" s="1"/>
      <c r="C798" s="1"/>
      <c r="D798" s="1"/>
    </row>
    <row r="799" spans="1:4" x14ac:dyDescent="0.25">
      <c r="A799" s="1"/>
      <c r="B799" s="1"/>
      <c r="C799" s="1"/>
      <c r="D799" s="1"/>
    </row>
    <row r="800" spans="1:4" x14ac:dyDescent="0.25">
      <c r="A800" s="1"/>
      <c r="B800" s="1"/>
      <c r="C800" s="1"/>
      <c r="D800" s="1"/>
    </row>
    <row r="801" spans="1:4" x14ac:dyDescent="0.25">
      <c r="A801" s="1"/>
      <c r="B801" s="1"/>
      <c r="C801" s="1"/>
      <c r="D801" s="1"/>
    </row>
    <row r="802" spans="1:4" x14ac:dyDescent="0.25">
      <c r="A802" s="1"/>
      <c r="B802" s="1"/>
      <c r="C802" s="1"/>
      <c r="D802" s="1"/>
    </row>
    <row r="803" spans="1:4" x14ac:dyDescent="0.25">
      <c r="A803" s="1"/>
      <c r="B803" s="1"/>
      <c r="C803" s="1"/>
      <c r="D803" s="1"/>
    </row>
    <row r="804" spans="1:4" x14ac:dyDescent="0.25">
      <c r="A804" s="1"/>
      <c r="B804" s="1"/>
      <c r="C804" s="1"/>
      <c r="D804" s="1"/>
    </row>
    <row r="805" spans="1:4" x14ac:dyDescent="0.25">
      <c r="A805" s="1"/>
      <c r="B805" s="1"/>
      <c r="C805" s="1"/>
      <c r="D805" s="1"/>
    </row>
    <row r="806" spans="1:4" x14ac:dyDescent="0.25">
      <c r="A806" s="1"/>
      <c r="B806" s="1"/>
      <c r="C806" s="1"/>
      <c r="D806" s="1"/>
    </row>
    <row r="807" spans="1:4" x14ac:dyDescent="0.25">
      <c r="A807" s="1"/>
      <c r="B807" s="1"/>
      <c r="C807" s="1"/>
      <c r="D807" s="1"/>
    </row>
    <row r="808" spans="1:4" x14ac:dyDescent="0.25">
      <c r="A808" s="1"/>
      <c r="B808" s="1"/>
      <c r="C808" s="1"/>
      <c r="D808" s="1"/>
    </row>
    <row r="809" spans="1:4" x14ac:dyDescent="0.25">
      <c r="A809" s="1"/>
      <c r="B809" s="1"/>
      <c r="C809" s="1"/>
      <c r="D809" s="1"/>
    </row>
    <row r="810" spans="1:4" x14ac:dyDescent="0.25">
      <c r="A810" s="1"/>
      <c r="B810" s="1"/>
      <c r="C810" s="1"/>
      <c r="D810" s="1"/>
    </row>
    <row r="811" spans="1:4" x14ac:dyDescent="0.25">
      <c r="A811" s="1"/>
      <c r="B811" s="1"/>
      <c r="C811" s="1"/>
      <c r="D811" s="1"/>
    </row>
    <row r="812" spans="1:4" x14ac:dyDescent="0.25">
      <c r="A812" s="1"/>
      <c r="B812" s="1"/>
      <c r="C812" s="1"/>
      <c r="D812" s="1"/>
    </row>
    <row r="813" spans="1:4" x14ac:dyDescent="0.25">
      <c r="A813" s="1"/>
      <c r="B813" s="1"/>
      <c r="C813" s="1"/>
      <c r="D813" s="1"/>
    </row>
    <row r="814" spans="1:4" x14ac:dyDescent="0.25">
      <c r="A814" s="1"/>
      <c r="B814" s="1"/>
      <c r="C814" s="1"/>
      <c r="D814" s="1"/>
    </row>
    <row r="815" spans="1:4" x14ac:dyDescent="0.25">
      <c r="A815" s="1"/>
      <c r="B815" s="1"/>
      <c r="C815" s="1"/>
      <c r="D815" s="1"/>
    </row>
    <row r="816" spans="1:4" x14ac:dyDescent="0.25">
      <c r="A816" s="1"/>
      <c r="B816" s="1"/>
      <c r="C816" s="1"/>
      <c r="D816" s="1"/>
    </row>
    <row r="817" spans="1:4" x14ac:dyDescent="0.25">
      <c r="A817" s="1"/>
      <c r="B817" s="1"/>
      <c r="C817" s="1"/>
      <c r="D817" s="1"/>
    </row>
    <row r="818" spans="1:4" x14ac:dyDescent="0.25">
      <c r="A818" s="1"/>
      <c r="B818" s="1"/>
      <c r="C818" s="1"/>
      <c r="D818" s="1"/>
    </row>
    <row r="819" spans="1:4" x14ac:dyDescent="0.25">
      <c r="A819" s="1"/>
      <c r="B819" s="1"/>
      <c r="C819" s="1"/>
      <c r="D819" s="1"/>
    </row>
    <row r="820" spans="1:4" x14ac:dyDescent="0.25">
      <c r="A820" s="1"/>
      <c r="B820" s="1"/>
      <c r="C820" s="1"/>
      <c r="D820" s="1"/>
    </row>
    <row r="821" spans="1:4" x14ac:dyDescent="0.25">
      <c r="A821" s="1"/>
      <c r="B821" s="1"/>
      <c r="C821" s="1"/>
      <c r="D821" s="1"/>
    </row>
    <row r="822" spans="1:4" x14ac:dyDescent="0.25">
      <c r="A822" s="1"/>
      <c r="B822" s="1"/>
      <c r="C822" s="1"/>
      <c r="D822" s="1"/>
    </row>
    <row r="823" spans="1:4" x14ac:dyDescent="0.25">
      <c r="A823" s="1"/>
      <c r="B823" s="1"/>
      <c r="C823" s="1"/>
      <c r="D823" s="1"/>
    </row>
    <row r="824" spans="1:4" x14ac:dyDescent="0.25">
      <c r="A824" s="1"/>
      <c r="B824" s="1"/>
      <c r="C824" s="1"/>
      <c r="D824" s="1"/>
    </row>
    <row r="825" spans="1:4" x14ac:dyDescent="0.25">
      <c r="A825" s="1"/>
      <c r="B825" s="1"/>
      <c r="C825" s="1"/>
      <c r="D825" s="1"/>
    </row>
    <row r="826" spans="1:4" x14ac:dyDescent="0.25">
      <c r="A826" s="1"/>
      <c r="B826" s="1"/>
      <c r="C826" s="1"/>
      <c r="D826" s="1"/>
    </row>
    <row r="827" spans="1:4" x14ac:dyDescent="0.25">
      <c r="A827" s="1"/>
      <c r="B827" s="1"/>
      <c r="C827" s="1"/>
      <c r="D827" s="1"/>
    </row>
    <row r="828" spans="1:4" x14ac:dyDescent="0.25">
      <c r="A828" s="1"/>
      <c r="B828" s="1"/>
      <c r="C828" s="1"/>
      <c r="D828" s="1"/>
    </row>
    <row r="829" spans="1:4" x14ac:dyDescent="0.25">
      <c r="A829" s="1"/>
      <c r="B829" s="1"/>
      <c r="C829" s="1"/>
      <c r="D829" s="1"/>
    </row>
    <row r="830" spans="1:4" x14ac:dyDescent="0.25">
      <c r="A830" s="1"/>
      <c r="B830" s="1"/>
      <c r="C830" s="1"/>
      <c r="D830" s="1"/>
    </row>
    <row r="831" spans="1:4" x14ac:dyDescent="0.25">
      <c r="A831" s="1"/>
      <c r="B831" s="1"/>
      <c r="C831" s="1"/>
      <c r="D831" s="1"/>
    </row>
    <row r="832" spans="1:4" x14ac:dyDescent="0.25">
      <c r="A832" s="1"/>
      <c r="B832" s="1"/>
      <c r="C832" s="1"/>
      <c r="D832" s="1"/>
    </row>
    <row r="833" spans="1:4" x14ac:dyDescent="0.25">
      <c r="A833" s="1"/>
      <c r="B833" s="1"/>
      <c r="C833" s="1"/>
      <c r="D833" s="1"/>
    </row>
    <row r="834" spans="1:4" x14ac:dyDescent="0.25">
      <c r="A834" s="1"/>
      <c r="B834" s="1"/>
      <c r="C834" s="1"/>
      <c r="D834" s="1"/>
    </row>
    <row r="835" spans="1:4" x14ac:dyDescent="0.25">
      <c r="A835" s="1"/>
      <c r="B835" s="1"/>
      <c r="C835" s="1"/>
      <c r="D835" s="1"/>
    </row>
    <row r="836" spans="1:4" x14ac:dyDescent="0.25">
      <c r="A836" s="1"/>
      <c r="B836" s="1"/>
      <c r="C836" s="1"/>
      <c r="D836" s="1"/>
    </row>
    <row r="837" spans="1:4" x14ac:dyDescent="0.25">
      <c r="A837" s="1"/>
      <c r="B837" s="1"/>
      <c r="C837" s="1"/>
      <c r="D837" s="1"/>
    </row>
    <row r="838" spans="1:4" x14ac:dyDescent="0.25">
      <c r="A838" s="1"/>
      <c r="B838" s="1"/>
      <c r="C838" s="1"/>
      <c r="D838" s="1"/>
    </row>
    <row r="839" spans="1:4" x14ac:dyDescent="0.25">
      <c r="A839" s="1"/>
      <c r="B839" s="1"/>
      <c r="C839" s="1"/>
      <c r="D839" s="1"/>
    </row>
    <row r="840" spans="1:4" x14ac:dyDescent="0.25">
      <c r="A840" s="1"/>
      <c r="B840" s="1"/>
      <c r="C840" s="1"/>
      <c r="D840" s="1"/>
    </row>
    <row r="841" spans="1:4" x14ac:dyDescent="0.25">
      <c r="A841" s="1"/>
      <c r="B841" s="1"/>
      <c r="C841" s="1"/>
      <c r="D841" s="1"/>
    </row>
    <row r="842" spans="1:4" x14ac:dyDescent="0.25">
      <c r="A842" s="1"/>
      <c r="B842" s="1"/>
      <c r="C842" s="1"/>
      <c r="D842" s="1"/>
    </row>
    <row r="843" spans="1:4" x14ac:dyDescent="0.25">
      <c r="A843" s="1"/>
      <c r="B843" s="1"/>
      <c r="C843" s="1"/>
      <c r="D843" s="1"/>
    </row>
    <row r="844" spans="1:4" x14ac:dyDescent="0.25">
      <c r="A844" s="1"/>
      <c r="B844" s="1"/>
      <c r="C844" s="1"/>
      <c r="D844" s="1"/>
    </row>
    <row r="845" spans="1:4" x14ac:dyDescent="0.25">
      <c r="A845" s="1"/>
      <c r="B845" s="1"/>
      <c r="C845" s="1"/>
      <c r="D845" s="1"/>
    </row>
    <row r="846" spans="1:4" x14ac:dyDescent="0.25">
      <c r="A846" s="1"/>
      <c r="B846" s="1"/>
      <c r="C846" s="1"/>
      <c r="D846" s="1"/>
    </row>
    <row r="847" spans="1:4" x14ac:dyDescent="0.25">
      <c r="A847" s="1"/>
      <c r="B847" s="1"/>
      <c r="C847" s="1"/>
      <c r="D847" s="1"/>
    </row>
    <row r="848" spans="1:4" x14ac:dyDescent="0.25">
      <c r="A848" s="1"/>
      <c r="B848" s="1"/>
      <c r="C848" s="1"/>
      <c r="D848" s="1"/>
    </row>
    <row r="849" spans="1:4" x14ac:dyDescent="0.25">
      <c r="A849" s="1"/>
      <c r="B849" s="1"/>
      <c r="C849" s="1"/>
      <c r="D849" s="1"/>
    </row>
    <row r="850" spans="1:4" x14ac:dyDescent="0.25">
      <c r="A850" s="1"/>
      <c r="B850" s="1"/>
      <c r="C850" s="1"/>
      <c r="D850" s="1"/>
    </row>
    <row r="851" spans="1:4" x14ac:dyDescent="0.25">
      <c r="A851" s="1"/>
      <c r="B851" s="1"/>
      <c r="C851" s="1"/>
      <c r="D851" s="1"/>
    </row>
    <row r="852" spans="1:4" x14ac:dyDescent="0.25">
      <c r="A852" s="1"/>
      <c r="B852" s="1"/>
      <c r="C852" s="1"/>
      <c r="D852" s="1"/>
    </row>
    <row r="853" spans="1:4" x14ac:dyDescent="0.25">
      <c r="A853" s="1"/>
      <c r="B853" s="1"/>
      <c r="C853" s="1"/>
      <c r="D853" s="1"/>
    </row>
    <row r="854" spans="1:4" x14ac:dyDescent="0.25">
      <c r="A854" s="1"/>
      <c r="B854" s="1"/>
      <c r="C854" s="1"/>
      <c r="D854" s="1"/>
    </row>
    <row r="855" spans="1:4" x14ac:dyDescent="0.25">
      <c r="A855" s="1"/>
      <c r="B855" s="1"/>
      <c r="C855" s="1"/>
      <c r="D855" s="1"/>
    </row>
    <row r="856" spans="1:4" x14ac:dyDescent="0.25">
      <c r="A856" s="1"/>
      <c r="B856" s="1"/>
      <c r="C856" s="1"/>
      <c r="D856" s="1"/>
    </row>
    <row r="857" spans="1:4" x14ac:dyDescent="0.25">
      <c r="A857" s="1"/>
      <c r="B857" s="1"/>
      <c r="C857" s="1"/>
      <c r="D857" s="1"/>
    </row>
    <row r="858" spans="1:4" x14ac:dyDescent="0.25">
      <c r="A858" s="1"/>
      <c r="B858" s="1"/>
      <c r="C858" s="1"/>
      <c r="D858" s="1"/>
    </row>
    <row r="859" spans="1:4" x14ac:dyDescent="0.25">
      <c r="A859" s="1"/>
      <c r="B859" s="1"/>
      <c r="C859" s="1"/>
      <c r="D859" s="1"/>
    </row>
    <row r="860" spans="1:4" x14ac:dyDescent="0.25">
      <c r="A860" s="1"/>
      <c r="B860" s="1"/>
      <c r="C860" s="1"/>
      <c r="D860" s="1"/>
    </row>
    <row r="861" spans="1:4" x14ac:dyDescent="0.25">
      <c r="A861" s="1"/>
      <c r="B861" s="1"/>
      <c r="C861" s="1"/>
      <c r="D861" s="1"/>
    </row>
    <row r="862" spans="1:4" x14ac:dyDescent="0.25">
      <c r="A862" s="1"/>
      <c r="B862" s="1"/>
      <c r="C862" s="1"/>
      <c r="D862" s="1"/>
    </row>
    <row r="863" spans="1:4" x14ac:dyDescent="0.25">
      <c r="A863" s="1"/>
      <c r="B863" s="1"/>
      <c r="C863" s="1"/>
      <c r="D863" s="1"/>
    </row>
    <row r="864" spans="1:4" x14ac:dyDescent="0.25">
      <c r="A864" s="1"/>
      <c r="B864" s="1"/>
      <c r="C864" s="1"/>
      <c r="D864" s="1"/>
    </row>
    <row r="865" spans="1:4" x14ac:dyDescent="0.25">
      <c r="A865" s="1"/>
      <c r="B865" s="1"/>
      <c r="C865" s="1"/>
      <c r="D865" s="1"/>
    </row>
    <row r="866" spans="1:4" x14ac:dyDescent="0.25">
      <c r="A866" s="1"/>
      <c r="B866" s="1"/>
      <c r="C866" s="1"/>
      <c r="D866" s="1"/>
    </row>
    <row r="867" spans="1:4" x14ac:dyDescent="0.25">
      <c r="A867" s="1"/>
      <c r="B867" s="1"/>
      <c r="C867" s="1"/>
      <c r="D867" s="1"/>
    </row>
    <row r="868" spans="1:4" x14ac:dyDescent="0.25">
      <c r="A868" s="1"/>
      <c r="B868" s="1"/>
      <c r="C868" s="1"/>
      <c r="D868" s="1"/>
    </row>
    <row r="869" spans="1:4" x14ac:dyDescent="0.25">
      <c r="A869" s="1"/>
      <c r="B869" s="1"/>
      <c r="C869" s="1"/>
      <c r="D869" s="1"/>
    </row>
    <row r="870" spans="1:4" x14ac:dyDescent="0.25">
      <c r="A870" s="1"/>
      <c r="B870" s="1"/>
      <c r="C870" s="1"/>
      <c r="D870" s="1"/>
    </row>
    <row r="871" spans="1:4" x14ac:dyDescent="0.25">
      <c r="A871" s="1"/>
      <c r="B871" s="1"/>
      <c r="C871" s="1"/>
      <c r="D871" s="1"/>
    </row>
    <row r="872" spans="1:4" x14ac:dyDescent="0.25">
      <c r="A872" s="1"/>
      <c r="B872" s="1"/>
      <c r="C872" s="1"/>
      <c r="D872" s="1"/>
    </row>
    <row r="873" spans="1:4" x14ac:dyDescent="0.25">
      <c r="A873" s="1"/>
      <c r="B873" s="1"/>
      <c r="C873" s="1"/>
      <c r="D873" s="1"/>
    </row>
    <row r="874" spans="1:4" x14ac:dyDescent="0.25">
      <c r="A874" s="1"/>
      <c r="B874" s="1"/>
      <c r="C874" s="1"/>
      <c r="D874" s="1"/>
    </row>
    <row r="875" spans="1:4" x14ac:dyDescent="0.25">
      <c r="A875" s="1"/>
      <c r="B875" s="1"/>
      <c r="C875" s="1"/>
      <c r="D875" s="1"/>
    </row>
    <row r="876" spans="1:4" x14ac:dyDescent="0.25">
      <c r="A876" s="1"/>
      <c r="B876" s="1"/>
      <c r="C876" s="1"/>
      <c r="D876" s="1"/>
    </row>
    <row r="877" spans="1:4" x14ac:dyDescent="0.25">
      <c r="A877" s="1"/>
      <c r="B877" s="1"/>
      <c r="C877" s="1"/>
      <c r="D877" s="1"/>
    </row>
    <row r="878" spans="1:4" x14ac:dyDescent="0.25">
      <c r="A878" s="1"/>
      <c r="B878" s="1"/>
      <c r="C878" s="1"/>
      <c r="D878" s="1"/>
    </row>
    <row r="879" spans="1:4" x14ac:dyDescent="0.25">
      <c r="A879" s="1"/>
      <c r="B879" s="1"/>
      <c r="C879" s="1"/>
      <c r="D879" s="1"/>
    </row>
    <row r="880" spans="1:4" x14ac:dyDescent="0.25">
      <c r="A880" s="1"/>
      <c r="B880" s="1"/>
      <c r="C880" s="1"/>
      <c r="D880" s="1"/>
    </row>
    <row r="881" spans="1:4" x14ac:dyDescent="0.25">
      <c r="A881" s="1"/>
      <c r="B881" s="1"/>
      <c r="C881" s="1"/>
      <c r="D881" s="1"/>
    </row>
    <row r="882" spans="1:4" x14ac:dyDescent="0.25">
      <c r="A882" s="1"/>
      <c r="B882" s="1"/>
      <c r="C882" s="1"/>
      <c r="D882" s="1"/>
    </row>
    <row r="883" spans="1:4" x14ac:dyDescent="0.25">
      <c r="A883" s="1"/>
      <c r="B883" s="1"/>
      <c r="C883" s="1"/>
      <c r="D883" s="1"/>
    </row>
    <row r="884" spans="1:4" x14ac:dyDescent="0.25">
      <c r="A884" s="1"/>
      <c r="B884" s="1"/>
      <c r="C884" s="1"/>
      <c r="D884" s="1"/>
    </row>
    <row r="885" spans="1:4" x14ac:dyDescent="0.25">
      <c r="A885" s="1"/>
      <c r="B885" s="1"/>
      <c r="C885" s="1"/>
      <c r="D885" s="1"/>
    </row>
    <row r="886" spans="1:4" x14ac:dyDescent="0.25">
      <c r="A886" s="1"/>
      <c r="B886" s="1"/>
      <c r="C886" s="1"/>
      <c r="D886" s="1"/>
    </row>
    <row r="887" spans="1:4" x14ac:dyDescent="0.25">
      <c r="A887" s="1"/>
      <c r="B887" s="1"/>
      <c r="C887" s="1"/>
      <c r="D887" s="1"/>
    </row>
    <row r="888" spans="1:4" x14ac:dyDescent="0.25">
      <c r="A888" s="1"/>
      <c r="B888" s="1"/>
      <c r="C888" s="1"/>
      <c r="D888" s="1"/>
    </row>
    <row r="889" spans="1:4" x14ac:dyDescent="0.25">
      <c r="A889" s="1"/>
      <c r="B889" s="1"/>
      <c r="C889" s="1"/>
      <c r="D889" s="1"/>
    </row>
    <row r="890" spans="1:4" x14ac:dyDescent="0.25">
      <c r="A890" s="1"/>
      <c r="B890" s="1"/>
      <c r="C890" s="1"/>
      <c r="D890" s="1"/>
    </row>
    <row r="891" spans="1:4" x14ac:dyDescent="0.25">
      <c r="A891" s="1"/>
      <c r="B891" s="1"/>
      <c r="C891" s="1"/>
      <c r="D891" s="1"/>
    </row>
    <row r="892" spans="1:4" x14ac:dyDescent="0.25">
      <c r="A892" s="1"/>
      <c r="B892" s="1"/>
      <c r="C892" s="1"/>
      <c r="D892" s="1"/>
    </row>
    <row r="893" spans="1:4" x14ac:dyDescent="0.25">
      <c r="A893" s="1"/>
      <c r="B893" s="1"/>
      <c r="C893" s="1"/>
      <c r="D893" s="1"/>
    </row>
    <row r="894" spans="1:4" x14ac:dyDescent="0.25">
      <c r="A894" s="1"/>
      <c r="B894" s="1"/>
      <c r="C894" s="1"/>
      <c r="D894" s="1"/>
    </row>
    <row r="895" spans="1:4" x14ac:dyDescent="0.25">
      <c r="A895" s="1"/>
      <c r="B895" s="1"/>
      <c r="C895" s="1"/>
      <c r="D895" s="1"/>
    </row>
    <row r="896" spans="1:4" x14ac:dyDescent="0.25">
      <c r="A896" s="1"/>
      <c r="B896" s="1"/>
      <c r="C896" s="1"/>
      <c r="D896" s="1"/>
    </row>
    <row r="897" spans="1:4" x14ac:dyDescent="0.25">
      <c r="A897" s="1"/>
      <c r="B897" s="1"/>
      <c r="C897" s="1"/>
      <c r="D897" s="1"/>
    </row>
    <row r="898" spans="1:4" x14ac:dyDescent="0.25">
      <c r="A898" s="1"/>
      <c r="B898" s="1"/>
      <c r="C898" s="1"/>
      <c r="D898" s="1"/>
    </row>
    <row r="899" spans="1:4" x14ac:dyDescent="0.25">
      <c r="A899" s="1"/>
      <c r="B899" s="1"/>
      <c r="C899" s="1"/>
      <c r="D899" s="1"/>
    </row>
    <row r="900" spans="1:4" x14ac:dyDescent="0.25">
      <c r="A900" s="1"/>
      <c r="B900" s="1"/>
      <c r="C900" s="1"/>
      <c r="D900" s="1"/>
    </row>
    <row r="901" spans="1:4" x14ac:dyDescent="0.25">
      <c r="A901" s="1"/>
      <c r="B901" s="1"/>
      <c r="C901" s="1"/>
      <c r="D901" s="1"/>
    </row>
    <row r="902" spans="1:4" x14ac:dyDescent="0.25">
      <c r="A902" s="1"/>
      <c r="B902" s="1"/>
      <c r="C902" s="1"/>
      <c r="D902" s="1"/>
    </row>
    <row r="903" spans="1:4" x14ac:dyDescent="0.25">
      <c r="A903" s="1"/>
      <c r="B903" s="1"/>
      <c r="C903" s="1"/>
      <c r="D903" s="1"/>
    </row>
    <row r="904" spans="1:4" x14ac:dyDescent="0.25">
      <c r="A904" s="1"/>
      <c r="B904" s="1"/>
      <c r="C904" s="1"/>
      <c r="D904" s="1"/>
    </row>
    <row r="905" spans="1:4" x14ac:dyDescent="0.25">
      <c r="A905" s="1"/>
      <c r="B905" s="1"/>
      <c r="C905" s="1"/>
      <c r="D905" s="1"/>
    </row>
    <row r="906" spans="1:4" x14ac:dyDescent="0.25">
      <c r="A906" s="1"/>
      <c r="B906" s="1"/>
      <c r="C906" s="1"/>
      <c r="D906" s="1"/>
    </row>
    <row r="907" spans="1:4" x14ac:dyDescent="0.25">
      <c r="A907" s="1"/>
      <c r="B907" s="1"/>
      <c r="C907" s="1"/>
      <c r="D907" s="1"/>
    </row>
    <row r="908" spans="1:4" x14ac:dyDescent="0.25">
      <c r="A908" s="1"/>
      <c r="B908" s="1"/>
      <c r="C908" s="1"/>
      <c r="D908" s="1"/>
    </row>
    <row r="909" spans="1:4" x14ac:dyDescent="0.25">
      <c r="A909" s="1"/>
      <c r="B909" s="1"/>
      <c r="C909" s="1"/>
      <c r="D909" s="1"/>
    </row>
    <row r="910" spans="1:4" x14ac:dyDescent="0.25">
      <c r="A910" s="1"/>
      <c r="B910" s="1"/>
      <c r="C910" s="1"/>
      <c r="D910" s="1"/>
    </row>
    <row r="911" spans="1:4" x14ac:dyDescent="0.25">
      <c r="A911" s="1"/>
      <c r="B911" s="1"/>
      <c r="C911" s="1"/>
      <c r="D911" s="1"/>
    </row>
    <row r="912" spans="1:4" x14ac:dyDescent="0.25">
      <c r="A912" s="1"/>
      <c r="B912" s="1"/>
      <c r="C912" s="1"/>
      <c r="D912" s="1"/>
    </row>
    <row r="913" spans="1:4" x14ac:dyDescent="0.25">
      <c r="A913" s="1"/>
      <c r="B913" s="1"/>
      <c r="C913" s="1"/>
      <c r="D913" s="1"/>
    </row>
    <row r="914" spans="1:4" x14ac:dyDescent="0.25">
      <c r="A914" s="1"/>
      <c r="B914" s="1"/>
      <c r="C914" s="1"/>
      <c r="D914" s="1"/>
    </row>
    <row r="915" spans="1:4" x14ac:dyDescent="0.25">
      <c r="A915" s="1"/>
      <c r="B915" s="1"/>
      <c r="C915" s="1"/>
      <c r="D915" s="1"/>
    </row>
    <row r="916" spans="1:4" x14ac:dyDescent="0.25">
      <c r="A916" s="1"/>
      <c r="B916" s="1"/>
      <c r="C916" s="1"/>
      <c r="D916" s="1"/>
    </row>
    <row r="917" spans="1:4" x14ac:dyDescent="0.25">
      <c r="A917" s="1"/>
      <c r="B917" s="1"/>
      <c r="C917" s="1"/>
      <c r="D917" s="1"/>
    </row>
    <row r="918" spans="1:4" x14ac:dyDescent="0.25">
      <c r="A918" s="1"/>
      <c r="B918" s="1"/>
      <c r="C918" s="1"/>
      <c r="D918" s="1"/>
    </row>
    <row r="919" spans="1:4" x14ac:dyDescent="0.25">
      <c r="A919" s="1"/>
      <c r="B919" s="1"/>
      <c r="C919" s="1"/>
      <c r="D919" s="1"/>
    </row>
    <row r="920" spans="1:4" x14ac:dyDescent="0.25">
      <c r="A920" s="1"/>
      <c r="B920" s="1"/>
      <c r="C920" s="1"/>
      <c r="D920" s="1"/>
    </row>
    <row r="921" spans="1:4" x14ac:dyDescent="0.25">
      <c r="A921" s="1"/>
      <c r="B921" s="1"/>
      <c r="C921" s="1"/>
      <c r="D921" s="1"/>
    </row>
    <row r="922" spans="1:4" x14ac:dyDescent="0.25">
      <c r="A922" s="1"/>
      <c r="B922" s="1"/>
      <c r="C922" s="1"/>
      <c r="D922" s="1"/>
    </row>
    <row r="923" spans="1:4" x14ac:dyDescent="0.25">
      <c r="A923" s="1"/>
      <c r="B923" s="1"/>
      <c r="C923" s="1"/>
      <c r="D923" s="1"/>
    </row>
    <row r="924" spans="1:4" x14ac:dyDescent="0.25">
      <c r="A924" s="1"/>
      <c r="B924" s="1"/>
      <c r="C924" s="1"/>
      <c r="D924" s="1"/>
    </row>
    <row r="925" spans="1:4" x14ac:dyDescent="0.25">
      <c r="A925" s="1"/>
      <c r="B925" s="1"/>
      <c r="C925" s="1"/>
      <c r="D925" s="1"/>
    </row>
    <row r="926" spans="1:4" x14ac:dyDescent="0.25">
      <c r="A926" s="1"/>
      <c r="B926" s="1"/>
      <c r="C926" s="1"/>
      <c r="D926" s="1"/>
    </row>
    <row r="927" spans="1:4" x14ac:dyDescent="0.25">
      <c r="A927" s="1"/>
      <c r="B927" s="1"/>
      <c r="C927" s="1"/>
      <c r="D927" s="1"/>
    </row>
    <row r="928" spans="1:4" x14ac:dyDescent="0.25">
      <c r="A928" s="1"/>
      <c r="B928" s="1"/>
      <c r="C928" s="1"/>
      <c r="D928" s="1"/>
    </row>
    <row r="929" spans="1:4" x14ac:dyDescent="0.25">
      <c r="A929" s="1"/>
      <c r="B929" s="1"/>
      <c r="C929" s="1"/>
      <c r="D929" s="1"/>
    </row>
    <row r="930" spans="1:4" x14ac:dyDescent="0.25">
      <c r="A930" s="1"/>
      <c r="B930" s="1"/>
      <c r="C930" s="1"/>
      <c r="D930" s="1"/>
    </row>
    <row r="931" spans="1:4" x14ac:dyDescent="0.25">
      <c r="A931" s="1"/>
      <c r="B931" s="1"/>
      <c r="C931" s="1"/>
      <c r="D931" s="1"/>
    </row>
    <row r="932" spans="1:4" x14ac:dyDescent="0.25">
      <c r="A932" s="1"/>
      <c r="B932" s="1"/>
      <c r="C932" s="1"/>
      <c r="D932" s="1"/>
    </row>
    <row r="933" spans="1:4" x14ac:dyDescent="0.25">
      <c r="A933" s="1"/>
      <c r="B933" s="1"/>
      <c r="C933" s="1"/>
      <c r="D933" s="1"/>
    </row>
    <row r="934" spans="1:4" x14ac:dyDescent="0.25">
      <c r="A934" s="1"/>
      <c r="B934" s="1"/>
      <c r="C934" s="1"/>
      <c r="D934" s="1"/>
    </row>
    <row r="935" spans="1:4" x14ac:dyDescent="0.25">
      <c r="A935" s="1"/>
      <c r="B935" s="1"/>
      <c r="C935" s="1"/>
      <c r="D935" s="1"/>
    </row>
    <row r="936" spans="1:4" x14ac:dyDescent="0.25">
      <c r="A936" s="1"/>
      <c r="B936" s="1"/>
      <c r="C936" s="1"/>
      <c r="D936" s="1"/>
    </row>
    <row r="937" spans="1:4" x14ac:dyDescent="0.25">
      <c r="A937" s="1"/>
      <c r="B937" s="1"/>
      <c r="C937" s="1"/>
      <c r="D937" s="1"/>
    </row>
    <row r="938" spans="1:4" x14ac:dyDescent="0.25">
      <c r="A938" s="1"/>
      <c r="B938" s="1"/>
      <c r="C938" s="1"/>
      <c r="D938" s="1"/>
    </row>
    <row r="939" spans="1:4" x14ac:dyDescent="0.25">
      <c r="A939" s="1"/>
      <c r="B939" s="1"/>
      <c r="C939" s="1"/>
      <c r="D939" s="1"/>
    </row>
    <row r="940" spans="1:4" x14ac:dyDescent="0.25">
      <c r="A940" s="1"/>
      <c r="B940" s="1"/>
      <c r="C940" s="1"/>
      <c r="D940" s="1"/>
    </row>
    <row r="941" spans="1:4" x14ac:dyDescent="0.25">
      <c r="A941" s="1"/>
      <c r="B941" s="1"/>
      <c r="C941" s="1"/>
      <c r="D941" s="1"/>
    </row>
    <row r="942" spans="1:4" x14ac:dyDescent="0.25">
      <c r="A942" s="1"/>
      <c r="B942" s="1"/>
      <c r="C942" s="1"/>
      <c r="D942" s="1"/>
    </row>
    <row r="943" spans="1:4" x14ac:dyDescent="0.25">
      <c r="A943" s="1"/>
      <c r="B943" s="1"/>
      <c r="C943" s="1"/>
      <c r="D943" s="1"/>
    </row>
    <row r="944" spans="1:4" x14ac:dyDescent="0.25">
      <c r="A944" s="1"/>
      <c r="B944" s="1"/>
      <c r="C944" s="1"/>
      <c r="D944" s="1"/>
    </row>
    <row r="945" spans="1:4" x14ac:dyDescent="0.25">
      <c r="A945" s="1"/>
      <c r="B945" s="1"/>
      <c r="C945" s="1"/>
      <c r="D945" s="1"/>
    </row>
    <row r="946" spans="1:4" x14ac:dyDescent="0.25">
      <c r="A946" s="1"/>
      <c r="B946" s="1"/>
      <c r="C946" s="1"/>
      <c r="D946" s="1"/>
    </row>
    <row r="947" spans="1:4" x14ac:dyDescent="0.25">
      <c r="A947" s="1"/>
      <c r="B947" s="1"/>
      <c r="C947" s="1"/>
      <c r="D947" s="1"/>
    </row>
    <row r="948" spans="1:4" x14ac:dyDescent="0.25">
      <c r="A948" s="1"/>
      <c r="B948" s="1"/>
      <c r="C948" s="1"/>
      <c r="D948" s="1"/>
    </row>
    <row r="949" spans="1:4" x14ac:dyDescent="0.25">
      <c r="A949" s="1"/>
      <c r="B949" s="1"/>
      <c r="C949" s="1"/>
      <c r="D949" s="1"/>
    </row>
    <row r="950" spans="1:4" x14ac:dyDescent="0.25">
      <c r="A950" s="1"/>
      <c r="B950" s="1"/>
      <c r="C950" s="1"/>
      <c r="D950" s="1"/>
    </row>
    <row r="951" spans="1:4" x14ac:dyDescent="0.25">
      <c r="A951" s="1"/>
      <c r="B951" s="1"/>
      <c r="C951" s="1"/>
      <c r="D951" s="1"/>
    </row>
    <row r="952" spans="1:4" x14ac:dyDescent="0.25">
      <c r="A952" s="1"/>
      <c r="B952" s="1"/>
      <c r="C952" s="1"/>
      <c r="D952" s="1"/>
    </row>
    <row r="953" spans="1:4" x14ac:dyDescent="0.25">
      <c r="A953" s="1"/>
      <c r="B953" s="1"/>
      <c r="C953" s="1"/>
      <c r="D953" s="1"/>
    </row>
    <row r="954" spans="1:4" x14ac:dyDescent="0.25">
      <c r="A954" s="1"/>
      <c r="B954" s="1"/>
      <c r="C954" s="1"/>
      <c r="D954" s="1"/>
    </row>
    <row r="955" spans="1:4" x14ac:dyDescent="0.25">
      <c r="A955" s="1"/>
      <c r="B955" s="1"/>
      <c r="C955" s="1"/>
      <c r="D955" s="1"/>
    </row>
    <row r="956" spans="1:4" x14ac:dyDescent="0.25">
      <c r="A956" s="1"/>
      <c r="B956" s="1"/>
      <c r="C956" s="1"/>
      <c r="D956" s="1"/>
    </row>
    <row r="957" spans="1:4" x14ac:dyDescent="0.25">
      <c r="A957" s="1"/>
      <c r="B957" s="1"/>
      <c r="C957" s="1"/>
      <c r="D957" s="1"/>
    </row>
    <row r="958" spans="1:4" x14ac:dyDescent="0.25">
      <c r="A958" s="1"/>
      <c r="B958" s="1"/>
      <c r="C958" s="1"/>
      <c r="D958" s="1"/>
    </row>
    <row r="959" spans="1:4" x14ac:dyDescent="0.25">
      <c r="A959" s="1"/>
      <c r="B959" s="1"/>
      <c r="C959" s="1"/>
      <c r="D959" s="1"/>
    </row>
    <row r="960" spans="1:4" x14ac:dyDescent="0.25">
      <c r="A960" s="1"/>
      <c r="B960" s="1"/>
      <c r="C960" s="1"/>
      <c r="D960" s="1"/>
    </row>
    <row r="961" spans="1:4" x14ac:dyDescent="0.25">
      <c r="A961" s="1"/>
      <c r="B961" s="1"/>
      <c r="C961" s="1"/>
      <c r="D961" s="1"/>
    </row>
    <row r="962" spans="1:4" x14ac:dyDescent="0.25">
      <c r="A962" s="1"/>
      <c r="B962" s="1"/>
      <c r="C962" s="1"/>
      <c r="D962" s="1"/>
    </row>
    <row r="963" spans="1:4" x14ac:dyDescent="0.25">
      <c r="A963" s="1"/>
      <c r="B963" s="1"/>
      <c r="C963" s="1"/>
      <c r="D963" s="1"/>
    </row>
    <row r="964" spans="1:4" x14ac:dyDescent="0.25">
      <c r="A964" s="1"/>
      <c r="B964" s="1"/>
      <c r="C964" s="1"/>
      <c r="D964" s="1"/>
    </row>
    <row r="965" spans="1:4" x14ac:dyDescent="0.25">
      <c r="A965" s="1"/>
      <c r="B965" s="1"/>
      <c r="C965" s="1"/>
      <c r="D965" s="1"/>
    </row>
    <row r="966" spans="1:4" x14ac:dyDescent="0.25">
      <c r="A966" s="1"/>
      <c r="B966" s="1"/>
      <c r="C966" s="1"/>
      <c r="D966" s="1"/>
    </row>
    <row r="967" spans="1:4" x14ac:dyDescent="0.25">
      <c r="A967" s="1"/>
      <c r="B967" s="1"/>
      <c r="C967" s="1"/>
      <c r="D967" s="1"/>
    </row>
    <row r="968" spans="1:4" x14ac:dyDescent="0.25">
      <c r="A968" s="1"/>
      <c r="B968" s="1"/>
      <c r="C968" s="1"/>
      <c r="D968" s="1"/>
    </row>
    <row r="969" spans="1:4" x14ac:dyDescent="0.25">
      <c r="A969" s="1"/>
      <c r="B969" s="1"/>
      <c r="C969" s="1"/>
      <c r="D969" s="1"/>
    </row>
    <row r="970" spans="1:4" x14ac:dyDescent="0.25">
      <c r="A970" s="1"/>
      <c r="B970" s="1"/>
      <c r="C970" s="1"/>
      <c r="D970" s="1"/>
    </row>
    <row r="971" spans="1:4" x14ac:dyDescent="0.25">
      <c r="A971" s="1"/>
      <c r="B971" s="1"/>
      <c r="C971" s="1"/>
      <c r="D971" s="1"/>
    </row>
    <row r="972" spans="1:4" x14ac:dyDescent="0.25">
      <c r="A972" s="1"/>
      <c r="B972" s="1"/>
      <c r="C972" s="1"/>
      <c r="D972" s="1"/>
    </row>
    <row r="973" spans="1:4" x14ac:dyDescent="0.25">
      <c r="A973" s="1"/>
      <c r="B973" s="1"/>
      <c r="C973" s="1"/>
      <c r="D973" s="1"/>
    </row>
    <row r="974" spans="1:4" x14ac:dyDescent="0.25">
      <c r="A974" s="1"/>
      <c r="B974" s="1"/>
      <c r="C974" s="1"/>
      <c r="D974" s="1"/>
    </row>
    <row r="975" spans="1:4" x14ac:dyDescent="0.25">
      <c r="A975" s="1"/>
      <c r="B975" s="1"/>
      <c r="C975" s="1"/>
      <c r="D975" s="1"/>
    </row>
    <row r="976" spans="1:4" x14ac:dyDescent="0.25">
      <c r="A976" s="1"/>
      <c r="B976" s="1"/>
      <c r="C976" s="1"/>
      <c r="D976" s="1"/>
    </row>
    <row r="977" spans="1:4" x14ac:dyDescent="0.25">
      <c r="A977" s="1"/>
      <c r="B977" s="1"/>
      <c r="C977" s="1"/>
      <c r="D977" s="1"/>
    </row>
    <row r="978" spans="1:4" x14ac:dyDescent="0.25">
      <c r="A978" s="1"/>
      <c r="B978" s="1"/>
      <c r="C978" s="1"/>
      <c r="D978" s="1"/>
    </row>
    <row r="979" spans="1:4" x14ac:dyDescent="0.25">
      <c r="A979" s="1"/>
      <c r="B979" s="1"/>
      <c r="C979" s="1"/>
      <c r="D979" s="1"/>
    </row>
    <row r="980" spans="1:4" x14ac:dyDescent="0.25">
      <c r="A980" s="1"/>
      <c r="B980" s="1"/>
      <c r="C980" s="1"/>
      <c r="D980" s="1"/>
    </row>
    <row r="981" spans="1:4" x14ac:dyDescent="0.25">
      <c r="A981" s="1"/>
      <c r="B981" s="1"/>
      <c r="C981" s="1"/>
      <c r="D981" s="1"/>
    </row>
    <row r="982" spans="1:4" x14ac:dyDescent="0.25">
      <c r="A982" s="1"/>
      <c r="B982" s="1"/>
      <c r="C982" s="1"/>
      <c r="D982" s="1"/>
    </row>
    <row r="983" spans="1:4" x14ac:dyDescent="0.25">
      <c r="A983" s="1"/>
      <c r="B983" s="1"/>
      <c r="C983" s="1"/>
      <c r="D983" s="1"/>
    </row>
    <row r="984" spans="1:4" x14ac:dyDescent="0.25">
      <c r="A984" s="1"/>
      <c r="B984" s="1"/>
      <c r="C984" s="1"/>
      <c r="D984" s="1"/>
    </row>
    <row r="985" spans="1:4" x14ac:dyDescent="0.25">
      <c r="A985" s="1"/>
      <c r="B985" s="1"/>
      <c r="C985" s="1"/>
      <c r="D985" s="1"/>
    </row>
    <row r="986" spans="1:4" x14ac:dyDescent="0.25">
      <c r="A986" s="1"/>
      <c r="B986" s="1"/>
      <c r="C986" s="1"/>
      <c r="D986" s="1"/>
    </row>
    <row r="987" spans="1:4" x14ac:dyDescent="0.25">
      <c r="A987" s="1"/>
      <c r="B987" s="1"/>
      <c r="C987" s="1"/>
      <c r="D987" s="1"/>
    </row>
    <row r="988" spans="1:4" x14ac:dyDescent="0.25">
      <c r="A988" s="1"/>
      <c r="B988" s="1"/>
      <c r="C988" s="1"/>
      <c r="D988" s="1"/>
    </row>
    <row r="989" spans="1:4" x14ac:dyDescent="0.25">
      <c r="A989" s="1"/>
      <c r="B989" s="1"/>
      <c r="C989" s="1"/>
      <c r="D989" s="1"/>
    </row>
    <row r="990" spans="1:4" x14ac:dyDescent="0.25">
      <c r="A990" s="1"/>
      <c r="B990" s="1"/>
      <c r="C990" s="1"/>
      <c r="D990" s="1"/>
    </row>
    <row r="991" spans="1:4" x14ac:dyDescent="0.25">
      <c r="A991" s="1"/>
      <c r="B991" s="1"/>
      <c r="C991" s="1"/>
      <c r="D991" s="1"/>
    </row>
    <row r="992" spans="1:4" x14ac:dyDescent="0.25">
      <c r="A992" s="1"/>
      <c r="B992" s="1"/>
      <c r="C992" s="1"/>
      <c r="D992" s="1"/>
    </row>
    <row r="993" spans="1:4" x14ac:dyDescent="0.25">
      <c r="A993" s="1"/>
      <c r="B993" s="1"/>
      <c r="C993" s="1"/>
      <c r="D993" s="1"/>
    </row>
    <row r="994" spans="1:4" x14ac:dyDescent="0.25">
      <c r="A994" s="1"/>
      <c r="B994" s="1"/>
      <c r="C994" s="1"/>
      <c r="D994" s="1"/>
    </row>
    <row r="995" spans="1:4" x14ac:dyDescent="0.25">
      <c r="A995" s="1"/>
      <c r="B995" s="1"/>
      <c r="C995" s="1"/>
      <c r="D995" s="1"/>
    </row>
    <row r="996" spans="1:4" x14ac:dyDescent="0.25">
      <c r="A996" s="1"/>
      <c r="B996" s="1"/>
      <c r="C996" s="1"/>
      <c r="D996" s="1"/>
    </row>
    <row r="997" spans="1:4" x14ac:dyDescent="0.25">
      <c r="A997" s="1"/>
      <c r="B997" s="1"/>
      <c r="C997" s="1"/>
      <c r="D997" s="1"/>
    </row>
    <row r="998" spans="1:4" x14ac:dyDescent="0.25">
      <c r="A998" s="1"/>
      <c r="B998" s="1"/>
      <c r="C998" s="1"/>
      <c r="D998" s="1"/>
    </row>
    <row r="999" spans="1:4" x14ac:dyDescent="0.25">
      <c r="A999" s="1"/>
      <c r="B999" s="1"/>
      <c r="C999" s="1"/>
      <c r="D999" s="1"/>
    </row>
    <row r="1000" spans="1:4" x14ac:dyDescent="0.25">
      <c r="A1000" s="1"/>
      <c r="B1000" s="1"/>
      <c r="C1000" s="1"/>
      <c r="D1000" s="1"/>
    </row>
    <row r="1001" spans="1:4" x14ac:dyDescent="0.25">
      <c r="A1001" s="1"/>
      <c r="B1001" s="1"/>
      <c r="C1001" s="1"/>
      <c r="D1001" s="1"/>
    </row>
    <row r="1002" spans="1:4" x14ac:dyDescent="0.25">
      <c r="A1002" s="1"/>
      <c r="B1002" s="1"/>
      <c r="C1002" s="1"/>
      <c r="D1002" s="1"/>
    </row>
    <row r="1003" spans="1:4" x14ac:dyDescent="0.25">
      <c r="A1003" s="1"/>
      <c r="B1003" s="1"/>
      <c r="C1003" s="1"/>
      <c r="D1003" s="1"/>
    </row>
    <row r="1004" spans="1:4" x14ac:dyDescent="0.25">
      <c r="A1004" s="1"/>
      <c r="B1004" s="1"/>
      <c r="C1004" s="1"/>
      <c r="D1004" s="1"/>
    </row>
    <row r="1005" spans="1:4" x14ac:dyDescent="0.25">
      <c r="A1005" s="1"/>
      <c r="B1005" s="1"/>
      <c r="C1005" s="1"/>
      <c r="D1005" s="1"/>
    </row>
    <row r="1006" spans="1:4" x14ac:dyDescent="0.25">
      <c r="A1006" s="1"/>
      <c r="B1006" s="1"/>
      <c r="C1006" s="1"/>
      <c r="D1006" s="1"/>
    </row>
    <row r="1007" spans="1:4" x14ac:dyDescent="0.25">
      <c r="A1007" s="1"/>
      <c r="B1007" s="1"/>
      <c r="C1007" s="1"/>
      <c r="D1007" s="1"/>
    </row>
    <row r="1008" spans="1:4" x14ac:dyDescent="0.25">
      <c r="A1008" s="1"/>
      <c r="B1008" s="1"/>
      <c r="C1008" s="1"/>
      <c r="D1008" s="1"/>
    </row>
    <row r="1009" spans="1:4" x14ac:dyDescent="0.25">
      <c r="A1009" s="1"/>
      <c r="B1009" s="1"/>
      <c r="C1009" s="1"/>
      <c r="D1009" s="1"/>
    </row>
    <row r="1010" spans="1:4" x14ac:dyDescent="0.25">
      <c r="A1010" s="1"/>
      <c r="B1010" s="1"/>
      <c r="C1010" s="1"/>
      <c r="D1010" s="1"/>
    </row>
    <row r="1011" spans="1:4" x14ac:dyDescent="0.25">
      <c r="A1011" s="1"/>
      <c r="B1011" s="1"/>
      <c r="C1011" s="1"/>
      <c r="D1011" s="1"/>
    </row>
    <row r="1012" spans="1:4" x14ac:dyDescent="0.25">
      <c r="A1012" s="1"/>
      <c r="B1012" s="1"/>
      <c r="C1012" s="1"/>
      <c r="D1012" s="1"/>
    </row>
    <row r="1013" spans="1:4" x14ac:dyDescent="0.25">
      <c r="A1013" s="1"/>
      <c r="B1013" s="1"/>
      <c r="C1013" s="1"/>
      <c r="D1013" s="1"/>
    </row>
    <row r="1014" spans="1:4" x14ac:dyDescent="0.25">
      <c r="A1014" s="1"/>
      <c r="B1014" s="1"/>
      <c r="C1014" s="1"/>
      <c r="D1014" s="1"/>
    </row>
    <row r="1015" spans="1:4" x14ac:dyDescent="0.25">
      <c r="A1015" s="1"/>
      <c r="B1015" s="1"/>
      <c r="C1015" s="1"/>
      <c r="D1015" s="1"/>
    </row>
    <row r="1016" spans="1:4" x14ac:dyDescent="0.25">
      <c r="A1016" s="1"/>
      <c r="B1016" s="1"/>
      <c r="C1016" s="1"/>
      <c r="D1016" s="1"/>
    </row>
    <row r="1017" spans="1:4" x14ac:dyDescent="0.25">
      <c r="A1017" s="1"/>
      <c r="B1017" s="1"/>
      <c r="C1017" s="1"/>
      <c r="D1017" s="1"/>
    </row>
    <row r="1018" spans="1:4" x14ac:dyDescent="0.25">
      <c r="A1018" s="1"/>
      <c r="B1018" s="1"/>
      <c r="C1018" s="1"/>
      <c r="D1018" s="1"/>
    </row>
    <row r="1019" spans="1:4" x14ac:dyDescent="0.25">
      <c r="A1019" s="1"/>
      <c r="B1019" s="1"/>
      <c r="C1019" s="1"/>
      <c r="D1019" s="1"/>
    </row>
    <row r="1020" spans="1:4" x14ac:dyDescent="0.25">
      <c r="A1020" s="1"/>
      <c r="B1020" s="1"/>
      <c r="C1020" s="1"/>
      <c r="D1020" s="1"/>
    </row>
    <row r="1021" spans="1:4" x14ac:dyDescent="0.25">
      <c r="A1021" s="1"/>
      <c r="B1021" s="1"/>
      <c r="C1021" s="1"/>
      <c r="D1021" s="1"/>
    </row>
    <row r="1022" spans="1:4" x14ac:dyDescent="0.25">
      <c r="A1022" s="1"/>
      <c r="B1022" s="1"/>
      <c r="C1022" s="1"/>
      <c r="D1022" s="1"/>
    </row>
    <row r="1023" spans="1:4" x14ac:dyDescent="0.25">
      <c r="A1023" s="1"/>
      <c r="B1023" s="1"/>
      <c r="C1023" s="1"/>
      <c r="D1023" s="1"/>
    </row>
    <row r="1024" spans="1:4" x14ac:dyDescent="0.25">
      <c r="A1024" s="1"/>
      <c r="B1024" s="1"/>
      <c r="C1024" s="1"/>
      <c r="D1024" s="1"/>
    </row>
    <row r="1025" spans="1:4" x14ac:dyDescent="0.25">
      <c r="A1025" s="1"/>
      <c r="B1025" s="1"/>
      <c r="C1025" s="1"/>
      <c r="D1025" s="1"/>
    </row>
    <row r="1026" spans="1:4" x14ac:dyDescent="0.25">
      <c r="A1026" s="1"/>
      <c r="B1026" s="1"/>
      <c r="C1026" s="1"/>
      <c r="D1026" s="1"/>
    </row>
    <row r="1027" spans="1:4" x14ac:dyDescent="0.25">
      <c r="A1027" s="1"/>
      <c r="B1027" s="1"/>
      <c r="C1027" s="1"/>
      <c r="D1027" s="1"/>
    </row>
    <row r="1028" spans="1:4" x14ac:dyDescent="0.25">
      <c r="A1028" s="1"/>
      <c r="B1028" s="1"/>
      <c r="C1028" s="1"/>
      <c r="D1028" s="1"/>
    </row>
    <row r="1029" spans="1:4" x14ac:dyDescent="0.25">
      <c r="A1029" s="1"/>
      <c r="B1029" s="1"/>
      <c r="C1029" s="1"/>
      <c r="D1029" s="1"/>
    </row>
    <row r="1030" spans="1:4" x14ac:dyDescent="0.25">
      <c r="A1030" s="1"/>
      <c r="B1030" s="1"/>
      <c r="C1030" s="1"/>
      <c r="D1030" s="1"/>
    </row>
    <row r="1031" spans="1:4" x14ac:dyDescent="0.25">
      <c r="A1031" s="1"/>
      <c r="B1031" s="1"/>
      <c r="C1031" s="1"/>
      <c r="D1031" s="1"/>
    </row>
    <row r="1032" spans="1:4" x14ac:dyDescent="0.25">
      <c r="A1032" s="1"/>
      <c r="B1032" s="1"/>
      <c r="C1032" s="1"/>
      <c r="D1032" s="1"/>
    </row>
    <row r="1033" spans="1:4" x14ac:dyDescent="0.25">
      <c r="A1033" s="1"/>
      <c r="B1033" s="1"/>
      <c r="C1033" s="1"/>
      <c r="D1033" s="1"/>
    </row>
    <row r="1034" spans="1:4" x14ac:dyDescent="0.25">
      <c r="A1034" s="1"/>
      <c r="B1034" s="1"/>
      <c r="C1034" s="1"/>
      <c r="D1034" s="1"/>
    </row>
    <row r="1035" spans="1:4" x14ac:dyDescent="0.25">
      <c r="A1035" s="1"/>
      <c r="B1035" s="1"/>
      <c r="C1035" s="1"/>
      <c r="D1035" s="1"/>
    </row>
    <row r="1036" spans="1:4" x14ac:dyDescent="0.25">
      <c r="A1036" s="1"/>
      <c r="B1036" s="1"/>
      <c r="C1036" s="1"/>
      <c r="D1036" s="1"/>
    </row>
    <row r="1037" spans="1:4" x14ac:dyDescent="0.25">
      <c r="A1037" s="1"/>
      <c r="B1037" s="1"/>
      <c r="C1037" s="1"/>
      <c r="D1037" s="1"/>
    </row>
    <row r="1038" spans="1:4" x14ac:dyDescent="0.25">
      <c r="A1038" s="1"/>
      <c r="B1038" s="1"/>
      <c r="C1038" s="1"/>
      <c r="D1038" s="1"/>
    </row>
    <row r="1039" spans="1:4" x14ac:dyDescent="0.25">
      <c r="A1039" s="1"/>
      <c r="B1039" s="1"/>
      <c r="C1039" s="1"/>
      <c r="D1039" s="1"/>
    </row>
    <row r="1040" spans="1:4" x14ac:dyDescent="0.25">
      <c r="A1040" s="1"/>
      <c r="B1040" s="1"/>
      <c r="C1040" s="1"/>
      <c r="D1040" s="1"/>
    </row>
    <row r="1041" spans="1:4" x14ac:dyDescent="0.25">
      <c r="A1041" s="1"/>
      <c r="B1041" s="1"/>
      <c r="C1041" s="1"/>
      <c r="D1041" s="1"/>
    </row>
    <row r="1042" spans="1:4" x14ac:dyDescent="0.25">
      <c r="A1042" s="1"/>
      <c r="B1042" s="1"/>
      <c r="C1042" s="1"/>
      <c r="D1042" s="1"/>
    </row>
    <row r="1043" spans="1:4" x14ac:dyDescent="0.25">
      <c r="A1043" s="1"/>
      <c r="B1043" s="1"/>
      <c r="C1043" s="1"/>
      <c r="D1043" s="1"/>
    </row>
    <row r="1044" spans="1:4" x14ac:dyDescent="0.25">
      <c r="A1044" s="1"/>
      <c r="B1044" s="1"/>
      <c r="C1044" s="1"/>
      <c r="D1044" s="1"/>
    </row>
    <row r="1045" spans="1:4" x14ac:dyDescent="0.25">
      <c r="A1045" s="1"/>
      <c r="B1045" s="1"/>
      <c r="C1045" s="1"/>
      <c r="D1045" s="1"/>
    </row>
    <row r="1046" spans="1:4" x14ac:dyDescent="0.25">
      <c r="A1046" s="1"/>
      <c r="B1046" s="1"/>
      <c r="C1046" s="1"/>
      <c r="D1046" s="1"/>
    </row>
    <row r="1047" spans="1:4" x14ac:dyDescent="0.25">
      <c r="A1047" s="1"/>
      <c r="B1047" s="1"/>
      <c r="C1047" s="1"/>
      <c r="D1047" s="1"/>
    </row>
    <row r="1048" spans="1:4" x14ac:dyDescent="0.25">
      <c r="A1048" s="1"/>
      <c r="B1048" s="1"/>
      <c r="C1048" s="1"/>
      <c r="D1048" s="1"/>
    </row>
    <row r="1049" spans="1:4" x14ac:dyDescent="0.25">
      <c r="A1049" s="1"/>
      <c r="B1049" s="1"/>
      <c r="C1049" s="1"/>
      <c r="D1049" s="1"/>
    </row>
    <row r="1050" spans="1:4" x14ac:dyDescent="0.25">
      <c r="A1050" s="1"/>
      <c r="B1050" s="1"/>
      <c r="C1050" s="1"/>
      <c r="D1050" s="1"/>
    </row>
    <row r="1051" spans="1:4" x14ac:dyDescent="0.25">
      <c r="A1051" s="1"/>
      <c r="B1051" s="1"/>
      <c r="C1051" s="1"/>
      <c r="D1051" s="1"/>
    </row>
    <row r="1052" spans="1:4" x14ac:dyDescent="0.25">
      <c r="A1052" s="1"/>
      <c r="B1052" s="1"/>
      <c r="C1052" s="1"/>
      <c r="D1052" s="1"/>
    </row>
    <row r="1053" spans="1:4" x14ac:dyDescent="0.25">
      <c r="A1053" s="1"/>
      <c r="B1053" s="1"/>
      <c r="C1053" s="1"/>
      <c r="D1053" s="1"/>
    </row>
    <row r="1054" spans="1:4" x14ac:dyDescent="0.25">
      <c r="A1054" s="1"/>
      <c r="B1054" s="1"/>
      <c r="C1054" s="1"/>
      <c r="D1054" s="1"/>
    </row>
    <row r="1055" spans="1:4" x14ac:dyDescent="0.25">
      <c r="A1055" s="1"/>
      <c r="B1055" s="1"/>
      <c r="C1055" s="1"/>
      <c r="D1055" s="1"/>
    </row>
    <row r="1056" spans="1:4" x14ac:dyDescent="0.25">
      <c r="A1056" s="1"/>
      <c r="B1056" s="1"/>
      <c r="C1056" s="1"/>
      <c r="D1056" s="1"/>
    </row>
    <row r="1057" spans="1:4" x14ac:dyDescent="0.25">
      <c r="A1057" s="1"/>
      <c r="B1057" s="1"/>
      <c r="C1057" s="1"/>
      <c r="D1057" s="1"/>
    </row>
    <row r="1058" spans="1:4" x14ac:dyDescent="0.25">
      <c r="A1058" s="1"/>
      <c r="B1058" s="1"/>
      <c r="C1058" s="1"/>
      <c r="D1058" s="1"/>
    </row>
    <row r="1059" spans="1:4" x14ac:dyDescent="0.25">
      <c r="A1059" s="1"/>
      <c r="B1059" s="1"/>
      <c r="C1059" s="1"/>
      <c r="D1059" s="1"/>
    </row>
    <row r="1060" spans="1:4" x14ac:dyDescent="0.25">
      <c r="A1060" s="1"/>
      <c r="B1060" s="1"/>
      <c r="C1060" s="1"/>
      <c r="D1060" s="1"/>
    </row>
    <row r="1061" spans="1:4" x14ac:dyDescent="0.25">
      <c r="A1061" s="1"/>
      <c r="B1061" s="1"/>
      <c r="C1061" s="1"/>
      <c r="D1061" s="1"/>
    </row>
    <row r="1062" spans="1:4" x14ac:dyDescent="0.25">
      <c r="A1062" s="1"/>
      <c r="B1062" s="1"/>
      <c r="C1062" s="1"/>
      <c r="D1062" s="1"/>
    </row>
    <row r="1063" spans="1:4" x14ac:dyDescent="0.25">
      <c r="A1063" s="1"/>
      <c r="B1063" s="1"/>
      <c r="C1063" s="1"/>
      <c r="D1063" s="1"/>
    </row>
    <row r="1064" spans="1:4" x14ac:dyDescent="0.25">
      <c r="A1064" s="1"/>
      <c r="B1064" s="1"/>
      <c r="C1064" s="1"/>
      <c r="D1064" s="1"/>
    </row>
    <row r="1065" spans="1:4" x14ac:dyDescent="0.25">
      <c r="A1065" s="1"/>
      <c r="B1065" s="1"/>
      <c r="C1065" s="1"/>
      <c r="D1065" s="1"/>
    </row>
    <row r="1066" spans="1:4" x14ac:dyDescent="0.25">
      <c r="A1066" s="1"/>
      <c r="B1066" s="1"/>
      <c r="C1066" s="1"/>
      <c r="D1066" s="1"/>
    </row>
    <row r="1067" spans="1:4" x14ac:dyDescent="0.25">
      <c r="A1067" s="1"/>
      <c r="B1067" s="1"/>
      <c r="C1067" s="1"/>
      <c r="D1067" s="1"/>
    </row>
    <row r="1068" spans="1:4" x14ac:dyDescent="0.25">
      <c r="A1068" s="1"/>
      <c r="B1068" s="1"/>
      <c r="C1068" s="1"/>
      <c r="D1068" s="1"/>
    </row>
    <row r="1069" spans="1:4" x14ac:dyDescent="0.25">
      <c r="A1069" s="1"/>
      <c r="B1069" s="1"/>
      <c r="C1069" s="1"/>
      <c r="D1069" s="1"/>
    </row>
    <row r="1070" spans="1:4" x14ac:dyDescent="0.25">
      <c r="A1070" s="1"/>
      <c r="B1070" s="1"/>
      <c r="C1070" s="1"/>
      <c r="D1070" s="1"/>
    </row>
    <row r="1071" spans="1:4" x14ac:dyDescent="0.25">
      <c r="A1071" s="1"/>
      <c r="B1071" s="1"/>
      <c r="C1071" s="1"/>
      <c r="D1071" s="1"/>
    </row>
    <row r="1072" spans="1:4" x14ac:dyDescent="0.25">
      <c r="A1072" s="1"/>
      <c r="B1072" s="1"/>
      <c r="C1072" s="1"/>
      <c r="D1072" s="1"/>
    </row>
    <row r="1073" spans="1:4" x14ac:dyDescent="0.25">
      <c r="A1073" s="1"/>
      <c r="B1073" s="1"/>
      <c r="C1073" s="1"/>
      <c r="D1073" s="1"/>
    </row>
    <row r="1074" spans="1:4" x14ac:dyDescent="0.25">
      <c r="A1074" s="1"/>
      <c r="B1074" s="1"/>
      <c r="C1074" s="1"/>
      <c r="D1074" s="1"/>
    </row>
    <row r="1075" spans="1:4" x14ac:dyDescent="0.25">
      <c r="A1075" s="1"/>
      <c r="B1075" s="1"/>
      <c r="C1075" s="1"/>
      <c r="D1075" s="1"/>
    </row>
    <row r="1076" spans="1:4" x14ac:dyDescent="0.25">
      <c r="A1076" s="1"/>
      <c r="B1076" s="1"/>
      <c r="C1076" s="1"/>
      <c r="D1076" s="1"/>
    </row>
    <row r="1077" spans="1:4" x14ac:dyDescent="0.25">
      <c r="A1077" s="1"/>
      <c r="B1077" s="1"/>
      <c r="C1077" s="1"/>
      <c r="D1077" s="1"/>
    </row>
    <row r="1078" spans="1:4" x14ac:dyDescent="0.25">
      <c r="A1078" s="1"/>
      <c r="B1078" s="1"/>
      <c r="C1078" s="1"/>
      <c r="D1078" s="1"/>
    </row>
    <row r="1079" spans="1:4" x14ac:dyDescent="0.25">
      <c r="A1079" s="1"/>
      <c r="B1079" s="1"/>
      <c r="C1079" s="1"/>
      <c r="D1079" s="1"/>
    </row>
    <row r="1080" spans="1:4" x14ac:dyDescent="0.25">
      <c r="A1080" s="1"/>
      <c r="B1080" s="1"/>
      <c r="C1080" s="1"/>
      <c r="D1080" s="1"/>
    </row>
    <row r="1081" spans="1:4" x14ac:dyDescent="0.25">
      <c r="A1081" s="1"/>
      <c r="B1081" s="1"/>
      <c r="C1081" s="1"/>
      <c r="D1081" s="1"/>
    </row>
    <row r="1082" spans="1:4" x14ac:dyDescent="0.25">
      <c r="A1082" s="1"/>
      <c r="B1082" s="1"/>
      <c r="C1082" s="1"/>
      <c r="D1082" s="1"/>
    </row>
    <row r="1083" spans="1:4" x14ac:dyDescent="0.25">
      <c r="A1083" s="1"/>
      <c r="B1083" s="1"/>
      <c r="C1083" s="1"/>
      <c r="D1083" s="1"/>
    </row>
    <row r="1084" spans="1:4" x14ac:dyDescent="0.25">
      <c r="A1084" s="1"/>
      <c r="B1084" s="1"/>
      <c r="C1084" s="1"/>
      <c r="D1084" s="1"/>
    </row>
    <row r="1085" spans="1:4" x14ac:dyDescent="0.25">
      <c r="A1085" s="1"/>
      <c r="B1085" s="1"/>
      <c r="C1085" s="1"/>
      <c r="D1085" s="1"/>
    </row>
    <row r="1086" spans="1:4" x14ac:dyDescent="0.25">
      <c r="A1086" s="1"/>
      <c r="B1086" s="1"/>
      <c r="C1086" s="1"/>
      <c r="D1086" s="1"/>
    </row>
    <row r="1087" spans="1:4" x14ac:dyDescent="0.25">
      <c r="A1087" s="1"/>
      <c r="B1087" s="1"/>
      <c r="C1087" s="1"/>
      <c r="D1087" s="1"/>
    </row>
    <row r="1088" spans="1:4" x14ac:dyDescent="0.25">
      <c r="A1088" s="1"/>
      <c r="B1088" s="1"/>
      <c r="C1088" s="1"/>
      <c r="D1088" s="1"/>
    </row>
    <row r="1089" spans="1:4" x14ac:dyDescent="0.25">
      <c r="A1089" s="1"/>
      <c r="B1089" s="1"/>
      <c r="C1089" s="1"/>
      <c r="D1089" s="1"/>
    </row>
    <row r="1090" spans="1:4" x14ac:dyDescent="0.25">
      <c r="A1090" s="1"/>
      <c r="B1090" s="1"/>
      <c r="C1090" s="1"/>
      <c r="D1090" s="1"/>
    </row>
    <row r="1091" spans="1:4" x14ac:dyDescent="0.25">
      <c r="A1091" s="1"/>
      <c r="B1091" s="1"/>
      <c r="C1091" s="1"/>
      <c r="D1091" s="1"/>
    </row>
    <row r="1092" spans="1:4" x14ac:dyDescent="0.25">
      <c r="A1092" s="1"/>
      <c r="B1092" s="1"/>
      <c r="C1092" s="1"/>
      <c r="D1092" s="1"/>
    </row>
    <row r="1093" spans="1:4" x14ac:dyDescent="0.25">
      <c r="A1093" s="1"/>
      <c r="B1093" s="1"/>
      <c r="C1093" s="1"/>
      <c r="D1093" s="1"/>
    </row>
    <row r="1094" spans="1:4" x14ac:dyDescent="0.25">
      <c r="A1094" s="1"/>
      <c r="B1094" s="1"/>
      <c r="C1094" s="1"/>
      <c r="D1094" s="1"/>
    </row>
    <row r="1095" spans="1:4" x14ac:dyDescent="0.25">
      <c r="A1095" s="1"/>
      <c r="B1095" s="1"/>
      <c r="C1095" s="1"/>
      <c r="D1095" s="1"/>
    </row>
    <row r="1096" spans="1:4" x14ac:dyDescent="0.25">
      <c r="A1096" s="1"/>
      <c r="B1096" s="1"/>
      <c r="C1096" s="1"/>
      <c r="D1096" s="1"/>
    </row>
    <row r="1097" spans="1:4" x14ac:dyDescent="0.25">
      <c r="A1097" s="1"/>
      <c r="B1097" s="1"/>
      <c r="C1097" s="1"/>
      <c r="D1097" s="1"/>
    </row>
    <row r="1098" spans="1:4" x14ac:dyDescent="0.25">
      <c r="A1098" s="1"/>
      <c r="B1098" s="1"/>
      <c r="C1098" s="1"/>
      <c r="D1098" s="1"/>
    </row>
    <row r="1099" spans="1:4" x14ac:dyDescent="0.25">
      <c r="A1099" s="1"/>
      <c r="B1099" s="1"/>
      <c r="C1099" s="1"/>
      <c r="D1099" s="1"/>
    </row>
    <row r="1100" spans="1:4" x14ac:dyDescent="0.25">
      <c r="A1100" s="1"/>
      <c r="B1100" s="1"/>
      <c r="C1100" s="1"/>
      <c r="D1100" s="1"/>
    </row>
    <row r="1101" spans="1:4" x14ac:dyDescent="0.25">
      <c r="A1101" s="1"/>
      <c r="B1101" s="1"/>
      <c r="C1101" s="1"/>
      <c r="D1101" s="1"/>
    </row>
    <row r="1102" spans="1:4" x14ac:dyDescent="0.25">
      <c r="A1102" s="1"/>
      <c r="B1102" s="1"/>
      <c r="C1102" s="1"/>
      <c r="D1102" s="1"/>
    </row>
    <row r="1103" spans="1:4" x14ac:dyDescent="0.25">
      <c r="A1103" s="1"/>
      <c r="B1103" s="1"/>
      <c r="C1103" s="1"/>
      <c r="D1103" s="1"/>
    </row>
    <row r="1104" spans="1:4" x14ac:dyDescent="0.25">
      <c r="A1104" s="1"/>
      <c r="B1104" s="1"/>
      <c r="C1104" s="1"/>
      <c r="D1104" s="1"/>
    </row>
    <row r="1105" spans="1:4" x14ac:dyDescent="0.25">
      <c r="A1105" s="1"/>
      <c r="B1105" s="1"/>
      <c r="C1105" s="1"/>
      <c r="D1105" s="1"/>
    </row>
    <row r="1106" spans="1:4" x14ac:dyDescent="0.25">
      <c r="A1106" s="1"/>
      <c r="B1106" s="1"/>
      <c r="C1106" s="1"/>
      <c r="D1106" s="1"/>
    </row>
    <row r="1107" spans="1:4" x14ac:dyDescent="0.25">
      <c r="A1107" s="1"/>
      <c r="B1107" s="1"/>
      <c r="C1107" s="1"/>
      <c r="D1107" s="1"/>
    </row>
    <row r="1108" spans="1:4" x14ac:dyDescent="0.25">
      <c r="A1108" s="1"/>
      <c r="B1108" s="1"/>
      <c r="C1108" s="1"/>
      <c r="D1108" s="1"/>
    </row>
    <row r="1109" spans="1:4" x14ac:dyDescent="0.25">
      <c r="A1109" s="1"/>
      <c r="B1109" s="1"/>
      <c r="C1109" s="1"/>
      <c r="D1109" s="1"/>
    </row>
    <row r="1110" spans="1:4" x14ac:dyDescent="0.25">
      <c r="A1110" s="1"/>
      <c r="B1110" s="1"/>
      <c r="C1110" s="1"/>
      <c r="D1110" s="1"/>
    </row>
    <row r="1111" spans="1:4" x14ac:dyDescent="0.25">
      <c r="A1111" s="1"/>
      <c r="B1111" s="1"/>
      <c r="C1111" s="1"/>
      <c r="D1111" s="1"/>
    </row>
    <row r="1112" spans="1:4" x14ac:dyDescent="0.25">
      <c r="A1112" s="1"/>
      <c r="B1112" s="1"/>
      <c r="C1112" s="1"/>
      <c r="D1112" s="1"/>
    </row>
    <row r="1113" spans="1:4" x14ac:dyDescent="0.25">
      <c r="A1113" s="1"/>
      <c r="B1113" s="1"/>
      <c r="C1113" s="1"/>
      <c r="D1113" s="1"/>
    </row>
    <row r="1114" spans="1:4" x14ac:dyDescent="0.25">
      <c r="A1114" s="1"/>
      <c r="B1114" s="1"/>
      <c r="C1114" s="1"/>
      <c r="D1114" s="1"/>
    </row>
    <row r="1115" spans="1:4" x14ac:dyDescent="0.25">
      <c r="A1115" s="1"/>
      <c r="B1115" s="1"/>
      <c r="C1115" s="1"/>
      <c r="D1115" s="1"/>
    </row>
    <row r="1116" spans="1:4" x14ac:dyDescent="0.25">
      <c r="A1116" s="1"/>
      <c r="B1116" s="1"/>
      <c r="C1116" s="1"/>
      <c r="D1116" s="1"/>
    </row>
    <row r="1117" spans="1:4" x14ac:dyDescent="0.25">
      <c r="A1117" s="1"/>
      <c r="B1117" s="1"/>
      <c r="C1117" s="1"/>
      <c r="D1117" s="1"/>
    </row>
    <row r="1118" spans="1:4" x14ac:dyDescent="0.25">
      <c r="A1118" s="1"/>
      <c r="B1118" s="1"/>
      <c r="C1118" s="1"/>
      <c r="D1118" s="1"/>
    </row>
    <row r="1119" spans="1:4" x14ac:dyDescent="0.25">
      <c r="A1119" s="1"/>
      <c r="B1119" s="1"/>
      <c r="C1119" s="1"/>
      <c r="D1119" s="1"/>
    </row>
    <row r="1120" spans="1:4" x14ac:dyDescent="0.25">
      <c r="A1120" s="1"/>
      <c r="B1120" s="1"/>
      <c r="C1120" s="1"/>
      <c r="D1120" s="1"/>
    </row>
    <row r="1121" spans="1:4" x14ac:dyDescent="0.25">
      <c r="A1121" s="1"/>
      <c r="B1121" s="1"/>
      <c r="C1121" s="1"/>
      <c r="D1121" s="1"/>
    </row>
    <row r="1122" spans="1:4" x14ac:dyDescent="0.25">
      <c r="A1122" s="1"/>
      <c r="B1122" s="1"/>
      <c r="C1122" s="1"/>
      <c r="D1122" s="1"/>
    </row>
    <row r="1123" spans="1:4" x14ac:dyDescent="0.25">
      <c r="A1123" s="1"/>
      <c r="B1123" s="1"/>
      <c r="C1123" s="1"/>
      <c r="D1123" s="1"/>
    </row>
    <row r="1124" spans="1:4" x14ac:dyDescent="0.25">
      <c r="A1124" s="1"/>
      <c r="B1124" s="1"/>
      <c r="C1124" s="1"/>
      <c r="D1124" s="1"/>
    </row>
    <row r="1125" spans="1:4" x14ac:dyDescent="0.25">
      <c r="A1125" s="1"/>
      <c r="B1125" s="1"/>
      <c r="C1125" s="1"/>
      <c r="D1125" s="1"/>
    </row>
    <row r="1126" spans="1:4" x14ac:dyDescent="0.25">
      <c r="A1126" s="1"/>
      <c r="B1126" s="1"/>
      <c r="C1126" s="1"/>
      <c r="D1126" s="1"/>
    </row>
    <row r="1127" spans="1:4" x14ac:dyDescent="0.25">
      <c r="A1127" s="1"/>
      <c r="B1127" s="1"/>
      <c r="C1127" s="1"/>
      <c r="D1127" s="1"/>
    </row>
    <row r="1128" spans="1:4" x14ac:dyDescent="0.25">
      <c r="A1128" s="1"/>
      <c r="B1128" s="1"/>
      <c r="C1128" s="1"/>
      <c r="D1128" s="1"/>
    </row>
    <row r="1129" spans="1:4" x14ac:dyDescent="0.25">
      <c r="A1129" s="1"/>
      <c r="B1129" s="1"/>
      <c r="C1129" s="1"/>
      <c r="D1129" s="1"/>
    </row>
    <row r="1130" spans="1:4" x14ac:dyDescent="0.25">
      <c r="A1130" s="1"/>
      <c r="B1130" s="1"/>
      <c r="C1130" s="1"/>
      <c r="D1130" s="1"/>
    </row>
    <row r="1131" spans="1:4" x14ac:dyDescent="0.25">
      <c r="A1131" s="1"/>
      <c r="B1131" s="1"/>
      <c r="C1131" s="1"/>
      <c r="D1131" s="1"/>
    </row>
    <row r="1132" spans="1:4" x14ac:dyDescent="0.25">
      <c r="A1132" s="1"/>
      <c r="B1132" s="1"/>
      <c r="C1132" s="1"/>
      <c r="D1132" s="1"/>
    </row>
    <row r="1133" spans="1:4" x14ac:dyDescent="0.25">
      <c r="A1133" s="1"/>
      <c r="B1133" s="1"/>
      <c r="C1133" s="1"/>
      <c r="D1133" s="1"/>
    </row>
    <row r="1134" spans="1:4" x14ac:dyDescent="0.25">
      <c r="A1134" s="1"/>
      <c r="B1134" s="1"/>
      <c r="C1134" s="1"/>
      <c r="D1134" s="1"/>
    </row>
    <row r="1135" spans="1:4" x14ac:dyDescent="0.25">
      <c r="A1135" s="1"/>
      <c r="B1135" s="1"/>
      <c r="C1135" s="1"/>
      <c r="D1135" s="1"/>
    </row>
    <row r="1136" spans="1:4" x14ac:dyDescent="0.25">
      <c r="A1136" s="1"/>
      <c r="B1136" s="1"/>
      <c r="C1136" s="1"/>
      <c r="D1136" s="1"/>
    </row>
    <row r="1137" spans="1:4" x14ac:dyDescent="0.25">
      <c r="A1137" s="1"/>
      <c r="B1137" s="1"/>
      <c r="C1137" s="1"/>
      <c r="D1137" s="1"/>
    </row>
    <row r="1138" spans="1:4" x14ac:dyDescent="0.25">
      <c r="A1138" s="1"/>
      <c r="B1138" s="1"/>
      <c r="C1138" s="1"/>
      <c r="D1138" s="1"/>
    </row>
    <row r="1139" spans="1:4" x14ac:dyDescent="0.25">
      <c r="A1139" s="1"/>
      <c r="B1139" s="1"/>
      <c r="C1139" s="1"/>
      <c r="D1139" s="1"/>
    </row>
    <row r="1140" spans="1:4" x14ac:dyDescent="0.25">
      <c r="A1140" s="1"/>
      <c r="B1140" s="1"/>
      <c r="C1140" s="1"/>
      <c r="D1140" s="1"/>
    </row>
    <row r="1141" spans="1:4" x14ac:dyDescent="0.25">
      <c r="A1141" s="1"/>
      <c r="B1141" s="1"/>
      <c r="C1141" s="1"/>
      <c r="D1141" s="1"/>
    </row>
    <row r="1142" spans="1:4" x14ac:dyDescent="0.25">
      <c r="A1142" s="1"/>
      <c r="B1142" s="1"/>
      <c r="C1142" s="1"/>
      <c r="D1142" s="1"/>
    </row>
    <row r="1143" spans="1:4" x14ac:dyDescent="0.25">
      <c r="A1143" s="1"/>
      <c r="B1143" s="1"/>
      <c r="C1143" s="1"/>
      <c r="D1143" s="1"/>
    </row>
    <row r="1144" spans="1:4" x14ac:dyDescent="0.25">
      <c r="A1144" s="1"/>
      <c r="B1144" s="1"/>
      <c r="C1144" s="1"/>
      <c r="D1144" s="1"/>
    </row>
    <row r="1145" spans="1:4" x14ac:dyDescent="0.25">
      <c r="A1145" s="1"/>
      <c r="B1145" s="1"/>
      <c r="C1145" s="1"/>
      <c r="D1145" s="1"/>
    </row>
    <row r="1146" spans="1:4" x14ac:dyDescent="0.25">
      <c r="A1146" s="1"/>
      <c r="B1146" s="1"/>
      <c r="C1146" s="1"/>
      <c r="D1146" s="1"/>
    </row>
    <row r="1147" spans="1:4" x14ac:dyDescent="0.25">
      <c r="A1147" s="1"/>
      <c r="B1147" s="1"/>
      <c r="C1147" s="1"/>
      <c r="D1147" s="1"/>
    </row>
    <row r="1148" spans="1:4" x14ac:dyDescent="0.25">
      <c r="A1148" s="1"/>
      <c r="B1148" s="1"/>
      <c r="C1148" s="1"/>
      <c r="D1148" s="1"/>
    </row>
    <row r="1149" spans="1:4" x14ac:dyDescent="0.25">
      <c r="A1149" s="1"/>
      <c r="B1149" s="1"/>
      <c r="C1149" s="1"/>
      <c r="D1149" s="1"/>
    </row>
    <row r="1150" spans="1:4" x14ac:dyDescent="0.25">
      <c r="A1150" s="1"/>
      <c r="B1150" s="1"/>
      <c r="C1150" s="1"/>
      <c r="D1150" s="1"/>
    </row>
    <row r="1151" spans="1:4" x14ac:dyDescent="0.25">
      <c r="A1151" s="1"/>
      <c r="B1151" s="1"/>
      <c r="C1151" s="1"/>
      <c r="D1151" s="1"/>
    </row>
    <row r="1152" spans="1:4" x14ac:dyDescent="0.25">
      <c r="A1152" s="1"/>
      <c r="B1152" s="1"/>
      <c r="C1152" s="1"/>
      <c r="D1152" s="1"/>
    </row>
    <row r="1153" spans="1:4" x14ac:dyDescent="0.25">
      <c r="A1153" s="1"/>
      <c r="B1153" s="1"/>
      <c r="C1153" s="1"/>
      <c r="D1153" s="1"/>
    </row>
    <row r="1154" spans="1:4" x14ac:dyDescent="0.25">
      <c r="A1154" s="1"/>
      <c r="B1154" s="1"/>
      <c r="C1154" s="1"/>
      <c r="D1154" s="1"/>
    </row>
    <row r="1155" spans="1:4" x14ac:dyDescent="0.25">
      <c r="A1155" s="1"/>
      <c r="B1155" s="1"/>
      <c r="C1155" s="1"/>
      <c r="D1155" s="1"/>
    </row>
    <row r="1156" spans="1:4" x14ac:dyDescent="0.25">
      <c r="A1156" s="1"/>
      <c r="B1156" s="1"/>
      <c r="C1156" s="1"/>
      <c r="D1156" s="1"/>
    </row>
    <row r="1157" spans="1:4" x14ac:dyDescent="0.25">
      <c r="A1157" s="1"/>
      <c r="B1157" s="1"/>
      <c r="C1157" s="1"/>
      <c r="D1157" s="1"/>
    </row>
    <row r="1158" spans="1:4" x14ac:dyDescent="0.25">
      <c r="A1158" s="1"/>
      <c r="B1158" s="1"/>
      <c r="C1158" s="1"/>
      <c r="D1158" s="1"/>
    </row>
    <row r="1159" spans="1:4" x14ac:dyDescent="0.25">
      <c r="A1159" s="1"/>
      <c r="B1159" s="1"/>
      <c r="C1159" s="1"/>
      <c r="D1159" s="1"/>
    </row>
    <row r="1160" spans="1:4" x14ac:dyDescent="0.25">
      <c r="A1160" s="1"/>
      <c r="B1160" s="1"/>
      <c r="C1160" s="1"/>
      <c r="D1160" s="1"/>
    </row>
    <row r="1161" spans="1:4" x14ac:dyDescent="0.25">
      <c r="A1161" s="1"/>
      <c r="B1161" s="1"/>
      <c r="C1161" s="1"/>
      <c r="D1161" s="1"/>
    </row>
    <row r="1162" spans="1:4" x14ac:dyDescent="0.25">
      <c r="A1162" s="1"/>
      <c r="B1162" s="1"/>
      <c r="C1162" s="1"/>
      <c r="D1162" s="1"/>
    </row>
    <row r="1163" spans="1:4" x14ac:dyDescent="0.25">
      <c r="A1163" s="1"/>
      <c r="B1163" s="1"/>
      <c r="C1163" s="1"/>
      <c r="D1163" s="1"/>
    </row>
    <row r="1164" spans="1:4" x14ac:dyDescent="0.25">
      <c r="A1164" s="1"/>
      <c r="B1164" s="1"/>
      <c r="C1164" s="1"/>
      <c r="D1164" s="1"/>
    </row>
    <row r="1165" spans="1:4" x14ac:dyDescent="0.25">
      <c r="A1165" s="1"/>
      <c r="B1165" s="1"/>
      <c r="C1165" s="1"/>
      <c r="D1165" s="1"/>
    </row>
    <row r="1166" spans="1:4" x14ac:dyDescent="0.25">
      <c r="A1166" s="1"/>
      <c r="B1166" s="1"/>
      <c r="C1166" s="1"/>
      <c r="D1166" s="1"/>
    </row>
    <row r="1167" spans="1:4" x14ac:dyDescent="0.25">
      <c r="A1167" s="1"/>
      <c r="B1167" s="1"/>
      <c r="C1167" s="1"/>
      <c r="D1167" s="1"/>
    </row>
    <row r="1168" spans="1:4" x14ac:dyDescent="0.25">
      <c r="A1168" s="1"/>
      <c r="B1168" s="1"/>
      <c r="C1168" s="1"/>
      <c r="D1168" s="1"/>
    </row>
    <row r="1169" spans="1:4" x14ac:dyDescent="0.25">
      <c r="A1169" s="1"/>
      <c r="B1169" s="1"/>
      <c r="C1169" s="1"/>
      <c r="D1169" s="1"/>
    </row>
    <row r="1170" spans="1:4" x14ac:dyDescent="0.25">
      <c r="A1170" s="1"/>
      <c r="B1170" s="1"/>
      <c r="C1170" s="1"/>
      <c r="D1170" s="1"/>
    </row>
    <row r="1171" spans="1:4" x14ac:dyDescent="0.25">
      <c r="A1171" s="1"/>
      <c r="B1171" s="1"/>
      <c r="C1171" s="1"/>
      <c r="D1171" s="1"/>
    </row>
    <row r="1172" spans="1:4" x14ac:dyDescent="0.25">
      <c r="A1172" s="1"/>
      <c r="B1172" s="1"/>
      <c r="C1172" s="1"/>
      <c r="D1172" s="1"/>
    </row>
    <row r="1173" spans="1:4" x14ac:dyDescent="0.25">
      <c r="A1173" s="1"/>
      <c r="B1173" s="1"/>
      <c r="C1173" s="1"/>
      <c r="D1173" s="1"/>
    </row>
    <row r="1174" spans="1:4" x14ac:dyDescent="0.25">
      <c r="A1174" s="1"/>
      <c r="B1174" s="1"/>
      <c r="C1174" s="1"/>
      <c r="D1174" s="1"/>
    </row>
    <row r="1175" spans="1:4" x14ac:dyDescent="0.25">
      <c r="A1175" s="1"/>
      <c r="B1175" s="1"/>
      <c r="C1175" s="1"/>
      <c r="D1175" s="1"/>
    </row>
    <row r="1176" spans="1:4" x14ac:dyDescent="0.25">
      <c r="A1176" s="1"/>
      <c r="B1176" s="1"/>
      <c r="C1176" s="1"/>
      <c r="D1176" s="1"/>
    </row>
    <row r="1177" spans="1:4" x14ac:dyDescent="0.25">
      <c r="A1177" s="1"/>
      <c r="B1177" s="1"/>
      <c r="C1177" s="1"/>
      <c r="D1177" s="1"/>
    </row>
    <row r="1178" spans="1:4" x14ac:dyDescent="0.25">
      <c r="A1178" s="1"/>
      <c r="B1178" s="1"/>
      <c r="C1178" s="1"/>
      <c r="D1178" s="1"/>
    </row>
    <row r="1179" spans="1:4" x14ac:dyDescent="0.25">
      <c r="A1179" s="1"/>
      <c r="B1179" s="1"/>
      <c r="C1179" s="1"/>
      <c r="D1179" s="1"/>
    </row>
    <row r="1180" spans="1:4" x14ac:dyDescent="0.25">
      <c r="A1180" s="1"/>
      <c r="B1180" s="1"/>
      <c r="C1180" s="1"/>
      <c r="D1180" s="1"/>
    </row>
    <row r="1181" spans="1:4" x14ac:dyDescent="0.25">
      <c r="A1181" s="1"/>
      <c r="B1181" s="1"/>
      <c r="C1181" s="1"/>
      <c r="D1181" s="1"/>
    </row>
    <row r="1182" spans="1:4" x14ac:dyDescent="0.25">
      <c r="A1182" s="1"/>
      <c r="B1182" s="1"/>
      <c r="C1182" s="1"/>
      <c r="D1182" s="1"/>
    </row>
    <row r="1183" spans="1:4" x14ac:dyDescent="0.25">
      <c r="A1183" s="1"/>
      <c r="B1183" s="1"/>
      <c r="C1183" s="1"/>
      <c r="D1183" s="1"/>
    </row>
    <row r="1184" spans="1:4" x14ac:dyDescent="0.25">
      <c r="A1184" s="1"/>
      <c r="B1184" s="1"/>
      <c r="C1184" s="1"/>
      <c r="D1184" s="1"/>
    </row>
    <row r="1185" spans="1:4" x14ac:dyDescent="0.25">
      <c r="A1185" s="1"/>
      <c r="B1185" s="1"/>
      <c r="C1185" s="1"/>
      <c r="D1185" s="1"/>
    </row>
    <row r="1186" spans="1:4" x14ac:dyDescent="0.25">
      <c r="A1186" s="1"/>
      <c r="B1186" s="1"/>
      <c r="C1186" s="1"/>
      <c r="D1186" s="1"/>
    </row>
    <row r="1187" spans="1:4" x14ac:dyDescent="0.25">
      <c r="A1187" s="1"/>
      <c r="B1187" s="1"/>
      <c r="C1187" s="1"/>
      <c r="D1187" s="1"/>
    </row>
    <row r="1188" spans="1:4" x14ac:dyDescent="0.25">
      <c r="A1188" s="1"/>
      <c r="B1188" s="1"/>
      <c r="C1188" s="1"/>
      <c r="D1188" s="1"/>
    </row>
    <row r="1189" spans="1:4" x14ac:dyDescent="0.25">
      <c r="A1189" s="1"/>
      <c r="B1189" s="1"/>
      <c r="C1189" s="1"/>
      <c r="D1189" s="1"/>
    </row>
    <row r="1190" spans="1:4" x14ac:dyDescent="0.25">
      <c r="A1190" s="1"/>
      <c r="B1190" s="1"/>
      <c r="C1190" s="1"/>
      <c r="D1190" s="1"/>
    </row>
    <row r="1191" spans="1:4" x14ac:dyDescent="0.25">
      <c r="A1191" s="1"/>
      <c r="B1191" s="1"/>
      <c r="C1191" s="1"/>
      <c r="D1191" s="1"/>
    </row>
    <row r="1192" spans="1:4" x14ac:dyDescent="0.25">
      <c r="A1192" s="1"/>
      <c r="B1192" s="1"/>
      <c r="C1192" s="1"/>
      <c r="D1192" s="1"/>
    </row>
    <row r="1193" spans="1:4" x14ac:dyDescent="0.25">
      <c r="A1193" s="1"/>
      <c r="B1193" s="1"/>
      <c r="C1193" s="1"/>
      <c r="D1193" s="1"/>
    </row>
    <row r="1194" spans="1:4" x14ac:dyDescent="0.25">
      <c r="A1194" s="1"/>
      <c r="B1194" s="1"/>
      <c r="C1194" s="1"/>
      <c r="D1194" s="1"/>
    </row>
    <row r="1195" spans="1:4" x14ac:dyDescent="0.25">
      <c r="A1195" s="1"/>
      <c r="B1195" s="1"/>
      <c r="C1195" s="1"/>
      <c r="D1195" s="1"/>
    </row>
    <row r="1196" spans="1:4" x14ac:dyDescent="0.25">
      <c r="A1196" s="1"/>
      <c r="B1196" s="1"/>
      <c r="C1196" s="1"/>
      <c r="D1196" s="1"/>
    </row>
    <row r="1197" spans="1:4" x14ac:dyDescent="0.25">
      <c r="A1197" s="1"/>
      <c r="B1197" s="1"/>
      <c r="C1197" s="1"/>
      <c r="D1197" s="1"/>
    </row>
    <row r="1198" spans="1:4" x14ac:dyDescent="0.25">
      <c r="A1198" s="1"/>
      <c r="B1198" s="1"/>
      <c r="C1198" s="1"/>
      <c r="D1198" s="1"/>
    </row>
    <row r="1199" spans="1:4" x14ac:dyDescent="0.25">
      <c r="A1199" s="1"/>
      <c r="B1199" s="1"/>
      <c r="C1199" s="1"/>
      <c r="D1199" s="1"/>
    </row>
    <row r="1200" spans="1:4" x14ac:dyDescent="0.25">
      <c r="A1200" s="1"/>
      <c r="B1200" s="1"/>
      <c r="C1200" s="1"/>
      <c r="D1200" s="1"/>
    </row>
    <row r="1201" spans="1:4" x14ac:dyDescent="0.25">
      <c r="A1201" s="1"/>
      <c r="B1201" s="1"/>
      <c r="C1201" s="1"/>
      <c r="D1201" s="1"/>
    </row>
    <row r="1202" spans="1:4" x14ac:dyDescent="0.25">
      <c r="A1202" s="1"/>
      <c r="B1202" s="1"/>
      <c r="C1202" s="1"/>
      <c r="D1202" s="1"/>
    </row>
    <row r="1203" spans="1:4" x14ac:dyDescent="0.25">
      <c r="A1203" s="1"/>
      <c r="B1203" s="1"/>
      <c r="C1203" s="1"/>
      <c r="D1203" s="1"/>
    </row>
    <row r="1204" spans="1:4" x14ac:dyDescent="0.25">
      <c r="A1204" s="1"/>
      <c r="B1204" s="1"/>
      <c r="C1204" s="1"/>
      <c r="D1204" s="1"/>
    </row>
    <row r="1205" spans="1:4" x14ac:dyDescent="0.25">
      <c r="A1205" s="1"/>
      <c r="B1205" s="1"/>
      <c r="C1205" s="1"/>
      <c r="D1205" s="1"/>
    </row>
    <row r="1206" spans="1:4" x14ac:dyDescent="0.25">
      <c r="A1206" s="1"/>
      <c r="B1206" s="1"/>
      <c r="C1206" s="1"/>
      <c r="D1206" s="1"/>
    </row>
    <row r="1207" spans="1:4" x14ac:dyDescent="0.25">
      <c r="A1207" s="1"/>
      <c r="B1207" s="1"/>
      <c r="C1207" s="1"/>
      <c r="D1207" s="1"/>
    </row>
    <row r="1208" spans="1:4" x14ac:dyDescent="0.25">
      <c r="A1208" s="1"/>
      <c r="B1208" s="1"/>
      <c r="C1208" s="1"/>
      <c r="D1208" s="1"/>
    </row>
    <row r="1209" spans="1:4" x14ac:dyDescent="0.25">
      <c r="A1209" s="1"/>
      <c r="B1209" s="1"/>
      <c r="C1209" s="1"/>
      <c r="D1209" s="1"/>
    </row>
    <row r="1210" spans="1:4" x14ac:dyDescent="0.25">
      <c r="A1210" s="1"/>
      <c r="B1210" s="1"/>
      <c r="C1210" s="1"/>
      <c r="D1210" s="1"/>
    </row>
    <row r="1211" spans="1:4" x14ac:dyDescent="0.25">
      <c r="A1211" s="1"/>
      <c r="B1211" s="1"/>
      <c r="C1211" s="1"/>
      <c r="D1211" s="1"/>
    </row>
    <row r="1212" spans="1:4" x14ac:dyDescent="0.25">
      <c r="A1212" s="1"/>
      <c r="B1212" s="1"/>
      <c r="C1212" s="1"/>
      <c r="D1212" s="1"/>
    </row>
    <row r="1213" spans="1:4" x14ac:dyDescent="0.25">
      <c r="A1213" s="1"/>
      <c r="B1213" s="1"/>
      <c r="C1213" s="1"/>
      <c r="D1213" s="1"/>
    </row>
    <row r="1214" spans="1:4" x14ac:dyDescent="0.25">
      <c r="A1214" s="1"/>
      <c r="B1214" s="1"/>
      <c r="C1214" s="1"/>
      <c r="D1214" s="1"/>
    </row>
    <row r="1215" spans="1:4" x14ac:dyDescent="0.25">
      <c r="A1215" s="1"/>
      <c r="B1215" s="1"/>
      <c r="C1215" s="1"/>
      <c r="D1215" s="1"/>
    </row>
    <row r="1216" spans="1:4" x14ac:dyDescent="0.25">
      <c r="A1216" s="1"/>
      <c r="B1216" s="1"/>
      <c r="C1216" s="1"/>
      <c r="D1216" s="1"/>
    </row>
    <row r="1217" spans="1:4" x14ac:dyDescent="0.25">
      <c r="A1217" s="1"/>
      <c r="B1217" s="1"/>
      <c r="C1217" s="1"/>
      <c r="D1217" s="1"/>
    </row>
    <row r="1218" spans="1:4" x14ac:dyDescent="0.25">
      <c r="A1218" s="1"/>
      <c r="B1218" s="1"/>
      <c r="C1218" s="1"/>
      <c r="D1218" s="1"/>
    </row>
    <row r="1219" spans="1:4" x14ac:dyDescent="0.25">
      <c r="A1219" s="1"/>
      <c r="B1219" s="1"/>
      <c r="C1219" s="1"/>
      <c r="D1219" s="1"/>
    </row>
    <row r="1220" spans="1:4" x14ac:dyDescent="0.25">
      <c r="A1220" s="1"/>
      <c r="B1220" s="1"/>
      <c r="C1220" s="1"/>
      <c r="D1220" s="1"/>
    </row>
    <row r="1221" spans="1:4" x14ac:dyDescent="0.25">
      <c r="A1221" s="1"/>
      <c r="B1221" s="1"/>
      <c r="C1221" s="1"/>
      <c r="D1221" s="1"/>
    </row>
    <row r="1222" spans="1:4" x14ac:dyDescent="0.25">
      <c r="A1222" s="1"/>
      <c r="B1222" s="1"/>
      <c r="C1222" s="1"/>
      <c r="D1222" s="1"/>
    </row>
    <row r="1223" spans="1:4" x14ac:dyDescent="0.25">
      <c r="A1223" s="1"/>
      <c r="B1223" s="1"/>
      <c r="C1223" s="1"/>
      <c r="D1223" s="1"/>
    </row>
    <row r="1224" spans="1:4" x14ac:dyDescent="0.25">
      <c r="A1224" s="1"/>
      <c r="B1224" s="1"/>
      <c r="C1224" s="1"/>
      <c r="D1224" s="1"/>
    </row>
    <row r="1225" spans="1:4" x14ac:dyDescent="0.25">
      <c r="A1225" s="1"/>
      <c r="B1225" s="1"/>
      <c r="C1225" s="1"/>
      <c r="D1225" s="1"/>
    </row>
    <row r="1226" spans="1:4" x14ac:dyDescent="0.25">
      <c r="A1226" s="1"/>
      <c r="B1226" s="1"/>
      <c r="C1226" s="1"/>
      <c r="D1226" s="1"/>
    </row>
    <row r="1227" spans="1:4" x14ac:dyDescent="0.25">
      <c r="A1227" s="1"/>
      <c r="B1227" s="1"/>
      <c r="C1227" s="1"/>
      <c r="D1227" s="1"/>
    </row>
    <row r="1228" spans="1:4" x14ac:dyDescent="0.25">
      <c r="A1228" s="1"/>
      <c r="B1228" s="1"/>
      <c r="C1228" s="1"/>
      <c r="D1228" s="1"/>
    </row>
    <row r="1229" spans="1:4" x14ac:dyDescent="0.25">
      <c r="A1229" s="1"/>
      <c r="B1229" s="1"/>
      <c r="C1229" s="1"/>
      <c r="D1229" s="1"/>
    </row>
    <row r="1230" spans="1:4" x14ac:dyDescent="0.25">
      <c r="A1230" s="1"/>
      <c r="B1230" s="1"/>
      <c r="C1230" s="1"/>
      <c r="D1230" s="1"/>
    </row>
    <row r="1231" spans="1:4" x14ac:dyDescent="0.25">
      <c r="A1231" s="1"/>
      <c r="B1231" s="1"/>
      <c r="C1231" s="1"/>
      <c r="D1231" s="1"/>
    </row>
    <row r="1232" spans="1:4" x14ac:dyDescent="0.25">
      <c r="A1232" s="1"/>
      <c r="B1232" s="1"/>
      <c r="C1232" s="1"/>
      <c r="D1232" s="1"/>
    </row>
    <row r="1233" spans="1:4" x14ac:dyDescent="0.25">
      <c r="A1233" s="1"/>
      <c r="B1233" s="1"/>
      <c r="C1233" s="1"/>
      <c r="D1233" s="1"/>
    </row>
    <row r="1234" spans="1:4" x14ac:dyDescent="0.25">
      <c r="A1234" s="1"/>
      <c r="B1234" s="1"/>
      <c r="C1234" s="1"/>
      <c r="D1234" s="1"/>
    </row>
    <row r="1235" spans="1:4" x14ac:dyDescent="0.25">
      <c r="A1235" s="1"/>
      <c r="B1235" s="1"/>
      <c r="C1235" s="1"/>
      <c r="D1235" s="1"/>
    </row>
    <row r="1236" spans="1:4" x14ac:dyDescent="0.25">
      <c r="A1236" s="1"/>
      <c r="B1236" s="1"/>
      <c r="C1236" s="1"/>
      <c r="D1236" s="1"/>
    </row>
    <row r="1237" spans="1:4" x14ac:dyDescent="0.25">
      <c r="A1237" s="1"/>
      <c r="B1237" s="1"/>
      <c r="C1237" s="1"/>
      <c r="D1237" s="1"/>
    </row>
    <row r="1238" spans="1:4" x14ac:dyDescent="0.25">
      <c r="A1238" s="1"/>
      <c r="B1238" s="1"/>
      <c r="C1238" s="1"/>
      <c r="D1238" s="1"/>
    </row>
    <row r="1239" spans="1:4" x14ac:dyDescent="0.25">
      <c r="A1239" s="1"/>
      <c r="B1239" s="1"/>
      <c r="C1239" s="1"/>
      <c r="D1239" s="1"/>
    </row>
    <row r="1240" spans="1:4" x14ac:dyDescent="0.25">
      <c r="A1240" s="1"/>
      <c r="B1240" s="1"/>
      <c r="C1240" s="1"/>
      <c r="D1240" s="1"/>
    </row>
    <row r="1241" spans="1:4" x14ac:dyDescent="0.25">
      <c r="A1241" s="1"/>
      <c r="B1241" s="1"/>
      <c r="C1241" s="1"/>
      <c r="D1241" s="1"/>
    </row>
    <row r="1242" spans="1:4" x14ac:dyDescent="0.25">
      <c r="A1242" s="1"/>
      <c r="B1242" s="1"/>
      <c r="C1242" s="1"/>
      <c r="D1242" s="1"/>
    </row>
    <row r="1243" spans="1:4" x14ac:dyDescent="0.25">
      <c r="A1243" s="1"/>
      <c r="B1243" s="1"/>
      <c r="C1243" s="1"/>
      <c r="D1243" s="1"/>
    </row>
    <row r="1244" spans="1:4" x14ac:dyDescent="0.25">
      <c r="A1244" s="1"/>
      <c r="B1244" s="1"/>
      <c r="C1244" s="1"/>
      <c r="D1244" s="1"/>
    </row>
    <row r="1245" spans="1:4" x14ac:dyDescent="0.25">
      <c r="A1245" s="1"/>
      <c r="B1245" s="1"/>
      <c r="C1245" s="1"/>
      <c r="D1245" s="1"/>
    </row>
    <row r="1246" spans="1:4" x14ac:dyDescent="0.25">
      <c r="A1246" s="1"/>
      <c r="B1246" s="1"/>
      <c r="C1246" s="1"/>
      <c r="D1246" s="1"/>
    </row>
    <row r="1247" spans="1:4" x14ac:dyDescent="0.25">
      <c r="A1247" s="1"/>
      <c r="B1247" s="1"/>
      <c r="C1247" s="1"/>
      <c r="D1247" s="1"/>
    </row>
    <row r="1248" spans="1:4" x14ac:dyDescent="0.25">
      <c r="A1248" s="1"/>
      <c r="B1248" s="1"/>
      <c r="C1248" s="1"/>
      <c r="D1248" s="1"/>
    </row>
    <row r="1249" spans="1:4" x14ac:dyDescent="0.25">
      <c r="A1249" s="1"/>
      <c r="B1249" s="1"/>
      <c r="C1249" s="1"/>
      <c r="D1249" s="1"/>
    </row>
    <row r="1250" spans="1:4" x14ac:dyDescent="0.25">
      <c r="A1250" s="1"/>
      <c r="B1250" s="1"/>
      <c r="C1250" s="1"/>
      <c r="D1250" s="1"/>
    </row>
    <row r="1251" spans="1:4" x14ac:dyDescent="0.25">
      <c r="A1251" s="1"/>
      <c r="B1251" s="1"/>
      <c r="C1251" s="1"/>
      <c r="D1251" s="1"/>
    </row>
    <row r="1252" spans="1:4" x14ac:dyDescent="0.25">
      <c r="A1252" s="1"/>
      <c r="B1252" s="1"/>
      <c r="C1252" s="1"/>
      <c r="D1252" s="1"/>
    </row>
    <row r="1253" spans="1:4" x14ac:dyDescent="0.25">
      <c r="A1253" s="1"/>
      <c r="B1253" s="1"/>
      <c r="C1253" s="1"/>
      <c r="D1253" s="1"/>
    </row>
    <row r="1254" spans="1:4" x14ac:dyDescent="0.25">
      <c r="A1254" s="1"/>
      <c r="B1254" s="1"/>
      <c r="C1254" s="1"/>
      <c r="D1254" s="1"/>
    </row>
    <row r="1255" spans="1:4" x14ac:dyDescent="0.25">
      <c r="A1255" s="1"/>
      <c r="B1255" s="1"/>
      <c r="C1255" s="1"/>
      <c r="D1255" s="1"/>
    </row>
    <row r="1256" spans="1:4" x14ac:dyDescent="0.25">
      <c r="A1256" s="1"/>
      <c r="B1256" s="1"/>
      <c r="C1256" s="1"/>
      <c r="D1256" s="1"/>
    </row>
    <row r="1257" spans="1:4" x14ac:dyDescent="0.25">
      <c r="A1257" s="1"/>
      <c r="B1257" s="1"/>
      <c r="C1257" s="1"/>
      <c r="D1257" s="1"/>
    </row>
    <row r="1258" spans="1:4" x14ac:dyDescent="0.25">
      <c r="A1258" s="1"/>
      <c r="B1258" s="1"/>
      <c r="C1258" s="1"/>
      <c r="D1258" s="1"/>
    </row>
    <row r="1259" spans="1:4" x14ac:dyDescent="0.25">
      <c r="A1259" s="1"/>
      <c r="B1259" s="1"/>
      <c r="C1259" s="1"/>
      <c r="D1259" s="1"/>
    </row>
    <row r="1260" spans="1:4" x14ac:dyDescent="0.25">
      <c r="A1260" s="1"/>
      <c r="B1260" s="1"/>
      <c r="C1260" s="1"/>
      <c r="D1260" s="1"/>
    </row>
    <row r="1261" spans="1:4" x14ac:dyDescent="0.25">
      <c r="A1261" s="1"/>
      <c r="B1261" s="1"/>
      <c r="C1261" s="1"/>
      <c r="D1261" s="1"/>
    </row>
    <row r="1262" spans="1:4" x14ac:dyDescent="0.25">
      <c r="A1262" s="1"/>
      <c r="B1262" s="1"/>
      <c r="C1262" s="1"/>
      <c r="D1262" s="1"/>
    </row>
    <row r="1263" spans="1:4" x14ac:dyDescent="0.25">
      <c r="A1263" s="1"/>
      <c r="B1263" s="1"/>
      <c r="C1263" s="1"/>
      <c r="D1263" s="1"/>
    </row>
    <row r="1264" spans="1:4" x14ac:dyDescent="0.25">
      <c r="A1264" s="1"/>
      <c r="B1264" s="1"/>
      <c r="C1264" s="1"/>
      <c r="D1264" s="1"/>
    </row>
    <row r="1265" spans="1:4" x14ac:dyDescent="0.25">
      <c r="A1265" s="1"/>
      <c r="B1265" s="1"/>
      <c r="C1265" s="1"/>
      <c r="D1265" s="1"/>
    </row>
    <row r="1266" spans="1:4" x14ac:dyDescent="0.25">
      <c r="A1266" s="1"/>
      <c r="B1266" s="1"/>
      <c r="C1266" s="1"/>
      <c r="D1266" s="1"/>
    </row>
    <row r="1267" spans="1:4" x14ac:dyDescent="0.25">
      <c r="A1267" s="1"/>
      <c r="B1267" s="1"/>
      <c r="C1267" s="1"/>
      <c r="D1267" s="1"/>
    </row>
    <row r="1268" spans="1:4" x14ac:dyDescent="0.25">
      <c r="A1268" s="1"/>
      <c r="B1268" s="1"/>
      <c r="C1268" s="1"/>
      <c r="D1268" s="1"/>
    </row>
    <row r="1269" spans="1:4" x14ac:dyDescent="0.25">
      <c r="A1269" s="1"/>
      <c r="B1269" s="1"/>
      <c r="C1269" s="1"/>
      <c r="D1269" s="1"/>
    </row>
    <row r="1270" spans="1:4" x14ac:dyDescent="0.25">
      <c r="A1270" s="1"/>
      <c r="B1270" s="1"/>
      <c r="C1270" s="1"/>
      <c r="D1270" s="1"/>
    </row>
    <row r="1271" spans="1:4" x14ac:dyDescent="0.25">
      <c r="A1271" s="1"/>
      <c r="B1271" s="1"/>
      <c r="C1271" s="1"/>
      <c r="D1271" s="1"/>
    </row>
    <row r="1272" spans="1:4" x14ac:dyDescent="0.25">
      <c r="A1272" s="1"/>
      <c r="B1272" s="1"/>
      <c r="C1272" s="1"/>
      <c r="D1272" s="1"/>
    </row>
    <row r="1273" spans="1:4" x14ac:dyDescent="0.25">
      <c r="A1273" s="1"/>
      <c r="B1273" s="1"/>
      <c r="C1273" s="1"/>
      <c r="D1273" s="1"/>
    </row>
    <row r="1274" spans="1:4" x14ac:dyDescent="0.25">
      <c r="A1274" s="1"/>
      <c r="B1274" s="1"/>
      <c r="C1274" s="1"/>
      <c r="D1274" s="1"/>
    </row>
    <row r="1275" spans="1:4" x14ac:dyDescent="0.25">
      <c r="A1275" s="1"/>
      <c r="B1275" s="1"/>
      <c r="C1275" s="1"/>
      <c r="D1275" s="1"/>
    </row>
    <row r="1276" spans="1:4" x14ac:dyDescent="0.25">
      <c r="A1276" s="1"/>
      <c r="B1276" s="1"/>
      <c r="C1276" s="1"/>
      <c r="D1276" s="1"/>
    </row>
    <row r="1277" spans="1:4" x14ac:dyDescent="0.25">
      <c r="A1277" s="1"/>
      <c r="B1277" s="1"/>
      <c r="C1277" s="1"/>
      <c r="D1277" s="1"/>
    </row>
    <row r="1278" spans="1:4" x14ac:dyDescent="0.25">
      <c r="A1278" s="1"/>
      <c r="B1278" s="1"/>
      <c r="C1278" s="1"/>
      <c r="D1278" s="1"/>
    </row>
    <row r="1279" spans="1:4" x14ac:dyDescent="0.25">
      <c r="A1279" s="1"/>
      <c r="B1279" s="1"/>
      <c r="C1279" s="1"/>
      <c r="D1279" s="1"/>
    </row>
    <row r="1280" spans="1:4" x14ac:dyDescent="0.25">
      <c r="A1280" s="1"/>
      <c r="B1280" s="1"/>
      <c r="C1280" s="1"/>
      <c r="D1280" s="1"/>
    </row>
    <row r="1281" spans="1:4" x14ac:dyDescent="0.25">
      <c r="A1281" s="1"/>
      <c r="B1281" s="1"/>
      <c r="C1281" s="1"/>
      <c r="D1281" s="1"/>
    </row>
    <row r="1282" spans="1:4" x14ac:dyDescent="0.25">
      <c r="A1282" s="1"/>
      <c r="B1282" s="1"/>
      <c r="C1282" s="1"/>
      <c r="D1282" s="1"/>
    </row>
    <row r="1283" spans="1:4" x14ac:dyDescent="0.25">
      <c r="A1283" s="1"/>
      <c r="B1283" s="1"/>
      <c r="C1283" s="1"/>
      <c r="D1283" s="1"/>
    </row>
    <row r="1284" spans="1:4" x14ac:dyDescent="0.25">
      <c r="A1284" s="1"/>
      <c r="B1284" s="1"/>
      <c r="C1284" s="1"/>
      <c r="D1284" s="1"/>
    </row>
    <row r="1285" spans="1:4" x14ac:dyDescent="0.25">
      <c r="A1285" s="1"/>
      <c r="B1285" s="1"/>
      <c r="C1285" s="1"/>
      <c r="D1285" s="1"/>
    </row>
    <row r="1286" spans="1:4" x14ac:dyDescent="0.25">
      <c r="A1286" s="1"/>
      <c r="B1286" s="1"/>
      <c r="C1286" s="1"/>
      <c r="D1286" s="1"/>
    </row>
    <row r="1287" spans="1:4" x14ac:dyDescent="0.25">
      <c r="A1287" s="1"/>
      <c r="B1287" s="1"/>
      <c r="C1287" s="1"/>
      <c r="D1287" s="1"/>
    </row>
    <row r="1288" spans="1:4" x14ac:dyDescent="0.25">
      <c r="A1288" s="1"/>
      <c r="B1288" s="1"/>
      <c r="C1288" s="1"/>
      <c r="D1288" s="1"/>
    </row>
    <row r="1289" spans="1:4" x14ac:dyDescent="0.25">
      <c r="A1289" s="1"/>
      <c r="B1289" s="1"/>
      <c r="C1289" s="1"/>
      <c r="D1289" s="1"/>
    </row>
    <row r="1290" spans="1:4" x14ac:dyDescent="0.25">
      <c r="A1290" s="1"/>
      <c r="B1290" s="1"/>
      <c r="C1290" s="1"/>
      <c r="D1290" s="1"/>
    </row>
    <row r="1291" spans="1:4" x14ac:dyDescent="0.25">
      <c r="A1291" s="1"/>
      <c r="B1291" s="1"/>
      <c r="C1291" s="1"/>
      <c r="D1291" s="1"/>
    </row>
    <row r="1292" spans="1:4" x14ac:dyDescent="0.25">
      <c r="A1292" s="1"/>
      <c r="B1292" s="1"/>
      <c r="C1292" s="1"/>
      <c r="D1292" s="1"/>
    </row>
    <row r="1293" spans="1:4" x14ac:dyDescent="0.25">
      <c r="A1293" s="1"/>
      <c r="B1293" s="1"/>
      <c r="C1293" s="1"/>
      <c r="D1293" s="1"/>
    </row>
    <row r="1294" spans="1:4" x14ac:dyDescent="0.25">
      <c r="A1294" s="1"/>
      <c r="B1294" s="1"/>
      <c r="C1294" s="1"/>
      <c r="D1294" s="1"/>
    </row>
    <row r="1295" spans="1:4" x14ac:dyDescent="0.25">
      <c r="A1295" s="1"/>
      <c r="B1295" s="1"/>
      <c r="C1295" s="1"/>
      <c r="D1295" s="1"/>
    </row>
    <row r="1296" spans="1:4" x14ac:dyDescent="0.25">
      <c r="A1296" s="1"/>
      <c r="B1296" s="1"/>
      <c r="C1296" s="1"/>
      <c r="D1296" s="1"/>
    </row>
    <row r="1297" spans="1:4" x14ac:dyDescent="0.25">
      <c r="A1297" s="1"/>
      <c r="B1297" s="1"/>
      <c r="C1297" s="1"/>
      <c r="D1297" s="1"/>
    </row>
    <row r="1298" spans="1:4" x14ac:dyDescent="0.25">
      <c r="A1298" s="1"/>
      <c r="B1298" s="1"/>
      <c r="C1298" s="1"/>
      <c r="D1298" s="1"/>
    </row>
    <row r="1299" spans="1:4" x14ac:dyDescent="0.25">
      <c r="A1299" s="1"/>
      <c r="B1299" s="1"/>
      <c r="C1299" s="1"/>
      <c r="D1299" s="1"/>
    </row>
    <row r="1300" spans="1:4" x14ac:dyDescent="0.25">
      <c r="A1300" s="1"/>
      <c r="B1300" s="1"/>
      <c r="C1300" s="1"/>
      <c r="D1300" s="1"/>
    </row>
    <row r="1301" spans="1:4" x14ac:dyDescent="0.25">
      <c r="A1301" s="1"/>
      <c r="B1301" s="1"/>
      <c r="C1301" s="1"/>
      <c r="D1301" s="1"/>
    </row>
    <row r="1302" spans="1:4" x14ac:dyDescent="0.25">
      <c r="A1302" s="1"/>
      <c r="B1302" s="1"/>
      <c r="C1302" s="1"/>
      <c r="D1302" s="1"/>
    </row>
    <row r="1303" spans="1:4" x14ac:dyDescent="0.25">
      <c r="A1303" s="1"/>
      <c r="B1303" s="1"/>
      <c r="C1303" s="1"/>
      <c r="D1303" s="1"/>
    </row>
    <row r="1304" spans="1:4" x14ac:dyDescent="0.25">
      <c r="A1304" s="1"/>
      <c r="B1304" s="1"/>
      <c r="C1304" s="1"/>
      <c r="D1304" s="1"/>
    </row>
    <row r="1305" spans="1:4" x14ac:dyDescent="0.25">
      <c r="A1305" s="1"/>
      <c r="B1305" s="1"/>
      <c r="C1305" s="1"/>
      <c r="D1305" s="1"/>
    </row>
    <row r="1306" spans="1:4" x14ac:dyDescent="0.25">
      <c r="A1306" s="1"/>
      <c r="B1306" s="1"/>
      <c r="C1306" s="1"/>
      <c r="D1306" s="1"/>
    </row>
    <row r="1307" spans="1:4" x14ac:dyDescent="0.25">
      <c r="A1307" s="1"/>
      <c r="B1307" s="1"/>
      <c r="C1307" s="1"/>
      <c r="D1307" s="1"/>
    </row>
    <row r="1308" spans="1:4" x14ac:dyDescent="0.25">
      <c r="A1308" s="1"/>
      <c r="B1308" s="1"/>
      <c r="C1308" s="1"/>
      <c r="D1308" s="1"/>
    </row>
    <row r="1309" spans="1:4" x14ac:dyDescent="0.25">
      <c r="A1309" s="1"/>
      <c r="B1309" s="1"/>
      <c r="C1309" s="1"/>
      <c r="D1309" s="1"/>
    </row>
    <row r="1310" spans="1:4" x14ac:dyDescent="0.25">
      <c r="A1310" s="1"/>
      <c r="B1310" s="1"/>
      <c r="C1310" s="1"/>
      <c r="D1310" s="1"/>
    </row>
    <row r="1311" spans="1:4" x14ac:dyDescent="0.25">
      <c r="A1311" s="1"/>
      <c r="B1311" s="1"/>
      <c r="C1311" s="1"/>
      <c r="D1311" s="1"/>
    </row>
    <row r="1312" spans="1:4" x14ac:dyDescent="0.25">
      <c r="A1312" s="1"/>
      <c r="B1312" s="1"/>
      <c r="C1312" s="1"/>
      <c r="D1312" s="1"/>
    </row>
    <row r="1313" spans="1:4" x14ac:dyDescent="0.25">
      <c r="A1313" s="1"/>
      <c r="B1313" s="1"/>
      <c r="C1313" s="1"/>
      <c r="D1313" s="1"/>
    </row>
    <row r="1314" spans="1:4" x14ac:dyDescent="0.25">
      <c r="A1314" s="1"/>
      <c r="B1314" s="1"/>
      <c r="C1314" s="1"/>
      <c r="D1314" s="1"/>
    </row>
    <row r="1315" spans="1:4" x14ac:dyDescent="0.25">
      <c r="A1315" s="1"/>
      <c r="B1315" s="1"/>
      <c r="C1315" s="1"/>
      <c r="D1315" s="1"/>
    </row>
    <row r="1316" spans="1:4" x14ac:dyDescent="0.25">
      <c r="A1316" s="1"/>
      <c r="B1316" s="1"/>
      <c r="C1316" s="1"/>
      <c r="D1316" s="1"/>
    </row>
    <row r="1317" spans="1:4" x14ac:dyDescent="0.25">
      <c r="A1317" s="1"/>
      <c r="B1317" s="1"/>
      <c r="C1317" s="1"/>
      <c r="D1317" s="1"/>
    </row>
    <row r="1318" spans="1:4" x14ac:dyDescent="0.25">
      <c r="A1318" s="1"/>
      <c r="B1318" s="1"/>
      <c r="C1318" s="1"/>
      <c r="D1318" s="1"/>
    </row>
    <row r="1319" spans="1:4" x14ac:dyDescent="0.25">
      <c r="A1319" s="1"/>
      <c r="B1319" s="1"/>
      <c r="C1319" s="1"/>
      <c r="D1319" s="1"/>
    </row>
    <row r="1320" spans="1:4" x14ac:dyDescent="0.25">
      <c r="A1320" s="1"/>
      <c r="B1320" s="1"/>
      <c r="C1320" s="1"/>
      <c r="D1320" s="1"/>
    </row>
    <row r="1321" spans="1:4" x14ac:dyDescent="0.25">
      <c r="A1321" s="1"/>
      <c r="B1321" s="1"/>
      <c r="C1321" s="1"/>
      <c r="D1321" s="1"/>
    </row>
    <row r="1322" spans="1:4" x14ac:dyDescent="0.25">
      <c r="A1322" s="1"/>
      <c r="B1322" s="1"/>
      <c r="C1322" s="1"/>
      <c r="D1322" s="1"/>
    </row>
    <row r="1323" spans="1:4" x14ac:dyDescent="0.25">
      <c r="A1323" s="1"/>
      <c r="B1323" s="1"/>
      <c r="C1323" s="1"/>
      <c r="D1323" s="1"/>
    </row>
    <row r="1324" spans="1:4" x14ac:dyDescent="0.25">
      <c r="A1324" s="1"/>
      <c r="B1324" s="1"/>
      <c r="C1324" s="1"/>
      <c r="D1324" s="1"/>
    </row>
    <row r="1325" spans="1:4" x14ac:dyDescent="0.25">
      <c r="A1325" s="1"/>
      <c r="B1325" s="1"/>
      <c r="C1325" s="1"/>
      <c r="D1325" s="1"/>
    </row>
    <row r="1326" spans="1:4" x14ac:dyDescent="0.25">
      <c r="A1326" s="1"/>
      <c r="B1326" s="1"/>
      <c r="C1326" s="1"/>
      <c r="D1326" s="1"/>
    </row>
    <row r="1327" spans="1:4" x14ac:dyDescent="0.25">
      <c r="A1327" s="1"/>
      <c r="B1327" s="1"/>
      <c r="C1327" s="1"/>
      <c r="D1327" s="1"/>
    </row>
    <row r="1328" spans="1:4" x14ac:dyDescent="0.25">
      <c r="A1328" s="1"/>
      <c r="B1328" s="1"/>
      <c r="C1328" s="1"/>
      <c r="D1328" s="1"/>
    </row>
    <row r="1329" spans="1:4" x14ac:dyDescent="0.25">
      <c r="A1329" s="1"/>
      <c r="B1329" s="1"/>
      <c r="C1329" s="1"/>
      <c r="D1329" s="1"/>
    </row>
    <row r="1330" spans="1:4" x14ac:dyDescent="0.25">
      <c r="A1330" s="1"/>
      <c r="B1330" s="1"/>
      <c r="C1330" s="1"/>
      <c r="D1330" s="1"/>
    </row>
    <row r="1331" spans="1:4" x14ac:dyDescent="0.25">
      <c r="A1331" s="1"/>
      <c r="B1331" s="1"/>
      <c r="C1331" s="1"/>
      <c r="D1331" s="1"/>
    </row>
    <row r="1332" spans="1:4" x14ac:dyDescent="0.25">
      <c r="A1332" s="1"/>
      <c r="B1332" s="1"/>
      <c r="C1332" s="1"/>
      <c r="D1332" s="1"/>
    </row>
    <row r="1333" spans="1:4" x14ac:dyDescent="0.25">
      <c r="A1333" s="1"/>
      <c r="B1333" s="1"/>
      <c r="C1333" s="1"/>
      <c r="D1333" s="1"/>
    </row>
    <row r="1334" spans="1:4" x14ac:dyDescent="0.25">
      <c r="A1334" s="1"/>
      <c r="B1334" s="1"/>
      <c r="C1334" s="1"/>
      <c r="D1334" s="1"/>
    </row>
    <row r="1335" spans="1:4" x14ac:dyDescent="0.25">
      <c r="A1335" s="1"/>
      <c r="B1335" s="1"/>
      <c r="C1335" s="1"/>
      <c r="D1335" s="1"/>
    </row>
    <row r="1336" spans="1:4" x14ac:dyDescent="0.25">
      <c r="A1336" s="1"/>
      <c r="B1336" s="1"/>
      <c r="C1336" s="1"/>
      <c r="D1336" s="1"/>
    </row>
    <row r="1337" spans="1:4" x14ac:dyDescent="0.25">
      <c r="A1337" s="1"/>
      <c r="B1337" s="1"/>
      <c r="C1337" s="1"/>
      <c r="D1337" s="1"/>
    </row>
    <row r="1338" spans="1:4" x14ac:dyDescent="0.25">
      <c r="A1338" s="1"/>
      <c r="B1338" s="1"/>
      <c r="C1338" s="1"/>
      <c r="D1338" s="1"/>
    </row>
    <row r="1339" spans="1:4" x14ac:dyDescent="0.25">
      <c r="A1339" s="1"/>
      <c r="B1339" s="1"/>
      <c r="C1339" s="1"/>
      <c r="D1339" s="1"/>
    </row>
    <row r="1340" spans="1:4" x14ac:dyDescent="0.25">
      <c r="A1340" s="1"/>
      <c r="B1340" s="1"/>
      <c r="C1340" s="1"/>
      <c r="D1340" s="1"/>
    </row>
    <row r="1341" spans="1:4" x14ac:dyDescent="0.25">
      <c r="A1341" s="1"/>
      <c r="B1341" s="1"/>
      <c r="C1341" s="1"/>
      <c r="D1341" s="1"/>
    </row>
    <row r="1342" spans="1:4" x14ac:dyDescent="0.25">
      <c r="A1342" s="1"/>
      <c r="B1342" s="1"/>
      <c r="C1342" s="1"/>
      <c r="D1342" s="1"/>
    </row>
    <row r="1343" spans="1:4" x14ac:dyDescent="0.25">
      <c r="A1343" s="1"/>
      <c r="B1343" s="1"/>
      <c r="C1343" s="1"/>
      <c r="D1343" s="1"/>
    </row>
    <row r="1344" spans="1:4" x14ac:dyDescent="0.25">
      <c r="A1344" s="1"/>
      <c r="B1344" s="1"/>
      <c r="C1344" s="1"/>
      <c r="D1344" s="1"/>
    </row>
    <row r="1345" spans="1:4" x14ac:dyDescent="0.25">
      <c r="A1345" s="1"/>
      <c r="B1345" s="1"/>
      <c r="C1345" s="1"/>
      <c r="D1345" s="1"/>
    </row>
    <row r="1346" spans="1:4" x14ac:dyDescent="0.25">
      <c r="A1346" s="1"/>
      <c r="B1346" s="1"/>
      <c r="C1346" s="1"/>
      <c r="D1346" s="1"/>
    </row>
    <row r="1347" spans="1:4" x14ac:dyDescent="0.25">
      <c r="A1347" s="1"/>
      <c r="B1347" s="1"/>
      <c r="C1347" s="1"/>
      <c r="D1347" s="1"/>
    </row>
    <row r="1348" spans="1:4" x14ac:dyDescent="0.25">
      <c r="A1348" s="1"/>
      <c r="B1348" s="1"/>
      <c r="C1348" s="1"/>
      <c r="D1348" s="1"/>
    </row>
    <row r="1349" spans="1:4" x14ac:dyDescent="0.25">
      <c r="A1349" s="1"/>
      <c r="B1349" s="1"/>
      <c r="C1349" s="1"/>
      <c r="D1349" s="1"/>
    </row>
    <row r="1350" spans="1:4" x14ac:dyDescent="0.25">
      <c r="A1350" s="1"/>
      <c r="B1350" s="1"/>
      <c r="C1350" s="1"/>
      <c r="D1350" s="1"/>
    </row>
    <row r="1351" spans="1:4" x14ac:dyDescent="0.25">
      <c r="A1351" s="1"/>
      <c r="B1351" s="1"/>
      <c r="C1351" s="1"/>
      <c r="D1351" s="1"/>
    </row>
    <row r="1352" spans="1:4" x14ac:dyDescent="0.25">
      <c r="A1352" s="1"/>
      <c r="B1352" s="1"/>
      <c r="C1352" s="1"/>
      <c r="D1352" s="1"/>
    </row>
    <row r="1353" spans="1:4" x14ac:dyDescent="0.25">
      <c r="A1353" s="1"/>
      <c r="B1353" s="1"/>
      <c r="C1353" s="1"/>
      <c r="D1353" s="1"/>
    </row>
    <row r="1354" spans="1:4" x14ac:dyDescent="0.25">
      <c r="A1354" s="1"/>
      <c r="B1354" s="1"/>
      <c r="C1354" s="1"/>
      <c r="D1354" s="1"/>
    </row>
    <row r="1355" spans="1:4" x14ac:dyDescent="0.25">
      <c r="A1355" s="1"/>
      <c r="B1355" s="1"/>
      <c r="C1355" s="1"/>
      <c r="D1355" s="1"/>
    </row>
    <row r="1356" spans="1:4" x14ac:dyDescent="0.25">
      <c r="A1356" s="1"/>
      <c r="B1356" s="1"/>
      <c r="C1356" s="1"/>
      <c r="D1356" s="1"/>
    </row>
    <row r="1357" spans="1:4" x14ac:dyDescent="0.25">
      <c r="A1357" s="1"/>
      <c r="B1357" s="1"/>
      <c r="C1357" s="1"/>
      <c r="D1357" s="1"/>
    </row>
    <row r="1358" spans="1:4" x14ac:dyDescent="0.25">
      <c r="A1358" s="1"/>
      <c r="B1358" s="1"/>
      <c r="C1358" s="1"/>
      <c r="D1358" s="1"/>
    </row>
    <row r="1359" spans="1:4" x14ac:dyDescent="0.25">
      <c r="A1359" s="1"/>
      <c r="B1359" s="1"/>
      <c r="C1359" s="1"/>
      <c r="D1359" s="1"/>
    </row>
    <row r="1360" spans="1:4" x14ac:dyDescent="0.25">
      <c r="A1360" s="1"/>
      <c r="B1360" s="1"/>
      <c r="C1360" s="1"/>
      <c r="D1360" s="1"/>
    </row>
    <row r="1361" spans="1:4" x14ac:dyDescent="0.25">
      <c r="A1361" s="1"/>
      <c r="B1361" s="1"/>
      <c r="C1361" s="1"/>
      <c r="D1361" s="1"/>
    </row>
    <row r="1362" spans="1:4" x14ac:dyDescent="0.25">
      <c r="A1362" s="1"/>
      <c r="B1362" s="1"/>
      <c r="C1362" s="1"/>
      <c r="D1362" s="1"/>
    </row>
    <row r="1363" spans="1:4" x14ac:dyDescent="0.25">
      <c r="A1363" s="1"/>
      <c r="B1363" s="1"/>
      <c r="C1363" s="1"/>
      <c r="D1363" s="1"/>
    </row>
    <row r="1364" spans="1:4" x14ac:dyDescent="0.25">
      <c r="A1364" s="1"/>
      <c r="B1364" s="1"/>
      <c r="C1364" s="1"/>
      <c r="D1364" s="1"/>
    </row>
    <row r="1365" spans="1:4" x14ac:dyDescent="0.25">
      <c r="A1365" s="1"/>
      <c r="B1365" s="1"/>
      <c r="C1365" s="1"/>
      <c r="D1365" s="1"/>
    </row>
    <row r="1366" spans="1:4" x14ac:dyDescent="0.25">
      <c r="A1366" s="1"/>
      <c r="B1366" s="1"/>
      <c r="C1366" s="1"/>
      <c r="D1366" s="1"/>
    </row>
    <row r="1367" spans="1:4" x14ac:dyDescent="0.25">
      <c r="A1367" s="1"/>
      <c r="B1367" s="1"/>
      <c r="C1367" s="1"/>
      <c r="D1367" s="1"/>
    </row>
    <row r="1368" spans="1:4" x14ac:dyDescent="0.25">
      <c r="A1368" s="1"/>
      <c r="B1368" s="1"/>
      <c r="C1368" s="1"/>
      <c r="D1368" s="1"/>
    </row>
    <row r="1369" spans="1:4" x14ac:dyDescent="0.25">
      <c r="A1369" s="1"/>
      <c r="B1369" s="1"/>
      <c r="C1369" s="1"/>
      <c r="D1369" s="1"/>
    </row>
    <row r="1370" spans="1:4" x14ac:dyDescent="0.25">
      <c r="A1370" s="1"/>
      <c r="B1370" s="1"/>
      <c r="C1370" s="1"/>
      <c r="D1370" s="1"/>
    </row>
    <row r="1371" spans="1:4" x14ac:dyDescent="0.25">
      <c r="A1371" s="1"/>
      <c r="B1371" s="1"/>
      <c r="C1371" s="1"/>
      <c r="D1371" s="1"/>
    </row>
    <row r="1372" spans="1:4" x14ac:dyDescent="0.25">
      <c r="A1372" s="1"/>
      <c r="B1372" s="1"/>
      <c r="C1372" s="1"/>
      <c r="D1372" s="1"/>
    </row>
    <row r="1373" spans="1:4" x14ac:dyDescent="0.25">
      <c r="A1373" s="1"/>
      <c r="B1373" s="1"/>
      <c r="C1373" s="1"/>
      <c r="D1373" s="1"/>
    </row>
    <row r="1374" spans="1:4" x14ac:dyDescent="0.25">
      <c r="A1374" s="1"/>
      <c r="B1374" s="1"/>
      <c r="C1374" s="1"/>
      <c r="D1374" s="1"/>
    </row>
    <row r="1375" spans="1:4" x14ac:dyDescent="0.25">
      <c r="A1375" s="1"/>
      <c r="B1375" s="1"/>
      <c r="C1375" s="1"/>
      <c r="D1375" s="1"/>
    </row>
    <row r="1376" spans="1:4" x14ac:dyDescent="0.25">
      <c r="A1376" s="1"/>
      <c r="B1376" s="1"/>
      <c r="C1376" s="1"/>
      <c r="D1376" s="1"/>
    </row>
    <row r="1377" spans="1:4" x14ac:dyDescent="0.25">
      <c r="A1377" s="1"/>
      <c r="B1377" s="1"/>
      <c r="C1377" s="1"/>
      <c r="D1377" s="1"/>
    </row>
    <row r="1378" spans="1:4" x14ac:dyDescent="0.25">
      <c r="A1378" s="1"/>
      <c r="B1378" s="1"/>
      <c r="C1378" s="1"/>
      <c r="D1378" s="1"/>
    </row>
    <row r="1379" spans="1:4" x14ac:dyDescent="0.25">
      <c r="A1379" s="1"/>
      <c r="B1379" s="1"/>
      <c r="C1379" s="1"/>
      <c r="D1379" s="1"/>
    </row>
    <row r="1380" spans="1:4" x14ac:dyDescent="0.25">
      <c r="A1380" s="1"/>
      <c r="B1380" s="1"/>
      <c r="C1380" s="1"/>
      <c r="D1380" s="1"/>
    </row>
    <row r="1381" spans="1:4" x14ac:dyDescent="0.25">
      <c r="A1381" s="1"/>
      <c r="B1381" s="1"/>
      <c r="C1381" s="1"/>
      <c r="D1381" s="1"/>
    </row>
    <row r="1382" spans="1:4" x14ac:dyDescent="0.25">
      <c r="A1382" s="1"/>
      <c r="B1382" s="1"/>
      <c r="C1382" s="1"/>
      <c r="D1382" s="1"/>
    </row>
    <row r="1383" spans="1:4" x14ac:dyDescent="0.25">
      <c r="A1383" s="1"/>
      <c r="B1383" s="1"/>
      <c r="C1383" s="1"/>
      <c r="D1383" s="1"/>
    </row>
    <row r="1384" spans="1:4" x14ac:dyDescent="0.25">
      <c r="A1384" s="1"/>
      <c r="B1384" s="1"/>
      <c r="C1384" s="1"/>
      <c r="D1384" s="1"/>
    </row>
    <row r="1385" spans="1:4" x14ac:dyDescent="0.25">
      <c r="A1385" s="1"/>
      <c r="B1385" s="1"/>
      <c r="C1385" s="1"/>
      <c r="D1385" s="1"/>
    </row>
    <row r="1386" spans="1:4" x14ac:dyDescent="0.25">
      <c r="A1386" s="1"/>
      <c r="B1386" s="1"/>
      <c r="C1386" s="1"/>
      <c r="D1386" s="1"/>
    </row>
    <row r="1387" spans="1:4" x14ac:dyDescent="0.25">
      <c r="A1387" s="1"/>
      <c r="B1387" s="1"/>
      <c r="C1387" s="1"/>
      <c r="D1387" s="1"/>
    </row>
    <row r="1388" spans="1:4" x14ac:dyDescent="0.25">
      <c r="A1388" s="1"/>
      <c r="B1388" s="1"/>
      <c r="C1388" s="1"/>
      <c r="D1388" s="1"/>
    </row>
    <row r="1389" spans="1:4" x14ac:dyDescent="0.25">
      <c r="A1389" s="1"/>
      <c r="B1389" s="1"/>
      <c r="C1389" s="1"/>
      <c r="D1389" s="1"/>
    </row>
    <row r="1390" spans="1:4" x14ac:dyDescent="0.25">
      <c r="A1390" s="1"/>
      <c r="B1390" s="1"/>
      <c r="C1390" s="1"/>
      <c r="D1390" s="1"/>
    </row>
    <row r="1391" spans="1:4" x14ac:dyDescent="0.25">
      <c r="A1391" s="1"/>
      <c r="B1391" s="1"/>
      <c r="C1391" s="1"/>
      <c r="D1391" s="1"/>
    </row>
    <row r="1392" spans="1:4" x14ac:dyDescent="0.25">
      <c r="A1392" s="1"/>
      <c r="B1392" s="1"/>
      <c r="C1392" s="1"/>
      <c r="D1392" s="1"/>
    </row>
    <row r="1393" spans="1:4" x14ac:dyDescent="0.25">
      <c r="A1393" s="1"/>
      <c r="B1393" s="1"/>
      <c r="C1393" s="1"/>
      <c r="D1393" s="1"/>
    </row>
    <row r="1394" spans="1:4" x14ac:dyDescent="0.25">
      <c r="A1394" s="1"/>
      <c r="B1394" s="1"/>
      <c r="C1394" s="1"/>
      <c r="D1394" s="1"/>
    </row>
    <row r="1395" spans="1:4" x14ac:dyDescent="0.25">
      <c r="A1395" s="1"/>
      <c r="B1395" s="1"/>
      <c r="C1395" s="1"/>
      <c r="D1395" s="1"/>
    </row>
    <row r="1396" spans="1:4" x14ac:dyDescent="0.25">
      <c r="A1396" s="1"/>
      <c r="B1396" s="1"/>
      <c r="C1396" s="1"/>
      <c r="D1396" s="1"/>
    </row>
    <row r="1397" spans="1:4" x14ac:dyDescent="0.25">
      <c r="A1397" s="1"/>
      <c r="B1397" s="1"/>
      <c r="C1397" s="1"/>
      <c r="D1397" s="1"/>
    </row>
    <row r="1398" spans="1:4" x14ac:dyDescent="0.25">
      <c r="A1398" s="1"/>
      <c r="B1398" s="1"/>
      <c r="C1398" s="1"/>
      <c r="D1398" s="1"/>
    </row>
    <row r="1399" spans="1:4" x14ac:dyDescent="0.25">
      <c r="A1399" s="1"/>
      <c r="B1399" s="1"/>
      <c r="C1399" s="1"/>
      <c r="D1399" s="1"/>
    </row>
    <row r="1400" spans="1:4" x14ac:dyDescent="0.25">
      <c r="A1400" s="1"/>
      <c r="B1400" s="1"/>
      <c r="C1400" s="1"/>
      <c r="D1400" s="1"/>
    </row>
    <row r="1401" spans="1:4" x14ac:dyDescent="0.25">
      <c r="A1401" s="1"/>
      <c r="B1401" s="1"/>
      <c r="C1401" s="1"/>
      <c r="D1401" s="1"/>
    </row>
    <row r="1402" spans="1:4" x14ac:dyDescent="0.25">
      <c r="A1402" s="1"/>
      <c r="B1402" s="1"/>
      <c r="C1402" s="1"/>
      <c r="D1402" s="1"/>
    </row>
    <row r="1403" spans="1:4" x14ac:dyDescent="0.25">
      <c r="A1403" s="1"/>
      <c r="B1403" s="1"/>
      <c r="C1403" s="1"/>
      <c r="D1403" s="1"/>
    </row>
    <row r="1404" spans="1:4" x14ac:dyDescent="0.25">
      <c r="A1404" s="1"/>
      <c r="B1404" s="1"/>
      <c r="C1404" s="1"/>
      <c r="D1404" s="1"/>
    </row>
    <row r="1405" spans="1:4" x14ac:dyDescent="0.25">
      <c r="A1405" s="1"/>
      <c r="B1405" s="1"/>
      <c r="C1405" s="1"/>
      <c r="D1405" s="1"/>
    </row>
    <row r="1406" spans="1:4" x14ac:dyDescent="0.25">
      <c r="A1406" s="1"/>
      <c r="B1406" s="1"/>
      <c r="C1406" s="1"/>
      <c r="D1406" s="1"/>
    </row>
    <row r="1407" spans="1:4" x14ac:dyDescent="0.25">
      <c r="A1407" s="1"/>
      <c r="B1407" s="1"/>
      <c r="C1407" s="1"/>
      <c r="D1407" s="1"/>
    </row>
    <row r="1408" spans="1:4" x14ac:dyDescent="0.25">
      <c r="A1408" s="1"/>
      <c r="B1408" s="1"/>
      <c r="C1408" s="1"/>
      <c r="D1408" s="1"/>
    </row>
    <row r="1409" spans="1:4" x14ac:dyDescent="0.25">
      <c r="A1409" s="1"/>
      <c r="B1409" s="1"/>
      <c r="C1409" s="1"/>
      <c r="D1409" s="1"/>
    </row>
    <row r="1410" spans="1:4" x14ac:dyDescent="0.25">
      <c r="A1410" s="1"/>
      <c r="B1410" s="1"/>
      <c r="C1410" s="1"/>
      <c r="D1410" s="1"/>
    </row>
    <row r="1411" spans="1:4" x14ac:dyDescent="0.25">
      <c r="A1411" s="1"/>
      <c r="B1411" s="1"/>
      <c r="C1411" s="1"/>
      <c r="D1411" s="1"/>
    </row>
    <row r="1412" spans="1:4" x14ac:dyDescent="0.25">
      <c r="A1412" s="1"/>
      <c r="B1412" s="1"/>
      <c r="C1412" s="1"/>
      <c r="D1412" s="1"/>
    </row>
    <row r="1413" spans="1:4" x14ac:dyDescent="0.25">
      <c r="A1413" s="1"/>
      <c r="B1413" s="1"/>
      <c r="C1413" s="1"/>
      <c r="D1413" s="1"/>
    </row>
    <row r="1414" spans="1:4" x14ac:dyDescent="0.25">
      <c r="A1414" s="1"/>
      <c r="B1414" s="1"/>
      <c r="C1414" s="1"/>
      <c r="D1414" s="1"/>
    </row>
    <row r="1415" spans="1:4" x14ac:dyDescent="0.25">
      <c r="A1415" s="1"/>
      <c r="B1415" s="1"/>
      <c r="C1415" s="1"/>
      <c r="D1415" s="1"/>
    </row>
    <row r="1416" spans="1:4" x14ac:dyDescent="0.25">
      <c r="A1416" s="1"/>
      <c r="B1416" s="1"/>
      <c r="C1416" s="1"/>
      <c r="D1416" s="1"/>
    </row>
    <row r="1417" spans="1:4" x14ac:dyDescent="0.25">
      <c r="A1417" s="1"/>
      <c r="B1417" s="1"/>
      <c r="C1417" s="1"/>
      <c r="D1417" s="1"/>
    </row>
    <row r="1418" spans="1:4" x14ac:dyDescent="0.25">
      <c r="A1418" s="1"/>
      <c r="B1418" s="1"/>
      <c r="C1418" s="1"/>
      <c r="D1418" s="1"/>
    </row>
    <row r="1419" spans="1:4" x14ac:dyDescent="0.25">
      <c r="A1419" s="1"/>
      <c r="B1419" s="1"/>
      <c r="C1419" s="1"/>
      <c r="D1419" s="1"/>
    </row>
    <row r="1420" spans="1:4" x14ac:dyDescent="0.25">
      <c r="A1420" s="1"/>
      <c r="B1420" s="1"/>
      <c r="C1420" s="1"/>
      <c r="D1420" s="1"/>
    </row>
    <row r="1421" spans="1:4" x14ac:dyDescent="0.25">
      <c r="A1421" s="1"/>
      <c r="B1421" s="1"/>
      <c r="C1421" s="1"/>
      <c r="D1421" s="1"/>
    </row>
    <row r="1422" spans="1:4" x14ac:dyDescent="0.25">
      <c r="A1422" s="1"/>
      <c r="B1422" s="1"/>
      <c r="C1422" s="1"/>
      <c r="D1422" s="1"/>
    </row>
    <row r="1423" spans="1:4" x14ac:dyDescent="0.25">
      <c r="A1423" s="1"/>
      <c r="B1423" s="1"/>
      <c r="C1423" s="1"/>
      <c r="D1423" s="1"/>
    </row>
    <row r="1424" spans="1:4" x14ac:dyDescent="0.25">
      <c r="A1424" s="1"/>
      <c r="B1424" s="1"/>
      <c r="C1424" s="1"/>
      <c r="D1424" s="1"/>
    </row>
    <row r="1425" spans="1:4" x14ac:dyDescent="0.25">
      <c r="A1425" s="1"/>
      <c r="B1425" s="1"/>
      <c r="C1425" s="1"/>
      <c r="D1425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Z489"/>
  <sheetViews>
    <sheetView workbookViewId="0">
      <selection activeCell="C25" sqref="C25"/>
    </sheetView>
  </sheetViews>
  <sheetFormatPr baseColWidth="10" defaultRowHeight="15" x14ac:dyDescent="0.25"/>
  <sheetData>
    <row r="1" spans="1:2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>
        <v>12.218</v>
      </c>
      <c r="Q1" s="1"/>
      <c r="R1" s="1"/>
      <c r="S1" s="1" t="s">
        <v>1</v>
      </c>
      <c r="T1" s="1"/>
      <c r="U1" s="1"/>
      <c r="V1" s="1"/>
      <c r="W1" s="1"/>
      <c r="X1" s="1"/>
      <c r="Y1" s="1" t="s">
        <v>2</v>
      </c>
      <c r="Z1" s="1" t="s">
        <v>3</v>
      </c>
    </row>
    <row r="2" spans="1:26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>
        <v>2457018.4397999998</v>
      </c>
      <c r="R2" s="1"/>
      <c r="S2" s="1" t="s">
        <v>1</v>
      </c>
      <c r="T2" s="1">
        <v>1</v>
      </c>
      <c r="U2" s="1"/>
      <c r="V2" s="1"/>
      <c r="W2" s="1"/>
      <c r="X2" s="1"/>
      <c r="Y2" s="1" t="s">
        <v>2</v>
      </c>
      <c r="Z2" s="1" t="s">
        <v>3</v>
      </c>
    </row>
    <row r="3" spans="1:26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>
        <v>2457019.4405</v>
      </c>
      <c r="R3" s="1"/>
      <c r="S3" s="1" t="s">
        <v>1</v>
      </c>
      <c r="T3" s="1">
        <v>2</v>
      </c>
      <c r="U3" s="1"/>
      <c r="V3" s="1"/>
      <c r="W3" s="1"/>
      <c r="X3" s="1"/>
      <c r="Y3" s="1" t="s">
        <v>2</v>
      </c>
      <c r="Z3" s="1" t="s">
        <v>3</v>
      </c>
    </row>
    <row r="4" spans="1:26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>
        <v>2457021.4407000002</v>
      </c>
      <c r="R4" s="1"/>
      <c r="S4" s="1" t="s">
        <v>1</v>
      </c>
      <c r="T4" s="1">
        <v>3</v>
      </c>
      <c r="U4" s="1"/>
      <c r="V4" s="1"/>
      <c r="W4" s="1"/>
      <c r="X4" s="1"/>
      <c r="Y4" s="1" t="s">
        <v>2</v>
      </c>
      <c r="Z4" s="1" t="s">
        <v>3</v>
      </c>
    </row>
    <row r="5" spans="1:26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>
        <v>2457022.4334</v>
      </c>
      <c r="R5" s="1"/>
      <c r="S5" s="1" t="s">
        <v>1</v>
      </c>
      <c r="T5" s="1">
        <v>1</v>
      </c>
      <c r="U5" s="1"/>
      <c r="V5" s="1"/>
      <c r="W5" s="1"/>
      <c r="X5" s="1"/>
      <c r="Y5" s="1" t="s">
        <v>2</v>
      </c>
      <c r="Z5" s="1" t="s">
        <v>3</v>
      </c>
    </row>
    <row r="6" spans="1:26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>
        <v>12.266</v>
      </c>
      <c r="Q6" s="1"/>
      <c r="R6" s="1"/>
      <c r="S6" s="1" t="s">
        <v>1</v>
      </c>
      <c r="T6" s="1"/>
      <c r="U6" s="1"/>
      <c r="V6" s="1"/>
      <c r="W6" s="1"/>
      <c r="X6" s="1"/>
      <c r="Y6" s="1" t="s">
        <v>2</v>
      </c>
      <c r="Z6" s="1" t="s">
        <v>3</v>
      </c>
    </row>
    <row r="7" spans="1:26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>
        <v>12.201000000000001</v>
      </c>
      <c r="Q7" s="1"/>
      <c r="R7" s="1"/>
      <c r="S7" s="1" t="s">
        <v>1</v>
      </c>
      <c r="T7" s="1"/>
      <c r="U7" s="1"/>
      <c r="V7" s="1"/>
      <c r="W7" s="1"/>
      <c r="X7" s="1"/>
      <c r="Y7" s="1" t="s">
        <v>2</v>
      </c>
      <c r="Z7" s="1" t="s">
        <v>3</v>
      </c>
    </row>
    <row r="8" spans="1:26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>
        <v>2457024.4344000001</v>
      </c>
      <c r="R8" s="1"/>
      <c r="S8" s="1" t="s">
        <v>1</v>
      </c>
      <c r="T8" s="1">
        <v>1</v>
      </c>
      <c r="U8" s="1"/>
      <c r="V8" s="1"/>
      <c r="W8" s="1"/>
      <c r="X8" s="1"/>
      <c r="Y8" s="1" t="s">
        <v>2</v>
      </c>
      <c r="Z8" s="1" t="s">
        <v>3</v>
      </c>
    </row>
    <row r="9" spans="1:26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>
        <v>2457025.4349000002</v>
      </c>
      <c r="R9" s="1"/>
      <c r="S9" s="1" t="s">
        <v>1</v>
      </c>
      <c r="T9" s="1">
        <v>2</v>
      </c>
      <c r="U9" s="1"/>
      <c r="V9" s="1"/>
      <c r="W9" s="1"/>
      <c r="X9" s="1"/>
      <c r="Y9" s="1" t="s">
        <v>2</v>
      </c>
      <c r="Z9" s="1" t="s">
        <v>3</v>
      </c>
    </row>
    <row r="10" spans="1:26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>
        <v>12.246</v>
      </c>
      <c r="Q10" s="1"/>
      <c r="R10" s="1"/>
      <c r="S10" s="1" t="s">
        <v>1</v>
      </c>
      <c r="T10" s="1"/>
      <c r="U10" s="1"/>
      <c r="V10" s="1"/>
      <c r="W10" s="1"/>
      <c r="X10" s="1"/>
      <c r="Y10" s="1" t="s">
        <v>2</v>
      </c>
      <c r="Z10" s="1" t="s">
        <v>4</v>
      </c>
    </row>
    <row r="11" spans="1:26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>
        <v>2457028.4363000002</v>
      </c>
      <c r="R11" s="1"/>
      <c r="S11" s="1" t="s">
        <v>1</v>
      </c>
      <c r="T11" s="1">
        <v>1</v>
      </c>
      <c r="U11" s="1"/>
      <c r="V11" s="1"/>
      <c r="W11" s="1"/>
      <c r="X11" s="1"/>
      <c r="Y11" s="1" t="s">
        <v>2</v>
      </c>
      <c r="Z11" s="1" t="s">
        <v>3</v>
      </c>
    </row>
    <row r="12" spans="1:26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>
        <v>11.265000000000001</v>
      </c>
      <c r="Q12" s="1"/>
      <c r="R12" s="1"/>
      <c r="S12" s="1" t="s">
        <v>1</v>
      </c>
      <c r="T12" s="1"/>
      <c r="U12" s="1"/>
      <c r="V12" s="1"/>
      <c r="W12" s="1"/>
      <c r="X12" s="1"/>
      <c r="Y12" s="1" t="s">
        <v>2</v>
      </c>
      <c r="Z12" s="1" t="s">
        <v>3</v>
      </c>
    </row>
    <row r="13" spans="1:26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>
        <v>11.266999999999999</v>
      </c>
      <c r="Q13" s="1"/>
      <c r="R13" s="1"/>
      <c r="S13" s="1" t="s">
        <v>1</v>
      </c>
      <c r="T13" s="1"/>
      <c r="U13" s="1"/>
      <c r="V13" s="1"/>
      <c r="W13" s="1"/>
      <c r="X13" s="1"/>
      <c r="Y13" s="1" t="s">
        <v>2</v>
      </c>
      <c r="Z13" s="1" t="s">
        <v>3</v>
      </c>
    </row>
    <row r="14" spans="1:26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>
        <v>11.263999999999999</v>
      </c>
      <c r="Q14" s="1"/>
      <c r="R14" s="1"/>
      <c r="S14" s="1" t="s">
        <v>1</v>
      </c>
      <c r="T14" s="1"/>
      <c r="U14" s="1"/>
      <c r="V14" s="1"/>
      <c r="W14" s="1"/>
      <c r="X14" s="1"/>
      <c r="Y14" s="1" t="s">
        <v>2</v>
      </c>
      <c r="Z14" s="1" t="s">
        <v>3</v>
      </c>
    </row>
    <row r="15" spans="1:26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>
        <v>11.268000000000001</v>
      </c>
      <c r="Q15" s="1"/>
      <c r="R15" s="1"/>
      <c r="S15" s="1" t="s">
        <v>1</v>
      </c>
      <c r="T15" s="1"/>
      <c r="U15" s="1"/>
      <c r="V15" s="1"/>
      <c r="W15" s="1"/>
      <c r="X15" s="1"/>
      <c r="Y15" s="1" t="s">
        <v>2</v>
      </c>
      <c r="Z15" s="1" t="s">
        <v>3</v>
      </c>
    </row>
    <row r="16" spans="1:26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>
        <v>11.278</v>
      </c>
      <c r="Q16" s="1"/>
      <c r="R16" s="1"/>
      <c r="S16" s="1" t="s">
        <v>1</v>
      </c>
      <c r="T16" s="1"/>
      <c r="U16" s="1"/>
      <c r="V16" s="1"/>
      <c r="W16" s="1"/>
      <c r="X16" s="1"/>
      <c r="Y16" s="1" t="s">
        <v>2</v>
      </c>
      <c r="Z16" s="1" t="s">
        <v>3</v>
      </c>
    </row>
    <row r="17" spans="1:26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>
        <v>9.5570000000000004</v>
      </c>
      <c r="Q17" s="1"/>
      <c r="R17" s="1"/>
      <c r="S17" s="1" t="s">
        <v>1</v>
      </c>
      <c r="T17" s="1">
        <v>1</v>
      </c>
      <c r="U17" s="1"/>
      <c r="V17" s="1"/>
      <c r="W17" s="1"/>
      <c r="X17" s="1"/>
      <c r="Y17" s="1" t="s">
        <v>2</v>
      </c>
      <c r="Z17" s="1" t="s">
        <v>3</v>
      </c>
    </row>
    <row r="18" spans="1:26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>
        <v>9.56</v>
      </c>
      <c r="Q18" s="1"/>
      <c r="R18" s="1"/>
      <c r="S18" s="1" t="s">
        <v>1</v>
      </c>
      <c r="T18" s="1">
        <v>1</v>
      </c>
      <c r="U18" s="1"/>
      <c r="V18" s="1"/>
      <c r="W18" s="1"/>
      <c r="X18" s="1"/>
      <c r="Y18" s="1" t="s">
        <v>2</v>
      </c>
      <c r="Z18" s="1" t="s">
        <v>3</v>
      </c>
    </row>
    <row r="19" spans="1:26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>
        <v>11.367000000000001</v>
      </c>
      <c r="Q19" s="1"/>
      <c r="R19" s="1"/>
      <c r="S19" s="1" t="s">
        <v>1</v>
      </c>
      <c r="T19" s="1"/>
      <c r="U19" s="1"/>
      <c r="V19" s="1"/>
      <c r="W19" s="1"/>
      <c r="X19" s="1"/>
      <c r="Y19" s="1" t="s">
        <v>2</v>
      </c>
      <c r="Z19" s="1" t="s">
        <v>3</v>
      </c>
    </row>
    <row r="20" spans="1:26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>
        <v>9.5549999999999997</v>
      </c>
      <c r="Q20" s="1"/>
      <c r="R20" s="1"/>
      <c r="S20" s="1" t="s">
        <v>1</v>
      </c>
      <c r="T20" s="1">
        <v>1</v>
      </c>
      <c r="U20" s="1"/>
      <c r="V20" s="1"/>
      <c r="W20" s="1"/>
      <c r="X20" s="1"/>
      <c r="Y20" s="1" t="s">
        <v>2</v>
      </c>
      <c r="Z20" s="1" t="s">
        <v>3</v>
      </c>
    </row>
    <row r="21" spans="1:26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>
        <v>9.7479999999999993</v>
      </c>
      <c r="Q21" s="1"/>
      <c r="R21" s="1"/>
      <c r="S21" s="1" t="s">
        <v>1</v>
      </c>
      <c r="T21" s="1">
        <v>1</v>
      </c>
      <c r="U21" s="1"/>
      <c r="V21" s="1"/>
      <c r="W21" s="1"/>
      <c r="X21" s="1"/>
      <c r="Y21" s="1" t="s">
        <v>2</v>
      </c>
      <c r="Z21" s="1" t="s">
        <v>3</v>
      </c>
    </row>
    <row r="22" spans="1:26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>
        <v>11.288</v>
      </c>
      <c r="Q22" s="1"/>
      <c r="R22" s="1"/>
      <c r="S22" s="1" t="s">
        <v>1</v>
      </c>
      <c r="T22" s="1"/>
      <c r="U22" s="1"/>
      <c r="V22" s="1"/>
      <c r="W22" s="1"/>
      <c r="X22" s="1"/>
      <c r="Y22" s="1" t="s">
        <v>2</v>
      </c>
      <c r="Z22" s="1" t="s">
        <v>3</v>
      </c>
    </row>
    <row r="23" spans="1:26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>
        <v>9.5540000000000003</v>
      </c>
      <c r="Q23" s="1"/>
      <c r="R23" s="1"/>
      <c r="S23" s="1" t="s">
        <v>1</v>
      </c>
      <c r="T23" s="1">
        <v>1</v>
      </c>
      <c r="U23" s="1"/>
      <c r="V23" s="1"/>
      <c r="W23" s="1"/>
      <c r="X23" s="1"/>
      <c r="Y23" s="1" t="s">
        <v>2</v>
      </c>
      <c r="Z23" s="1" t="s">
        <v>3</v>
      </c>
    </row>
    <row r="24" spans="1:26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>
        <v>9.5429999999999993</v>
      </c>
      <c r="Q24" s="1"/>
      <c r="R24" s="1"/>
      <c r="S24" s="1" t="s">
        <v>1</v>
      </c>
      <c r="T24" s="1">
        <v>1</v>
      </c>
      <c r="U24" s="1"/>
      <c r="V24" s="1"/>
      <c r="W24" s="1"/>
      <c r="X24" s="1"/>
      <c r="Y24" s="1" t="s">
        <v>2</v>
      </c>
      <c r="Z24" s="1" t="s">
        <v>3</v>
      </c>
    </row>
    <row r="25" spans="1:26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>
        <v>8.8339999999999996</v>
      </c>
      <c r="Q25" s="1"/>
      <c r="R25" s="1"/>
      <c r="S25" s="1" t="s">
        <v>1</v>
      </c>
      <c r="T25" s="1">
        <v>0</v>
      </c>
      <c r="U25" s="1"/>
      <c r="V25" s="1"/>
      <c r="W25" s="1"/>
      <c r="X25" s="1"/>
      <c r="Y25" s="1" t="s">
        <v>2</v>
      </c>
      <c r="Z25" s="1" t="s">
        <v>3</v>
      </c>
    </row>
    <row r="26" spans="1:26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>
        <v>8.9130000000000003</v>
      </c>
      <c r="Q26" s="1"/>
      <c r="R26" s="1"/>
      <c r="S26" s="1" t="s">
        <v>1</v>
      </c>
      <c r="T26" s="1">
        <v>0</v>
      </c>
      <c r="U26" s="1"/>
      <c r="V26" s="1"/>
      <c r="W26" s="1"/>
      <c r="X26" s="1"/>
      <c r="Y26" s="1" t="s">
        <v>2</v>
      </c>
      <c r="Z26" s="1" t="s">
        <v>3</v>
      </c>
    </row>
    <row r="27" spans="1:26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>
        <v>8.9559999999999995</v>
      </c>
      <c r="Q27" s="1"/>
      <c r="R27" s="1"/>
      <c r="S27" s="1" t="s">
        <v>1</v>
      </c>
      <c r="T27" s="1">
        <v>0</v>
      </c>
      <c r="U27" s="1"/>
      <c r="V27" s="1"/>
      <c r="W27" s="1"/>
      <c r="X27" s="1"/>
      <c r="Y27" s="1" t="s">
        <v>2</v>
      </c>
      <c r="Z27" s="1" t="s">
        <v>3</v>
      </c>
    </row>
    <row r="28" spans="1:26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>
        <v>8.7970000000000006</v>
      </c>
      <c r="Q28" s="1"/>
      <c r="R28" s="1"/>
      <c r="S28" s="1" t="s">
        <v>1</v>
      </c>
      <c r="T28" s="1">
        <v>0</v>
      </c>
      <c r="U28" s="1"/>
      <c r="V28" s="1"/>
      <c r="W28" s="1"/>
      <c r="X28" s="1"/>
      <c r="Y28" s="1" t="s">
        <v>2</v>
      </c>
      <c r="Z28" s="1" t="s">
        <v>3</v>
      </c>
    </row>
    <row r="29" spans="1:26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>
        <v>8.81</v>
      </c>
      <c r="Q29" s="1"/>
      <c r="R29" s="1"/>
      <c r="S29" s="1" t="s">
        <v>1</v>
      </c>
      <c r="T29" s="1">
        <v>0</v>
      </c>
      <c r="U29" s="1"/>
      <c r="V29" s="1"/>
      <c r="W29" s="1"/>
      <c r="X29" s="1"/>
      <c r="Y29" s="1" t="s">
        <v>2</v>
      </c>
      <c r="Z29" s="1" t="s">
        <v>3</v>
      </c>
    </row>
    <row r="30" spans="1:26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>
        <v>8.8249999999999993</v>
      </c>
      <c r="Q30" s="1"/>
      <c r="R30" s="1"/>
      <c r="S30" s="1" t="s">
        <v>1</v>
      </c>
      <c r="T30" s="1">
        <v>0</v>
      </c>
      <c r="U30" s="1"/>
      <c r="V30" s="1"/>
      <c r="W30" s="1"/>
      <c r="X30" s="1"/>
      <c r="Y30" s="1" t="s">
        <v>2</v>
      </c>
      <c r="Z30" s="1" t="s">
        <v>3</v>
      </c>
    </row>
    <row r="31" spans="1:26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>
        <v>9.5079999999999991</v>
      </c>
      <c r="Q31" s="1"/>
      <c r="R31" s="1"/>
      <c r="S31" s="1" t="s">
        <v>1</v>
      </c>
      <c r="T31" s="1">
        <v>1</v>
      </c>
      <c r="U31" s="1"/>
      <c r="V31" s="1"/>
      <c r="W31" s="1"/>
      <c r="X31" s="1"/>
      <c r="Y31" s="1" t="s">
        <v>2</v>
      </c>
      <c r="Z31" s="1" t="s">
        <v>3</v>
      </c>
    </row>
    <row r="32" spans="1:26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>
        <v>9.5389999999999997</v>
      </c>
      <c r="Q32" s="1"/>
      <c r="R32" s="1"/>
      <c r="S32" s="1" t="s">
        <v>1</v>
      </c>
      <c r="T32" s="1">
        <v>1</v>
      </c>
      <c r="U32" s="1"/>
      <c r="V32" s="1"/>
      <c r="W32" s="1"/>
      <c r="X32" s="1"/>
      <c r="Y32" s="1" t="s">
        <v>2</v>
      </c>
      <c r="Z32" s="1" t="s">
        <v>3</v>
      </c>
    </row>
    <row r="33" spans="1:26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>
        <v>9.5640000000000001</v>
      </c>
      <c r="Q33" s="1"/>
      <c r="R33" s="1"/>
      <c r="S33" s="1" t="s">
        <v>1</v>
      </c>
      <c r="T33" s="1">
        <v>1</v>
      </c>
      <c r="U33" s="1"/>
      <c r="V33" s="1"/>
      <c r="W33" s="1"/>
      <c r="X33" s="1"/>
      <c r="Y33" s="1" t="s">
        <v>2</v>
      </c>
      <c r="Z33" s="1" t="s">
        <v>3</v>
      </c>
    </row>
    <row r="34" spans="1:26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>
        <v>9.5739999999999998</v>
      </c>
      <c r="Q34" s="1"/>
      <c r="R34" s="1"/>
      <c r="S34" s="1" t="s">
        <v>1</v>
      </c>
      <c r="T34" s="1">
        <v>1</v>
      </c>
      <c r="U34" s="1"/>
      <c r="V34" s="1"/>
      <c r="W34" s="1"/>
      <c r="X34" s="1"/>
      <c r="Y34" s="1" t="s">
        <v>2</v>
      </c>
      <c r="Z34" s="1" t="s">
        <v>3</v>
      </c>
    </row>
    <row r="35" spans="1:26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>
        <v>9.5579999999999998</v>
      </c>
      <c r="Q35" s="1"/>
      <c r="R35" s="1"/>
      <c r="S35" s="1" t="s">
        <v>1</v>
      </c>
      <c r="T35" s="1">
        <v>1</v>
      </c>
      <c r="U35" s="1"/>
      <c r="V35" s="1"/>
      <c r="W35" s="1"/>
      <c r="X35" s="1"/>
      <c r="Y35" s="1" t="s">
        <v>2</v>
      </c>
      <c r="Z35" s="1" t="s">
        <v>3</v>
      </c>
    </row>
    <row r="36" spans="1:26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>
        <v>8.8049999999999997</v>
      </c>
      <c r="Q36" s="1"/>
      <c r="R36" s="1"/>
      <c r="S36" s="1" t="s">
        <v>1</v>
      </c>
      <c r="T36" s="1">
        <v>0</v>
      </c>
      <c r="U36" s="1"/>
      <c r="V36" s="1"/>
      <c r="W36" s="1"/>
      <c r="X36" s="1"/>
      <c r="Y36" s="1" t="s">
        <v>2</v>
      </c>
      <c r="Z36" s="1" t="s">
        <v>3</v>
      </c>
    </row>
    <row r="37" spans="1:26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>
        <v>8.8770000000000007</v>
      </c>
      <c r="Q37" s="1"/>
      <c r="R37" s="1"/>
      <c r="S37" s="1" t="s">
        <v>1</v>
      </c>
      <c r="T37" s="1">
        <v>0</v>
      </c>
      <c r="U37" s="1"/>
      <c r="V37" s="1"/>
      <c r="W37" s="1"/>
      <c r="X37" s="1"/>
      <c r="Y37" s="1" t="s">
        <v>2</v>
      </c>
      <c r="Z37" s="1" t="s">
        <v>3</v>
      </c>
    </row>
    <row r="38" spans="1:26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>
        <v>8.8079999999999998</v>
      </c>
      <c r="Q38" s="1"/>
      <c r="R38" s="1"/>
      <c r="S38" s="1" t="s">
        <v>1</v>
      </c>
      <c r="T38" s="1">
        <v>0</v>
      </c>
      <c r="U38" s="1"/>
      <c r="V38" s="1"/>
      <c r="W38" s="1"/>
      <c r="X38" s="1"/>
      <c r="Y38" s="1" t="s">
        <v>2</v>
      </c>
      <c r="Z38" s="1" t="s">
        <v>3</v>
      </c>
    </row>
    <row r="39" spans="1:26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>
        <v>9.5630000000000006</v>
      </c>
      <c r="Q39" s="1"/>
      <c r="R39" s="1"/>
      <c r="S39" s="1" t="s">
        <v>1</v>
      </c>
      <c r="T39" s="1">
        <v>1</v>
      </c>
      <c r="U39" s="1"/>
      <c r="V39" s="1"/>
      <c r="W39" s="1"/>
      <c r="X39" s="1"/>
      <c r="Y39" s="1" t="s">
        <v>2</v>
      </c>
      <c r="Z39" s="1" t="s">
        <v>3</v>
      </c>
    </row>
    <row r="40" spans="1:26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>
        <v>9.5210000000000008</v>
      </c>
      <c r="Q40" s="1"/>
      <c r="R40" s="1"/>
      <c r="S40" s="1" t="s">
        <v>1</v>
      </c>
      <c r="T40" s="1">
        <v>1</v>
      </c>
      <c r="U40" s="1"/>
      <c r="V40" s="1"/>
      <c r="W40" s="1"/>
      <c r="X40" s="1"/>
      <c r="Y40" s="1" t="s">
        <v>2</v>
      </c>
      <c r="Z40" s="1" t="s">
        <v>3</v>
      </c>
    </row>
    <row r="41" spans="1:26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>
        <v>9.5960000000000001</v>
      </c>
      <c r="Q41" s="1"/>
      <c r="R41" s="1"/>
      <c r="S41" s="1" t="s">
        <v>1</v>
      </c>
      <c r="T41" s="1">
        <v>1</v>
      </c>
      <c r="U41" s="1"/>
      <c r="V41" s="1"/>
      <c r="W41" s="1"/>
      <c r="X41" s="1"/>
      <c r="Y41" s="1" t="s">
        <v>2</v>
      </c>
      <c r="Z41" s="1" t="s">
        <v>3</v>
      </c>
    </row>
    <row r="42" spans="1:26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>
        <v>9.5069999999999997</v>
      </c>
      <c r="Q42" s="1"/>
      <c r="R42" s="1"/>
      <c r="S42" s="1" t="s">
        <v>1</v>
      </c>
      <c r="T42" s="1">
        <v>1</v>
      </c>
      <c r="U42" s="1"/>
      <c r="V42" s="1"/>
      <c r="W42" s="1"/>
      <c r="X42" s="1"/>
      <c r="Y42" s="1" t="s">
        <v>2</v>
      </c>
      <c r="Z42" s="1" t="s">
        <v>3</v>
      </c>
    </row>
    <row r="43" spans="1:26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>
        <v>9.5489999999999995</v>
      </c>
      <c r="Q43" s="1"/>
      <c r="R43" s="1"/>
      <c r="S43" s="1" t="s">
        <v>1</v>
      </c>
      <c r="T43" s="1">
        <v>1</v>
      </c>
      <c r="U43" s="1"/>
      <c r="V43" s="1"/>
      <c r="W43" s="1"/>
      <c r="X43" s="1"/>
      <c r="Y43" s="1" t="s">
        <v>2</v>
      </c>
      <c r="Z43" s="1" t="s">
        <v>3</v>
      </c>
    </row>
    <row r="44" spans="1:26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>
        <v>9.5359999999999996</v>
      </c>
      <c r="Q44" s="1"/>
      <c r="R44" s="1"/>
      <c r="S44" s="1" t="s">
        <v>1</v>
      </c>
      <c r="T44" s="1">
        <v>1</v>
      </c>
      <c r="U44" s="1"/>
      <c r="V44" s="1"/>
      <c r="W44" s="1"/>
      <c r="X44" s="1"/>
      <c r="Y44" s="1" t="s">
        <v>2</v>
      </c>
      <c r="Z44" s="1" t="s">
        <v>3</v>
      </c>
    </row>
    <row r="45" spans="1:26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>
        <v>9.5350000000000001</v>
      </c>
      <c r="Q45" s="1"/>
      <c r="R45" s="1"/>
      <c r="S45" s="1" t="s">
        <v>1</v>
      </c>
      <c r="T45" s="1">
        <v>1</v>
      </c>
      <c r="U45" s="1"/>
      <c r="V45" s="1"/>
      <c r="W45" s="1"/>
      <c r="X45" s="1"/>
      <c r="Y45" s="1" t="s">
        <v>2</v>
      </c>
      <c r="Z45" s="1" t="s">
        <v>3</v>
      </c>
    </row>
    <row r="46" spans="1:26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>
        <v>9.5749999999999993</v>
      </c>
      <c r="Q46" s="1"/>
      <c r="R46" s="1"/>
      <c r="S46" s="1" t="s">
        <v>1</v>
      </c>
      <c r="T46" s="1">
        <v>1</v>
      </c>
      <c r="U46" s="1"/>
      <c r="V46" s="1"/>
      <c r="W46" s="1"/>
      <c r="X46" s="1"/>
      <c r="Y46" s="1" t="s">
        <v>2</v>
      </c>
      <c r="Z46" s="1" t="s">
        <v>3</v>
      </c>
    </row>
    <row r="47" spans="1:26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>
        <v>9.5670000000000002</v>
      </c>
      <c r="Q47" s="1"/>
      <c r="R47" s="1"/>
      <c r="S47" s="1" t="s">
        <v>1</v>
      </c>
      <c r="T47" s="1">
        <v>1</v>
      </c>
      <c r="U47" s="1"/>
      <c r="V47" s="1"/>
      <c r="W47" s="1"/>
      <c r="X47" s="1"/>
      <c r="Y47" s="1" t="s">
        <v>2</v>
      </c>
      <c r="Z47" s="1" t="s">
        <v>3</v>
      </c>
    </row>
    <row r="48" spans="1:26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>
        <v>9.5510000000000002</v>
      </c>
      <c r="Q48" s="1"/>
      <c r="R48" s="1"/>
      <c r="S48" s="1" t="s">
        <v>1</v>
      </c>
      <c r="T48" s="1">
        <v>1</v>
      </c>
      <c r="U48" s="1"/>
      <c r="V48" s="1"/>
      <c r="W48" s="1"/>
      <c r="X48" s="1"/>
      <c r="Y48" s="1" t="s">
        <v>2</v>
      </c>
      <c r="Z48" s="1" t="s">
        <v>3</v>
      </c>
    </row>
    <row r="49" spans="1:26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>
        <v>9.56</v>
      </c>
      <c r="Q49" s="1"/>
      <c r="R49" s="1"/>
      <c r="S49" s="1" t="s">
        <v>1</v>
      </c>
      <c r="T49" s="1">
        <v>1</v>
      </c>
      <c r="U49" s="1"/>
      <c r="V49" s="1"/>
      <c r="W49" s="1"/>
      <c r="X49" s="1"/>
      <c r="Y49" s="1" t="s">
        <v>2</v>
      </c>
      <c r="Z49" s="1" t="s">
        <v>3</v>
      </c>
    </row>
    <row r="50" spans="1:26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>
        <v>9.5329999999999995</v>
      </c>
      <c r="Q50" s="1"/>
      <c r="R50" s="1"/>
      <c r="S50" s="1" t="s">
        <v>1</v>
      </c>
      <c r="T50" s="1">
        <v>1</v>
      </c>
      <c r="U50" s="1"/>
      <c r="V50" s="1"/>
      <c r="W50" s="1"/>
      <c r="X50" s="1"/>
      <c r="Y50" s="1" t="s">
        <v>2</v>
      </c>
      <c r="Z50" s="1" t="s">
        <v>3</v>
      </c>
    </row>
    <row r="51" spans="1:26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>
        <v>9.5030000000000001</v>
      </c>
      <c r="Q51" s="1"/>
      <c r="R51" s="1"/>
      <c r="S51" s="1" t="s">
        <v>1</v>
      </c>
      <c r="T51" s="1">
        <v>1</v>
      </c>
      <c r="U51" s="1"/>
      <c r="V51" s="1"/>
      <c r="W51" s="1"/>
      <c r="X51" s="1"/>
      <c r="Y51" s="1" t="s">
        <v>2</v>
      </c>
      <c r="Z51" s="1" t="s">
        <v>3</v>
      </c>
    </row>
    <row r="52" spans="1:26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>
        <v>9.5399999999999991</v>
      </c>
      <c r="Q52" s="1"/>
      <c r="R52" s="1"/>
      <c r="S52" s="1" t="s">
        <v>1</v>
      </c>
      <c r="T52" s="1">
        <v>1</v>
      </c>
      <c r="U52" s="1"/>
      <c r="V52" s="1"/>
      <c r="W52" s="1"/>
      <c r="X52" s="1"/>
      <c r="Y52" s="1" t="s">
        <v>2</v>
      </c>
      <c r="Z52" s="1" t="s">
        <v>3</v>
      </c>
    </row>
    <row r="53" spans="1:26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>
        <v>9.5559999999999992</v>
      </c>
      <c r="Q53" s="1"/>
      <c r="R53" s="1"/>
      <c r="S53" s="1" t="s">
        <v>1</v>
      </c>
      <c r="T53" s="1">
        <v>1</v>
      </c>
      <c r="U53" s="1"/>
      <c r="V53" s="1"/>
      <c r="W53" s="1"/>
      <c r="X53" s="1"/>
      <c r="Y53" s="1" t="s">
        <v>2</v>
      </c>
      <c r="Z53" s="1" t="s">
        <v>3</v>
      </c>
    </row>
    <row r="54" spans="1:26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>
        <v>9.5570000000000004</v>
      </c>
      <c r="Q54" s="1"/>
      <c r="R54" s="1"/>
      <c r="S54" s="1" t="s">
        <v>1</v>
      </c>
      <c r="T54" s="1">
        <v>1</v>
      </c>
      <c r="U54" s="1"/>
      <c r="V54" s="1"/>
      <c r="W54" s="1"/>
      <c r="X54" s="1"/>
      <c r="Y54" s="1" t="s">
        <v>2</v>
      </c>
      <c r="Z54" s="1" t="s">
        <v>3</v>
      </c>
    </row>
    <row r="55" spans="1:26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>
        <v>9.5459999999999994</v>
      </c>
      <c r="Q55" s="1"/>
      <c r="R55" s="1"/>
      <c r="S55" s="1" t="s">
        <v>1</v>
      </c>
      <c r="T55" s="1">
        <v>1</v>
      </c>
      <c r="U55" s="1"/>
      <c r="V55" s="1"/>
      <c r="W55" s="1"/>
      <c r="X55" s="1"/>
      <c r="Y55" s="1" t="s">
        <v>2</v>
      </c>
      <c r="Z55" s="1" t="s">
        <v>3</v>
      </c>
    </row>
    <row r="56" spans="1:26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>
        <v>9.5139999999999993</v>
      </c>
      <c r="Q56" s="1"/>
      <c r="R56" s="1"/>
      <c r="S56" s="1" t="s">
        <v>1</v>
      </c>
      <c r="T56" s="1">
        <v>1</v>
      </c>
      <c r="U56" s="1"/>
      <c r="V56" s="1"/>
      <c r="W56" s="1"/>
      <c r="X56" s="1"/>
      <c r="Y56" s="1" t="s">
        <v>2</v>
      </c>
      <c r="Z56" s="1" t="s">
        <v>3</v>
      </c>
    </row>
    <row r="57" spans="1:26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>
        <v>8.7940000000000005</v>
      </c>
      <c r="Q57" s="1"/>
      <c r="R57" s="1"/>
      <c r="S57" s="1" t="s">
        <v>1</v>
      </c>
      <c r="T57" s="1">
        <v>0</v>
      </c>
      <c r="U57" s="1"/>
      <c r="V57" s="1"/>
      <c r="W57" s="1"/>
      <c r="X57" s="1"/>
      <c r="Y57" s="1" t="s">
        <v>2</v>
      </c>
      <c r="Z57" s="1" t="s">
        <v>3</v>
      </c>
    </row>
    <row r="58" spans="1:26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>
        <v>8.8230000000000004</v>
      </c>
      <c r="Q58" s="1"/>
      <c r="R58" s="1"/>
      <c r="S58" s="1" t="s">
        <v>1</v>
      </c>
      <c r="T58" s="1">
        <v>0</v>
      </c>
      <c r="U58" s="1"/>
      <c r="V58" s="1"/>
      <c r="W58" s="1"/>
      <c r="X58" s="1"/>
      <c r="Y58" s="1" t="s">
        <v>2</v>
      </c>
      <c r="Z58" s="1" t="s">
        <v>3</v>
      </c>
    </row>
    <row r="59" spans="1:26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>
        <v>8.81</v>
      </c>
      <c r="Q59" s="1"/>
      <c r="R59" s="1"/>
      <c r="S59" s="1" t="s">
        <v>1</v>
      </c>
      <c r="T59" s="1">
        <v>0</v>
      </c>
      <c r="U59" s="1"/>
      <c r="V59" s="1"/>
      <c r="W59" s="1"/>
      <c r="X59" s="1"/>
      <c r="Y59" s="1" t="s">
        <v>2</v>
      </c>
      <c r="Z59" s="1" t="s">
        <v>3</v>
      </c>
    </row>
    <row r="60" spans="1:26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>
        <v>8.8190000000000008</v>
      </c>
      <c r="Q60" s="1"/>
      <c r="R60" s="1"/>
      <c r="S60" s="1" t="s">
        <v>1</v>
      </c>
      <c r="T60" s="1">
        <v>0</v>
      </c>
      <c r="U60" s="1"/>
      <c r="V60" s="1"/>
      <c r="W60" s="1"/>
      <c r="X60" s="1"/>
      <c r="Y60" s="1" t="s">
        <v>2</v>
      </c>
      <c r="Z60" s="1" t="s">
        <v>3</v>
      </c>
    </row>
    <row r="61" spans="1:26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>
        <v>8.8330000000000002</v>
      </c>
      <c r="Q61" s="1"/>
      <c r="R61" s="1"/>
      <c r="S61" s="1" t="s">
        <v>1</v>
      </c>
      <c r="T61" s="1">
        <v>0</v>
      </c>
      <c r="U61" s="1"/>
      <c r="V61" s="1"/>
      <c r="W61" s="1"/>
      <c r="X61" s="1"/>
      <c r="Y61" s="1" t="s">
        <v>2</v>
      </c>
      <c r="Z61" s="1" t="s">
        <v>3</v>
      </c>
    </row>
    <row r="62" spans="1:26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>
        <v>9.7260000000000009</v>
      </c>
      <c r="Q62" s="1"/>
      <c r="R62" s="1"/>
      <c r="S62" s="1" t="s">
        <v>1</v>
      </c>
      <c r="T62" s="1">
        <v>1</v>
      </c>
      <c r="U62" s="1"/>
      <c r="V62" s="1"/>
      <c r="W62" s="1"/>
      <c r="X62" s="1"/>
      <c r="Y62" s="1" t="s">
        <v>2</v>
      </c>
      <c r="Z62" s="1" t="s">
        <v>3</v>
      </c>
    </row>
    <row r="63" spans="1:26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>
        <v>9.7840000000000007</v>
      </c>
      <c r="Q63" s="1"/>
      <c r="R63" s="1"/>
      <c r="S63" s="1" t="s">
        <v>1</v>
      </c>
      <c r="T63" s="1">
        <v>1</v>
      </c>
      <c r="U63" s="1"/>
      <c r="V63" s="1"/>
      <c r="W63" s="1"/>
      <c r="X63" s="1"/>
      <c r="Y63" s="1" t="s">
        <v>2</v>
      </c>
      <c r="Z63" s="1" t="s">
        <v>3</v>
      </c>
    </row>
    <row r="64" spans="1:26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>
        <v>9.7729999999999997</v>
      </c>
      <c r="Q64" s="1"/>
      <c r="R64" s="1"/>
      <c r="S64" s="1" t="s">
        <v>1</v>
      </c>
      <c r="T64" s="1">
        <v>1</v>
      </c>
      <c r="U64" s="1"/>
      <c r="V64" s="1"/>
      <c r="W64" s="1"/>
      <c r="X64" s="1"/>
      <c r="Y64" s="1" t="s">
        <v>2</v>
      </c>
      <c r="Z64" s="1" t="s">
        <v>3</v>
      </c>
    </row>
    <row r="65" spans="1:26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>
        <v>9.83</v>
      </c>
      <c r="Q65" s="1"/>
      <c r="R65" s="1"/>
      <c r="S65" s="1" t="s">
        <v>1</v>
      </c>
      <c r="T65" s="1">
        <v>1</v>
      </c>
      <c r="U65" s="1"/>
      <c r="V65" s="1"/>
      <c r="W65" s="1"/>
      <c r="X65" s="1"/>
      <c r="Y65" s="1" t="s">
        <v>2</v>
      </c>
      <c r="Z65" s="1" t="s">
        <v>3</v>
      </c>
    </row>
    <row r="66" spans="1:26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>
        <v>9.7889999999999997</v>
      </c>
      <c r="Q66" s="1"/>
      <c r="R66" s="1"/>
      <c r="S66" s="1" t="s">
        <v>1</v>
      </c>
      <c r="T66" s="1">
        <v>1</v>
      </c>
      <c r="U66" s="1"/>
      <c r="V66" s="1"/>
      <c r="W66" s="1"/>
      <c r="X66" s="1"/>
      <c r="Y66" s="1" t="s">
        <v>2</v>
      </c>
      <c r="Z66" s="1" t="s">
        <v>3</v>
      </c>
    </row>
    <row r="67" spans="1:26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>
        <v>9.7579999999999991</v>
      </c>
      <c r="Q67" s="1"/>
      <c r="R67" s="1"/>
      <c r="S67" s="1" t="s">
        <v>1</v>
      </c>
      <c r="T67" s="1">
        <v>1</v>
      </c>
      <c r="U67" s="1"/>
      <c r="V67" s="1"/>
      <c r="W67" s="1"/>
      <c r="X67" s="1"/>
      <c r="Y67" s="1" t="s">
        <v>2</v>
      </c>
      <c r="Z67" s="1" t="s">
        <v>3</v>
      </c>
    </row>
    <row r="68" spans="1:26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>
        <v>9.5809999999999995</v>
      </c>
      <c r="Q68" s="1"/>
      <c r="R68" s="1"/>
      <c r="S68" s="1" t="s">
        <v>1</v>
      </c>
      <c r="T68" s="1">
        <v>1</v>
      </c>
      <c r="U68" s="1"/>
      <c r="V68" s="1"/>
      <c r="W68" s="1"/>
      <c r="X68" s="1"/>
      <c r="Y68" s="1" t="s">
        <v>2</v>
      </c>
      <c r="Z68" s="1" t="s">
        <v>3</v>
      </c>
    </row>
    <row r="69" spans="1:26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>
        <v>9.5670000000000002</v>
      </c>
      <c r="Q69" s="1"/>
      <c r="R69" s="1"/>
      <c r="S69" s="1" t="s">
        <v>1</v>
      </c>
      <c r="T69" s="1">
        <v>1</v>
      </c>
      <c r="U69" s="1"/>
      <c r="V69" s="1"/>
      <c r="W69" s="1"/>
      <c r="X69" s="1"/>
      <c r="Y69" s="1" t="s">
        <v>2</v>
      </c>
      <c r="Z69" s="1" t="s">
        <v>3</v>
      </c>
    </row>
    <row r="70" spans="1:26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>
        <v>9.5069999999999997</v>
      </c>
      <c r="Q70" s="1"/>
      <c r="R70" s="1"/>
      <c r="S70" s="1" t="s">
        <v>1</v>
      </c>
      <c r="T70" s="1">
        <v>1</v>
      </c>
      <c r="U70" s="1"/>
      <c r="V70" s="1"/>
      <c r="W70" s="1"/>
      <c r="X70" s="1"/>
      <c r="Y70" s="1" t="s">
        <v>2</v>
      </c>
      <c r="Z70" s="1" t="s">
        <v>3</v>
      </c>
    </row>
    <row r="71" spans="1:26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>
        <v>9.548</v>
      </c>
      <c r="Q71" s="1"/>
      <c r="R71" s="1"/>
      <c r="S71" s="1" t="s">
        <v>1</v>
      </c>
      <c r="T71" s="1">
        <v>1</v>
      </c>
      <c r="U71" s="1"/>
      <c r="V71" s="1"/>
      <c r="W71" s="1"/>
      <c r="X71" s="1"/>
      <c r="Y71" s="1" t="s">
        <v>2</v>
      </c>
      <c r="Z71" s="1" t="s">
        <v>3</v>
      </c>
    </row>
    <row r="72" spans="1:26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>
        <v>8.8219999999999992</v>
      </c>
      <c r="Q72" s="1"/>
      <c r="R72" s="1"/>
      <c r="S72" s="1" t="s">
        <v>1</v>
      </c>
      <c r="T72" s="1">
        <v>0</v>
      </c>
      <c r="U72" s="1"/>
      <c r="V72" s="1"/>
      <c r="W72" s="1"/>
      <c r="X72" s="1"/>
      <c r="Y72" s="1" t="s">
        <v>2</v>
      </c>
      <c r="Z72" s="1" t="s">
        <v>3</v>
      </c>
    </row>
    <row r="73" spans="1:26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>
        <v>8.7959999999999994</v>
      </c>
      <c r="Q73" s="1"/>
      <c r="R73" s="1"/>
      <c r="S73" s="1" t="s">
        <v>1</v>
      </c>
      <c r="T73" s="1">
        <v>0</v>
      </c>
      <c r="U73" s="1"/>
      <c r="V73" s="1"/>
      <c r="W73" s="1"/>
      <c r="X73" s="1"/>
      <c r="Y73" s="1" t="s">
        <v>2</v>
      </c>
      <c r="Z73" s="1" t="s">
        <v>3</v>
      </c>
    </row>
    <row r="74" spans="1:26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>
        <v>8.8740000000000006</v>
      </c>
      <c r="Q74" s="1"/>
      <c r="R74" s="1"/>
      <c r="S74" s="1" t="s">
        <v>1</v>
      </c>
      <c r="T74" s="1">
        <v>0</v>
      </c>
      <c r="U74" s="1"/>
      <c r="V74" s="1"/>
      <c r="W74" s="1"/>
      <c r="X74" s="1"/>
      <c r="Y74" s="1" t="s">
        <v>2</v>
      </c>
      <c r="Z74" s="1" t="s">
        <v>3</v>
      </c>
    </row>
    <row r="75" spans="1:26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>
        <v>8.8230000000000004</v>
      </c>
      <c r="Q75" s="1"/>
      <c r="R75" s="1"/>
      <c r="S75" s="1" t="s">
        <v>1</v>
      </c>
      <c r="T75" s="1">
        <v>0</v>
      </c>
      <c r="U75" s="1"/>
      <c r="V75" s="1"/>
      <c r="W75" s="1"/>
      <c r="X75" s="1"/>
      <c r="Y75" s="1" t="s">
        <v>2</v>
      </c>
      <c r="Z75" s="1" t="s">
        <v>3</v>
      </c>
    </row>
    <row r="76" spans="1:26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>
        <v>8.8170000000000002</v>
      </c>
      <c r="Q76" s="1"/>
      <c r="R76" s="1"/>
      <c r="S76" s="1" t="s">
        <v>1</v>
      </c>
      <c r="T76" s="1">
        <v>0</v>
      </c>
      <c r="U76" s="1"/>
      <c r="V76" s="1"/>
      <c r="W76" s="1"/>
      <c r="X76" s="1"/>
      <c r="Y76" s="1" t="s">
        <v>2</v>
      </c>
      <c r="Z76" s="1" t="s">
        <v>3</v>
      </c>
    </row>
    <row r="77" spans="1:26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>
        <v>9.6120000000000001</v>
      </c>
      <c r="Q77" s="1"/>
      <c r="R77" s="1"/>
      <c r="S77" s="1" t="s">
        <v>1</v>
      </c>
      <c r="T77" s="1">
        <v>1</v>
      </c>
      <c r="U77" s="1"/>
      <c r="V77" s="1"/>
      <c r="W77" s="1"/>
      <c r="X77" s="1"/>
      <c r="Y77" s="1" t="s">
        <v>2</v>
      </c>
      <c r="Z77" s="1" t="s">
        <v>3</v>
      </c>
    </row>
    <row r="78" spans="1:26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>
        <v>9.4779999999999998</v>
      </c>
      <c r="Q78" s="1"/>
      <c r="R78" s="1"/>
      <c r="S78" s="1" t="s">
        <v>1</v>
      </c>
      <c r="T78" s="1">
        <v>1</v>
      </c>
      <c r="U78" s="1"/>
      <c r="V78" s="1"/>
      <c r="W78" s="1"/>
      <c r="X78" s="1"/>
      <c r="Y78" s="1" t="s">
        <v>2</v>
      </c>
      <c r="Z78" s="1" t="s">
        <v>3</v>
      </c>
    </row>
    <row r="79" spans="1:26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>
        <v>9.5869999999999997</v>
      </c>
      <c r="Q79" s="1"/>
      <c r="R79" s="1"/>
      <c r="S79" s="1" t="s">
        <v>1</v>
      </c>
      <c r="T79" s="1">
        <v>1</v>
      </c>
      <c r="U79" s="1"/>
      <c r="V79" s="1"/>
      <c r="W79" s="1"/>
      <c r="X79" s="1"/>
      <c r="Y79" s="1" t="s">
        <v>2</v>
      </c>
      <c r="Z79" s="1" t="s">
        <v>3</v>
      </c>
    </row>
    <row r="80" spans="1:26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>
        <v>9.5220000000000002</v>
      </c>
      <c r="Q80" s="1"/>
      <c r="R80" s="1"/>
      <c r="S80" s="1" t="s">
        <v>1</v>
      </c>
      <c r="T80" s="1">
        <v>1</v>
      </c>
      <c r="U80" s="1"/>
      <c r="V80" s="1"/>
      <c r="W80" s="1"/>
      <c r="X80" s="1"/>
      <c r="Y80" s="1" t="s">
        <v>2</v>
      </c>
      <c r="Z80" s="1" t="s">
        <v>3</v>
      </c>
    </row>
    <row r="81" spans="1:26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>
        <v>9.6720000000000006</v>
      </c>
      <c r="Q81" s="1"/>
      <c r="R81" s="1"/>
      <c r="S81" s="1" t="s">
        <v>1</v>
      </c>
      <c r="T81" s="1">
        <v>1</v>
      </c>
      <c r="U81" s="1"/>
      <c r="V81" s="1"/>
      <c r="W81" s="1"/>
      <c r="X81" s="1"/>
      <c r="Y81" s="1" t="s">
        <v>2</v>
      </c>
      <c r="Z81" s="1" t="s">
        <v>3</v>
      </c>
    </row>
    <row r="82" spans="1:26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>
        <v>9.5239999999999991</v>
      </c>
      <c r="Q82" s="1"/>
      <c r="R82" s="1"/>
      <c r="S82" s="1" t="s">
        <v>1</v>
      </c>
      <c r="T82" s="1">
        <v>1</v>
      </c>
      <c r="U82" s="1"/>
      <c r="V82" s="1"/>
      <c r="W82" s="1"/>
      <c r="X82" s="1"/>
      <c r="Y82" s="1" t="s">
        <v>2</v>
      </c>
      <c r="Z82" s="1" t="s">
        <v>3</v>
      </c>
    </row>
    <row r="83" spans="1:26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>
        <v>8.798</v>
      </c>
      <c r="Q83" s="1"/>
      <c r="R83" s="1"/>
      <c r="S83" s="1" t="s">
        <v>1</v>
      </c>
      <c r="T83" s="1">
        <v>0</v>
      </c>
      <c r="U83" s="1"/>
      <c r="V83" s="1"/>
      <c r="W83" s="1"/>
      <c r="X83" s="1"/>
      <c r="Y83" s="1" t="s">
        <v>2</v>
      </c>
      <c r="Z83" s="1" t="s">
        <v>3</v>
      </c>
    </row>
    <row r="84" spans="1:26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>
        <v>8.8279999999999994</v>
      </c>
      <c r="Q84" s="1"/>
      <c r="R84" s="1"/>
      <c r="S84" s="1" t="s">
        <v>1</v>
      </c>
      <c r="T84" s="1">
        <v>0</v>
      </c>
      <c r="U84" s="1"/>
      <c r="V84" s="1"/>
      <c r="W84" s="1"/>
      <c r="X84" s="1"/>
      <c r="Y84" s="1" t="s">
        <v>2</v>
      </c>
      <c r="Z84" s="1" t="s">
        <v>3</v>
      </c>
    </row>
    <row r="85" spans="1:26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>
        <v>8.8379999999999992</v>
      </c>
      <c r="Q85" s="1"/>
      <c r="R85" s="1"/>
      <c r="S85" s="1" t="s">
        <v>1</v>
      </c>
      <c r="T85" s="1">
        <v>0</v>
      </c>
      <c r="U85" s="1"/>
      <c r="V85" s="1"/>
      <c r="W85" s="1"/>
      <c r="X85" s="1"/>
      <c r="Y85" s="1" t="s">
        <v>2</v>
      </c>
      <c r="Z85" s="1" t="s">
        <v>3</v>
      </c>
    </row>
    <row r="86" spans="1:26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>
        <v>9.5470000000000006</v>
      </c>
      <c r="Q86" s="1"/>
      <c r="R86" s="1"/>
      <c r="S86" s="1" t="s">
        <v>1</v>
      </c>
      <c r="T86" s="1">
        <v>1</v>
      </c>
      <c r="U86" s="1"/>
      <c r="V86" s="1"/>
      <c r="W86" s="1"/>
      <c r="X86" s="1"/>
      <c r="Y86" s="1" t="s">
        <v>2</v>
      </c>
      <c r="Z86" s="1" t="s">
        <v>3</v>
      </c>
    </row>
    <row r="87" spans="1:26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>
        <v>9.59</v>
      </c>
      <c r="Q87" s="1"/>
      <c r="R87" s="1"/>
      <c r="S87" s="1" t="s">
        <v>1</v>
      </c>
      <c r="T87" s="1">
        <v>1</v>
      </c>
      <c r="U87" s="1"/>
      <c r="V87" s="1"/>
      <c r="W87" s="1"/>
      <c r="X87" s="1"/>
      <c r="Y87" s="1" t="s">
        <v>2</v>
      </c>
      <c r="Z87" s="1" t="s">
        <v>3</v>
      </c>
    </row>
    <row r="88" spans="1:26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>
        <v>9.58</v>
      </c>
      <c r="Q88" s="1"/>
      <c r="R88" s="1"/>
      <c r="S88" s="1" t="s">
        <v>1</v>
      </c>
      <c r="T88" s="1">
        <v>1</v>
      </c>
      <c r="U88" s="1"/>
      <c r="V88" s="1"/>
      <c r="W88" s="1"/>
      <c r="X88" s="1"/>
      <c r="Y88" s="1" t="s">
        <v>2</v>
      </c>
      <c r="Z88" s="1" t="s">
        <v>3</v>
      </c>
    </row>
    <row r="89" spans="1:26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>
        <v>9.5519999999999996</v>
      </c>
      <c r="Q89" s="1"/>
      <c r="R89" s="1"/>
      <c r="S89" s="1" t="s">
        <v>1</v>
      </c>
      <c r="T89" s="1">
        <v>1</v>
      </c>
      <c r="U89" s="1"/>
      <c r="V89" s="1"/>
      <c r="W89" s="1"/>
      <c r="X89" s="1"/>
      <c r="Y89" s="1" t="s">
        <v>2</v>
      </c>
      <c r="Z89" s="1" t="s">
        <v>3</v>
      </c>
    </row>
    <row r="90" spans="1:26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>
        <v>9.5419999999999998</v>
      </c>
      <c r="Q90" s="1"/>
      <c r="R90" s="1"/>
      <c r="S90" s="1" t="s">
        <v>1</v>
      </c>
      <c r="T90" s="1">
        <v>1</v>
      </c>
      <c r="U90" s="1"/>
      <c r="V90" s="1"/>
      <c r="W90" s="1"/>
      <c r="X90" s="1"/>
      <c r="Y90" s="1" t="s">
        <v>2</v>
      </c>
      <c r="Z90" s="1" t="s">
        <v>3</v>
      </c>
    </row>
    <row r="91" spans="1:26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>
        <v>9.5640000000000001</v>
      </c>
      <c r="Q91" s="1"/>
      <c r="R91" s="1"/>
      <c r="S91" s="1" t="s">
        <v>1</v>
      </c>
      <c r="T91" s="1">
        <v>1</v>
      </c>
      <c r="U91" s="1"/>
      <c r="V91" s="1"/>
      <c r="W91" s="1"/>
      <c r="X91" s="1"/>
      <c r="Y91" s="1" t="s">
        <v>2</v>
      </c>
      <c r="Z91" s="1" t="s">
        <v>3</v>
      </c>
    </row>
    <row r="92" spans="1:26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>
        <v>9.5009999999999994</v>
      </c>
      <c r="Q92" s="1"/>
      <c r="R92" s="1"/>
      <c r="S92" s="1" t="s">
        <v>1</v>
      </c>
      <c r="T92" s="1">
        <v>1</v>
      </c>
      <c r="U92" s="1"/>
      <c r="V92" s="1"/>
      <c r="W92" s="1"/>
      <c r="X92" s="1"/>
      <c r="Y92" s="1" t="s">
        <v>2</v>
      </c>
      <c r="Z92" s="1" t="s">
        <v>3</v>
      </c>
    </row>
    <row r="93" spans="1:26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>
        <v>9.6050000000000004</v>
      </c>
      <c r="Q93" s="1"/>
      <c r="R93" s="1"/>
      <c r="S93" s="1" t="s">
        <v>1</v>
      </c>
      <c r="T93" s="1">
        <v>1</v>
      </c>
      <c r="U93" s="1"/>
      <c r="V93" s="1"/>
      <c r="W93" s="1"/>
      <c r="X93" s="1"/>
      <c r="Y93" s="1" t="s">
        <v>2</v>
      </c>
      <c r="Z93" s="1" t="s">
        <v>3</v>
      </c>
    </row>
    <row r="94" spans="1:26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>
        <v>9.5340000000000007</v>
      </c>
      <c r="Q94" s="1"/>
      <c r="R94" s="1"/>
      <c r="S94" s="1" t="s">
        <v>1</v>
      </c>
      <c r="T94" s="1">
        <v>1</v>
      </c>
      <c r="U94" s="1"/>
      <c r="V94" s="1"/>
      <c r="W94" s="1"/>
      <c r="X94" s="1"/>
      <c r="Y94" s="1" t="s">
        <v>2</v>
      </c>
      <c r="Z94" s="1" t="s">
        <v>3</v>
      </c>
    </row>
    <row r="95" spans="1:26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>
        <v>9.5259999999999998</v>
      </c>
      <c r="Q95" s="1"/>
      <c r="R95" s="1"/>
      <c r="S95" s="1" t="s">
        <v>1</v>
      </c>
      <c r="T95" s="1">
        <v>1</v>
      </c>
      <c r="U95" s="1"/>
      <c r="V95" s="1"/>
      <c r="W95" s="1"/>
      <c r="X95" s="1"/>
      <c r="Y95" s="1" t="s">
        <v>2</v>
      </c>
      <c r="Z95" s="1" t="s">
        <v>3</v>
      </c>
    </row>
    <row r="96" spans="1:26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>
        <v>9.5389999999999997</v>
      </c>
      <c r="Q96" s="1"/>
      <c r="R96" s="1"/>
      <c r="S96" s="1" t="s">
        <v>1</v>
      </c>
      <c r="T96" s="1">
        <v>1</v>
      </c>
      <c r="U96" s="1"/>
      <c r="V96" s="1"/>
      <c r="W96" s="1"/>
      <c r="X96" s="1"/>
      <c r="Y96" s="1" t="s">
        <v>2</v>
      </c>
      <c r="Z96" s="1" t="s">
        <v>3</v>
      </c>
    </row>
    <row r="97" spans="1:26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>
        <v>9.5340000000000007</v>
      </c>
      <c r="Q97" s="1"/>
      <c r="R97" s="1"/>
      <c r="S97" s="1" t="s">
        <v>1</v>
      </c>
      <c r="T97" s="1">
        <v>1</v>
      </c>
      <c r="U97" s="1"/>
      <c r="V97" s="1"/>
      <c r="W97" s="1"/>
      <c r="X97" s="1"/>
      <c r="Y97" s="1" t="s">
        <v>2</v>
      </c>
      <c r="Z97" s="1" t="s">
        <v>3</v>
      </c>
    </row>
    <row r="98" spans="1:26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>
        <v>9.5530000000000008</v>
      </c>
      <c r="Q98" s="1"/>
      <c r="R98" s="1"/>
      <c r="S98" s="1" t="s">
        <v>1</v>
      </c>
      <c r="T98" s="1">
        <v>1</v>
      </c>
      <c r="U98" s="1"/>
      <c r="V98" s="1"/>
      <c r="W98" s="1"/>
      <c r="X98" s="1"/>
      <c r="Y98" s="1" t="s">
        <v>2</v>
      </c>
      <c r="Z98" s="1" t="s">
        <v>3</v>
      </c>
    </row>
    <row r="99" spans="1:26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>
        <v>9.6080000000000005</v>
      </c>
      <c r="Q99" s="1"/>
      <c r="R99" s="1"/>
      <c r="S99" s="1" t="s">
        <v>1</v>
      </c>
      <c r="T99" s="1">
        <v>1</v>
      </c>
      <c r="U99" s="1"/>
      <c r="V99" s="1"/>
      <c r="W99" s="1"/>
      <c r="X99" s="1"/>
      <c r="Y99" s="1" t="s">
        <v>2</v>
      </c>
      <c r="Z99" s="1" t="s">
        <v>3</v>
      </c>
    </row>
    <row r="100" spans="1:26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>
        <v>9.5510000000000002</v>
      </c>
      <c r="Q100" s="1"/>
      <c r="R100" s="1"/>
      <c r="S100" s="1" t="s">
        <v>1</v>
      </c>
      <c r="T100" s="1">
        <v>1</v>
      </c>
      <c r="U100" s="1"/>
      <c r="V100" s="1"/>
      <c r="W100" s="1"/>
      <c r="X100" s="1"/>
      <c r="Y100" s="1" t="s">
        <v>2</v>
      </c>
      <c r="Z100" s="1" t="s">
        <v>3</v>
      </c>
    </row>
    <row r="101" spans="1:26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>
        <v>9.5510000000000002</v>
      </c>
      <c r="Q101" s="1"/>
      <c r="R101" s="1"/>
      <c r="S101" s="1" t="s">
        <v>1</v>
      </c>
      <c r="T101" s="1">
        <v>1</v>
      </c>
      <c r="U101" s="1"/>
      <c r="V101" s="1"/>
      <c r="W101" s="1"/>
      <c r="X101" s="1"/>
      <c r="Y101" s="1" t="s">
        <v>2</v>
      </c>
      <c r="Z101" s="1" t="s">
        <v>3</v>
      </c>
    </row>
    <row r="102" spans="1:26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>
        <v>9.5530000000000008</v>
      </c>
      <c r="Q102" s="1"/>
      <c r="R102" s="1"/>
      <c r="S102" s="1" t="s">
        <v>1</v>
      </c>
      <c r="T102" s="1">
        <v>1</v>
      </c>
      <c r="U102" s="1"/>
      <c r="V102" s="1"/>
      <c r="W102" s="1"/>
      <c r="X102" s="1"/>
      <c r="Y102" s="1" t="s">
        <v>2</v>
      </c>
      <c r="Z102" s="1" t="s">
        <v>3</v>
      </c>
    </row>
    <row r="103" spans="1:26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>
        <v>9.58</v>
      </c>
      <c r="Q103" s="1"/>
      <c r="R103" s="1"/>
      <c r="S103" s="1" t="s">
        <v>1</v>
      </c>
      <c r="T103" s="1">
        <v>1</v>
      </c>
      <c r="U103" s="1"/>
      <c r="V103" s="1"/>
      <c r="W103" s="1"/>
      <c r="X103" s="1"/>
      <c r="Y103" s="1" t="s">
        <v>2</v>
      </c>
      <c r="Z103" s="1" t="s">
        <v>3</v>
      </c>
    </row>
    <row r="104" spans="1:26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>
        <v>9.6620000000000008</v>
      </c>
      <c r="Q104" s="1"/>
      <c r="R104" s="1"/>
      <c r="S104" s="1" t="s">
        <v>1</v>
      </c>
      <c r="T104" s="1">
        <v>1</v>
      </c>
      <c r="U104" s="1"/>
      <c r="V104" s="1"/>
      <c r="W104" s="1"/>
      <c r="X104" s="1"/>
      <c r="Y104" s="1" t="s">
        <v>2</v>
      </c>
      <c r="Z104" s="1" t="s">
        <v>3</v>
      </c>
    </row>
    <row r="105" spans="1:26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>
        <v>9.5890000000000004</v>
      </c>
      <c r="Q105" s="1"/>
      <c r="R105" s="1"/>
      <c r="S105" s="1" t="s">
        <v>1</v>
      </c>
      <c r="T105" s="1">
        <v>1</v>
      </c>
      <c r="U105" s="1"/>
      <c r="V105" s="1"/>
      <c r="W105" s="1"/>
      <c r="X105" s="1"/>
      <c r="Y105" s="1" t="s">
        <v>2</v>
      </c>
      <c r="Z105" s="1" t="s">
        <v>3</v>
      </c>
    </row>
    <row r="106" spans="1:26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>
        <v>9.5579999999999998</v>
      </c>
      <c r="Q106" s="1"/>
      <c r="R106" s="1"/>
      <c r="S106" s="1" t="s">
        <v>1</v>
      </c>
      <c r="T106" s="1">
        <v>1</v>
      </c>
      <c r="U106" s="1"/>
      <c r="V106" s="1"/>
      <c r="W106" s="1"/>
      <c r="X106" s="1"/>
      <c r="Y106" s="1" t="s">
        <v>2</v>
      </c>
      <c r="Z106" s="1" t="s">
        <v>3</v>
      </c>
    </row>
    <row r="107" spans="1:26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>
        <v>9.5120000000000005</v>
      </c>
      <c r="Q107" s="1"/>
      <c r="R107" s="1"/>
      <c r="S107" s="1" t="s">
        <v>1</v>
      </c>
      <c r="T107" s="1">
        <v>1</v>
      </c>
      <c r="U107" s="1"/>
      <c r="V107" s="1"/>
      <c r="W107" s="1"/>
      <c r="X107" s="1"/>
      <c r="Y107" s="1" t="s">
        <v>2</v>
      </c>
      <c r="Z107" s="1" t="s">
        <v>3</v>
      </c>
    </row>
    <row r="108" spans="1:26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>
        <v>9.532</v>
      </c>
      <c r="Q108" s="1"/>
      <c r="R108" s="1"/>
      <c r="S108" s="1" t="s">
        <v>1</v>
      </c>
      <c r="T108" s="1">
        <v>1</v>
      </c>
      <c r="U108" s="1"/>
      <c r="V108" s="1"/>
      <c r="W108" s="1"/>
      <c r="X108" s="1"/>
      <c r="Y108" s="1" t="s">
        <v>2</v>
      </c>
      <c r="Z108" s="1" t="s">
        <v>3</v>
      </c>
    </row>
    <row r="109" spans="1:26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>
        <v>9.5510000000000002</v>
      </c>
      <c r="Q109" s="1"/>
      <c r="R109" s="1"/>
      <c r="S109" s="1" t="s">
        <v>1</v>
      </c>
      <c r="T109" s="1">
        <v>1</v>
      </c>
      <c r="U109" s="1"/>
      <c r="V109" s="1"/>
      <c r="W109" s="1"/>
      <c r="X109" s="1"/>
      <c r="Y109" s="1" t="s">
        <v>2</v>
      </c>
      <c r="Z109" s="1" t="s">
        <v>3</v>
      </c>
    </row>
    <row r="110" spans="1:26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>
        <v>9.5690000000000008</v>
      </c>
      <c r="Q110" s="1"/>
      <c r="R110" s="1"/>
      <c r="S110" s="1" t="s">
        <v>1</v>
      </c>
      <c r="T110" s="1">
        <v>1</v>
      </c>
      <c r="U110" s="1"/>
      <c r="V110" s="1"/>
      <c r="W110" s="1"/>
      <c r="X110" s="1"/>
      <c r="Y110" s="1" t="s">
        <v>2</v>
      </c>
      <c r="Z110" s="1" t="s">
        <v>3</v>
      </c>
    </row>
    <row r="111" spans="1:26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>
        <v>9.5389999999999997</v>
      </c>
      <c r="Q111" s="1"/>
      <c r="R111" s="1"/>
      <c r="S111" s="1" t="s">
        <v>1</v>
      </c>
      <c r="T111" s="1">
        <v>1</v>
      </c>
      <c r="U111" s="1"/>
      <c r="V111" s="1"/>
      <c r="W111" s="1"/>
      <c r="X111" s="1"/>
      <c r="Y111" s="1" t="s">
        <v>2</v>
      </c>
      <c r="Z111" s="1" t="s">
        <v>3</v>
      </c>
    </row>
    <row r="112" spans="1:26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>
        <v>9.52</v>
      </c>
      <c r="Q112" s="1"/>
      <c r="R112" s="1"/>
      <c r="S112" s="1" t="s">
        <v>1</v>
      </c>
      <c r="T112" s="1">
        <v>1</v>
      </c>
      <c r="U112" s="1"/>
      <c r="V112" s="1"/>
      <c r="W112" s="1"/>
      <c r="X112" s="1"/>
      <c r="Y112" s="1" t="s">
        <v>2</v>
      </c>
      <c r="Z112" s="1" t="s">
        <v>3</v>
      </c>
    </row>
    <row r="113" spans="1:26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>
        <v>8.7829999999999995</v>
      </c>
      <c r="Q113" s="1"/>
      <c r="R113" s="1"/>
      <c r="S113" s="1" t="s">
        <v>1</v>
      </c>
      <c r="T113" s="1">
        <v>0</v>
      </c>
      <c r="U113" s="1"/>
      <c r="V113" s="1"/>
      <c r="W113" s="1"/>
      <c r="X113" s="1"/>
      <c r="Y113" s="1" t="s">
        <v>2</v>
      </c>
      <c r="Z113" s="1" t="s">
        <v>3</v>
      </c>
    </row>
    <row r="114" spans="1:26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>
        <v>8.8140000000000001</v>
      </c>
      <c r="Q114" s="1"/>
      <c r="R114" s="1"/>
      <c r="S114" s="1" t="s">
        <v>1</v>
      </c>
      <c r="T114" s="1">
        <v>0</v>
      </c>
      <c r="U114" s="1"/>
      <c r="V114" s="1"/>
      <c r="W114" s="1"/>
      <c r="X114" s="1"/>
      <c r="Y114" s="1" t="s">
        <v>2</v>
      </c>
      <c r="Z114" s="1" t="s">
        <v>3</v>
      </c>
    </row>
    <row r="115" spans="1:26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>
        <v>8.8539999999999992</v>
      </c>
      <c r="Q115" s="1"/>
      <c r="R115" s="1"/>
      <c r="S115" s="1" t="s">
        <v>1</v>
      </c>
      <c r="T115" s="1">
        <v>0</v>
      </c>
      <c r="U115" s="1"/>
      <c r="V115" s="1"/>
      <c r="W115" s="1"/>
      <c r="X115" s="1"/>
      <c r="Y115" s="1" t="s">
        <v>2</v>
      </c>
      <c r="Z115" s="1" t="s">
        <v>3</v>
      </c>
    </row>
    <row r="116" spans="1:26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>
        <v>8.8089999999999993</v>
      </c>
      <c r="Q116" s="1"/>
      <c r="R116" s="1"/>
      <c r="S116" s="1" t="s">
        <v>1</v>
      </c>
      <c r="T116" s="1">
        <v>0</v>
      </c>
      <c r="U116" s="1"/>
      <c r="V116" s="1"/>
      <c r="W116" s="1"/>
      <c r="X116" s="1"/>
      <c r="Y116" s="1" t="s">
        <v>2</v>
      </c>
      <c r="Z116" s="1" t="s">
        <v>3</v>
      </c>
    </row>
    <row r="117" spans="1:26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>
        <v>8.81</v>
      </c>
      <c r="Q117" s="1"/>
      <c r="R117" s="1"/>
      <c r="S117" s="1" t="s">
        <v>1</v>
      </c>
      <c r="T117" s="1">
        <v>0</v>
      </c>
      <c r="U117" s="1"/>
      <c r="V117" s="1"/>
      <c r="W117" s="1"/>
      <c r="X117" s="1"/>
      <c r="Y117" s="1" t="s">
        <v>2</v>
      </c>
      <c r="Z117" s="1" t="s">
        <v>3</v>
      </c>
    </row>
    <row r="118" spans="1:26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>
        <v>8.7870000000000008</v>
      </c>
      <c r="Q118" s="1"/>
      <c r="R118" s="1"/>
      <c r="S118" s="1" t="s">
        <v>1</v>
      </c>
      <c r="T118" s="1">
        <v>0</v>
      </c>
      <c r="U118" s="1"/>
      <c r="V118" s="1"/>
      <c r="W118" s="1"/>
      <c r="X118" s="1"/>
      <c r="Y118" s="1" t="s">
        <v>2</v>
      </c>
      <c r="Z118" s="1" t="s">
        <v>3</v>
      </c>
    </row>
    <row r="119" spans="1:26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>
        <v>9.577</v>
      </c>
      <c r="Q119" s="1"/>
      <c r="R119" s="1"/>
      <c r="S119" s="1" t="s">
        <v>1</v>
      </c>
      <c r="T119" s="1">
        <v>1</v>
      </c>
      <c r="U119" s="1"/>
      <c r="V119" s="1"/>
      <c r="W119" s="1"/>
      <c r="X119" s="1"/>
      <c r="Y119" s="1" t="s">
        <v>2</v>
      </c>
      <c r="Z119" s="1" t="s">
        <v>3</v>
      </c>
    </row>
    <row r="120" spans="1:26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>
        <v>9.5950000000000006</v>
      </c>
      <c r="Q120" s="1"/>
      <c r="R120" s="1"/>
      <c r="S120" s="1" t="s">
        <v>1</v>
      </c>
      <c r="T120" s="1">
        <v>1</v>
      </c>
      <c r="U120" s="1"/>
      <c r="V120" s="1"/>
      <c r="W120" s="1"/>
      <c r="X120" s="1"/>
      <c r="Y120" s="1" t="s">
        <v>2</v>
      </c>
      <c r="Z120" s="1" t="s">
        <v>3</v>
      </c>
    </row>
    <row r="121" spans="1:26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>
        <v>9.57</v>
      </c>
      <c r="Q121" s="1"/>
      <c r="R121" s="1"/>
      <c r="S121" s="1" t="s">
        <v>1</v>
      </c>
      <c r="T121" s="1">
        <v>1</v>
      </c>
      <c r="U121" s="1"/>
      <c r="V121" s="1"/>
      <c r="W121" s="1"/>
      <c r="X121" s="1"/>
      <c r="Y121" s="1" t="s">
        <v>2</v>
      </c>
      <c r="Z121" s="1" t="s">
        <v>3</v>
      </c>
    </row>
    <row r="122" spans="1:26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>
        <v>9.5020000000000007</v>
      </c>
      <c r="Q122" s="1"/>
      <c r="R122" s="1"/>
      <c r="S122" s="1" t="s">
        <v>1</v>
      </c>
      <c r="T122" s="1">
        <v>1</v>
      </c>
      <c r="U122" s="1"/>
      <c r="V122" s="1"/>
      <c r="W122" s="1"/>
      <c r="X122" s="1"/>
      <c r="Y122" s="1" t="s">
        <v>2</v>
      </c>
      <c r="Z122" s="1" t="s">
        <v>3</v>
      </c>
    </row>
    <row r="123" spans="1:26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>
        <v>9.5310000000000006</v>
      </c>
      <c r="Q123" s="1"/>
      <c r="R123" s="1"/>
      <c r="S123" s="1" t="s">
        <v>1</v>
      </c>
      <c r="T123" s="1">
        <v>1</v>
      </c>
      <c r="U123" s="1"/>
      <c r="V123" s="1"/>
      <c r="W123" s="1"/>
      <c r="X123" s="1"/>
      <c r="Y123" s="1" t="s">
        <v>2</v>
      </c>
      <c r="Z123" s="1" t="s">
        <v>3</v>
      </c>
    </row>
    <row r="124" spans="1:26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>
        <v>9.5670000000000002</v>
      </c>
      <c r="Q124" s="1"/>
      <c r="R124" s="1"/>
      <c r="S124" s="1" t="s">
        <v>1</v>
      </c>
      <c r="T124" s="1">
        <v>1</v>
      </c>
      <c r="U124" s="1"/>
      <c r="V124" s="1"/>
      <c r="W124" s="1"/>
      <c r="X124" s="1"/>
      <c r="Y124" s="1" t="s">
        <v>2</v>
      </c>
      <c r="Z124" s="1" t="s">
        <v>3</v>
      </c>
    </row>
    <row r="125" spans="1:26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>
        <v>9.5519999999999996</v>
      </c>
      <c r="Q125" s="1"/>
      <c r="R125" s="1"/>
      <c r="S125" s="1" t="s">
        <v>1</v>
      </c>
      <c r="T125" s="1">
        <v>1</v>
      </c>
      <c r="U125" s="1"/>
      <c r="V125" s="1"/>
      <c r="W125" s="1"/>
      <c r="X125" s="1"/>
      <c r="Y125" s="1" t="s">
        <v>2</v>
      </c>
      <c r="Z125" s="1" t="s">
        <v>3</v>
      </c>
    </row>
    <row r="126" spans="1:26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>
        <v>9.5749999999999993</v>
      </c>
      <c r="Q126" s="1"/>
      <c r="R126" s="1"/>
      <c r="S126" s="1" t="s">
        <v>1</v>
      </c>
      <c r="T126" s="1">
        <v>1</v>
      </c>
      <c r="U126" s="1"/>
      <c r="V126" s="1"/>
      <c r="W126" s="1"/>
      <c r="X126" s="1"/>
      <c r="Y126" s="1" t="s">
        <v>2</v>
      </c>
      <c r="Z126" s="1" t="s">
        <v>3</v>
      </c>
    </row>
    <row r="127" spans="1:26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>
        <v>9.5459999999999994</v>
      </c>
      <c r="Q127" s="1"/>
      <c r="R127" s="1"/>
      <c r="S127" s="1" t="s">
        <v>1</v>
      </c>
      <c r="T127" s="1">
        <v>1</v>
      </c>
      <c r="U127" s="1"/>
      <c r="V127" s="1"/>
      <c r="W127" s="1"/>
      <c r="X127" s="1"/>
      <c r="Y127" s="1" t="s">
        <v>2</v>
      </c>
      <c r="Z127" s="1" t="s">
        <v>3</v>
      </c>
    </row>
    <row r="128" spans="1:26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>
        <v>9.5890000000000004</v>
      </c>
      <c r="Q128" s="1"/>
      <c r="R128" s="1"/>
      <c r="S128" s="1" t="s">
        <v>1</v>
      </c>
      <c r="T128" s="1">
        <v>1</v>
      </c>
      <c r="U128" s="1"/>
      <c r="V128" s="1"/>
      <c r="W128" s="1"/>
      <c r="X128" s="1"/>
      <c r="Y128" s="1" t="s">
        <v>2</v>
      </c>
      <c r="Z128" s="1" t="s">
        <v>3</v>
      </c>
    </row>
    <row r="129" spans="1:26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>
        <v>9.5779999999999994</v>
      </c>
      <c r="Q129" s="1"/>
      <c r="R129" s="1"/>
      <c r="S129" s="1" t="s">
        <v>1</v>
      </c>
      <c r="T129" s="1">
        <v>1</v>
      </c>
      <c r="U129" s="1"/>
      <c r="V129" s="1"/>
      <c r="W129" s="1"/>
      <c r="X129" s="1"/>
      <c r="Y129" s="1" t="s">
        <v>2</v>
      </c>
      <c r="Z129" s="1" t="s">
        <v>3</v>
      </c>
    </row>
    <row r="130" spans="1:26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>
        <v>9.5410000000000004</v>
      </c>
      <c r="Q130" s="1"/>
      <c r="R130" s="1"/>
      <c r="S130" s="1" t="s">
        <v>1</v>
      </c>
      <c r="T130" s="1">
        <v>1</v>
      </c>
      <c r="U130" s="1"/>
      <c r="V130" s="1"/>
      <c r="W130" s="1"/>
      <c r="X130" s="1"/>
      <c r="Y130" s="1" t="s">
        <v>2</v>
      </c>
      <c r="Z130" s="1" t="s">
        <v>3</v>
      </c>
    </row>
    <row r="131" spans="1:2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>
        <v>9.5709999999999997</v>
      </c>
      <c r="Q131" s="1"/>
      <c r="R131" s="1"/>
      <c r="S131" s="1" t="s">
        <v>1</v>
      </c>
      <c r="T131" s="1">
        <v>1</v>
      </c>
      <c r="U131" s="1"/>
      <c r="V131" s="1"/>
      <c r="W131" s="1"/>
      <c r="X131" s="1"/>
      <c r="Y131" s="1" t="s">
        <v>2</v>
      </c>
      <c r="Z131" s="1" t="s">
        <v>3</v>
      </c>
    </row>
    <row r="132" spans="1:2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>
        <v>9.5329999999999995</v>
      </c>
      <c r="Q132" s="1"/>
      <c r="R132" s="1"/>
      <c r="S132" s="1" t="s">
        <v>1</v>
      </c>
      <c r="T132" s="1">
        <v>1</v>
      </c>
      <c r="U132" s="1"/>
      <c r="V132" s="1"/>
      <c r="W132" s="1"/>
      <c r="X132" s="1"/>
      <c r="Y132" s="1" t="s">
        <v>2</v>
      </c>
      <c r="Z132" s="1" t="s">
        <v>3</v>
      </c>
    </row>
    <row r="133" spans="1:2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>
        <v>9.69</v>
      </c>
      <c r="Q133" s="1"/>
      <c r="R133" s="1"/>
      <c r="S133" s="1" t="s">
        <v>1</v>
      </c>
      <c r="T133" s="1">
        <v>1</v>
      </c>
      <c r="U133" s="1"/>
      <c r="V133" s="1"/>
      <c r="W133" s="1"/>
      <c r="X133" s="1"/>
      <c r="Y133" s="1" t="s">
        <v>2</v>
      </c>
      <c r="Z133" s="1" t="s">
        <v>3</v>
      </c>
    </row>
    <row r="134" spans="1:2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>
        <v>9.5739999999999998</v>
      </c>
      <c r="Q134" s="1"/>
      <c r="R134" s="1"/>
      <c r="S134" s="1" t="s">
        <v>1</v>
      </c>
      <c r="T134" s="1">
        <v>1</v>
      </c>
      <c r="U134" s="1"/>
      <c r="V134" s="1"/>
      <c r="W134" s="1"/>
      <c r="X134" s="1"/>
      <c r="Y134" s="1" t="s">
        <v>2</v>
      </c>
      <c r="Z134" s="1" t="s">
        <v>3</v>
      </c>
    </row>
    <row r="135" spans="1:2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>
        <v>9.5579999999999998</v>
      </c>
      <c r="Q135" s="1"/>
      <c r="R135" s="1"/>
      <c r="S135" s="1" t="s">
        <v>1</v>
      </c>
      <c r="T135" s="1">
        <v>1</v>
      </c>
      <c r="U135" s="1"/>
      <c r="V135" s="1"/>
      <c r="W135" s="1"/>
      <c r="X135" s="1"/>
      <c r="Y135" s="1" t="s">
        <v>2</v>
      </c>
      <c r="Z135" s="1" t="s">
        <v>3</v>
      </c>
    </row>
    <row r="136" spans="1:2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>
        <v>9.5579999999999998</v>
      </c>
      <c r="Q136" s="1"/>
      <c r="R136" s="1"/>
      <c r="S136" s="1" t="s">
        <v>1</v>
      </c>
      <c r="T136" s="1">
        <v>1</v>
      </c>
      <c r="U136" s="1"/>
      <c r="V136" s="1"/>
      <c r="W136" s="1"/>
      <c r="X136" s="1"/>
      <c r="Y136" s="1" t="s">
        <v>2</v>
      </c>
      <c r="Z136" s="1" t="s">
        <v>3</v>
      </c>
    </row>
    <row r="137" spans="1:2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>
        <v>9.5410000000000004</v>
      </c>
      <c r="Q137" s="1"/>
      <c r="R137" s="1"/>
      <c r="S137" s="1" t="s">
        <v>1</v>
      </c>
      <c r="T137" s="1">
        <v>1</v>
      </c>
      <c r="U137" s="1"/>
      <c r="V137" s="1"/>
      <c r="W137" s="1"/>
      <c r="X137" s="1"/>
      <c r="Y137" s="1" t="s">
        <v>2</v>
      </c>
      <c r="Z137" s="1" t="s">
        <v>3</v>
      </c>
    </row>
    <row r="138" spans="1:2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>
        <v>9.5329999999999995</v>
      </c>
      <c r="Q138" s="1"/>
      <c r="R138" s="1"/>
      <c r="S138" s="1" t="s">
        <v>1</v>
      </c>
      <c r="T138" s="1">
        <v>1</v>
      </c>
      <c r="U138" s="1"/>
      <c r="V138" s="1"/>
      <c r="W138" s="1"/>
      <c r="X138" s="1"/>
      <c r="Y138" s="1" t="s">
        <v>2</v>
      </c>
      <c r="Z138" s="1" t="s">
        <v>3</v>
      </c>
    </row>
    <row r="139" spans="1:2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>
        <v>9.5470000000000006</v>
      </c>
      <c r="Q139" s="1"/>
      <c r="R139" s="1"/>
      <c r="S139" s="1" t="s">
        <v>1</v>
      </c>
      <c r="T139" s="1">
        <v>1</v>
      </c>
      <c r="U139" s="1"/>
      <c r="V139" s="1"/>
      <c r="W139" s="1"/>
      <c r="X139" s="1"/>
      <c r="Y139" s="1" t="s">
        <v>2</v>
      </c>
      <c r="Z139" s="1" t="s">
        <v>3</v>
      </c>
    </row>
    <row r="140" spans="1:2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>
        <v>9.5060000000000002</v>
      </c>
      <c r="Q140" s="1"/>
      <c r="R140" s="1"/>
      <c r="S140" s="1" t="s">
        <v>1</v>
      </c>
      <c r="T140" s="1">
        <v>1</v>
      </c>
      <c r="U140" s="1"/>
      <c r="V140" s="1"/>
      <c r="W140" s="1"/>
      <c r="X140" s="1"/>
      <c r="Y140" s="1" t="s">
        <v>2</v>
      </c>
      <c r="Z140" s="1" t="s">
        <v>3</v>
      </c>
    </row>
    <row r="141" spans="1:2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>
        <v>9.5540000000000003</v>
      </c>
      <c r="Q141" s="1"/>
      <c r="R141" s="1"/>
      <c r="S141" s="1" t="s">
        <v>1</v>
      </c>
      <c r="T141" s="1">
        <v>1</v>
      </c>
      <c r="U141" s="1"/>
      <c r="V141" s="1"/>
      <c r="W141" s="1"/>
      <c r="X141" s="1"/>
      <c r="Y141" s="1" t="s">
        <v>2</v>
      </c>
      <c r="Z141" s="1" t="s">
        <v>3</v>
      </c>
    </row>
    <row r="142" spans="1:2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>
        <v>9.593</v>
      </c>
      <c r="Q142" s="1"/>
      <c r="R142" s="1"/>
      <c r="S142" s="1" t="s">
        <v>1</v>
      </c>
      <c r="T142" s="1">
        <v>1</v>
      </c>
      <c r="U142" s="1"/>
      <c r="V142" s="1"/>
      <c r="W142" s="1"/>
      <c r="X142" s="1"/>
      <c r="Y142" s="1" t="s">
        <v>2</v>
      </c>
      <c r="Z142" s="1" t="s">
        <v>3</v>
      </c>
    </row>
    <row r="143" spans="1:2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>
        <v>8.8390000000000004</v>
      </c>
      <c r="Q143" s="1"/>
      <c r="R143" s="1"/>
      <c r="S143" s="1" t="s">
        <v>1</v>
      </c>
      <c r="T143" s="1">
        <v>0</v>
      </c>
      <c r="U143" s="1"/>
      <c r="V143" s="1"/>
      <c r="W143" s="1"/>
      <c r="X143" s="1"/>
      <c r="Y143" s="1" t="s">
        <v>2</v>
      </c>
      <c r="Z143" s="1" t="s">
        <v>3</v>
      </c>
    </row>
    <row r="144" spans="1:2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>
        <v>8.7370000000000001</v>
      </c>
      <c r="Q144" s="1"/>
      <c r="R144" s="1"/>
      <c r="S144" s="1" t="s">
        <v>1</v>
      </c>
      <c r="T144" s="1">
        <v>0</v>
      </c>
      <c r="U144" s="1"/>
      <c r="V144" s="1"/>
      <c r="W144" s="1"/>
      <c r="X144" s="1"/>
      <c r="Y144" s="1" t="s">
        <v>2</v>
      </c>
      <c r="Z144" s="1" t="s">
        <v>3</v>
      </c>
    </row>
    <row r="145" spans="1:2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>
        <v>8.859</v>
      </c>
      <c r="Q145" s="1"/>
      <c r="R145" s="1"/>
      <c r="S145" s="1" t="s">
        <v>1</v>
      </c>
      <c r="T145" s="1">
        <v>0</v>
      </c>
      <c r="U145" s="1"/>
      <c r="V145" s="1"/>
      <c r="W145" s="1"/>
      <c r="X145" s="1"/>
      <c r="Y145" s="1" t="s">
        <v>2</v>
      </c>
      <c r="Z145" s="1" t="s">
        <v>3</v>
      </c>
    </row>
    <row r="146" spans="1:2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>
        <v>8.8689999999999998</v>
      </c>
      <c r="Q146" s="1"/>
      <c r="R146" s="1"/>
      <c r="S146" s="1" t="s">
        <v>1</v>
      </c>
      <c r="T146" s="1">
        <v>0</v>
      </c>
      <c r="U146" s="1"/>
      <c r="V146" s="1"/>
      <c r="W146" s="1"/>
      <c r="X146" s="1"/>
      <c r="Y146" s="1" t="s">
        <v>2</v>
      </c>
      <c r="Z146" s="1" t="s">
        <v>3</v>
      </c>
    </row>
    <row r="147" spans="1:2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>
        <v>8.84</v>
      </c>
      <c r="Q147" s="1"/>
      <c r="R147" s="1"/>
      <c r="S147" s="1" t="s">
        <v>1</v>
      </c>
      <c r="T147" s="1">
        <v>0</v>
      </c>
      <c r="U147" s="1"/>
      <c r="V147" s="1"/>
      <c r="W147" s="1"/>
      <c r="X147" s="1"/>
      <c r="Y147" s="1" t="s">
        <v>2</v>
      </c>
      <c r="Z147" s="1" t="s">
        <v>3</v>
      </c>
    </row>
    <row r="148" spans="1:2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>
        <v>9.5359999999999996</v>
      </c>
      <c r="Q148" s="1"/>
      <c r="R148" s="1"/>
      <c r="S148" s="1" t="s">
        <v>1</v>
      </c>
      <c r="T148" s="1">
        <v>1</v>
      </c>
      <c r="U148" s="1"/>
      <c r="V148" s="1"/>
      <c r="W148" s="1"/>
      <c r="X148" s="1"/>
      <c r="Y148" s="1" t="s">
        <v>2</v>
      </c>
      <c r="Z148" s="1" t="s">
        <v>3</v>
      </c>
    </row>
    <row r="149" spans="1:2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>
        <v>9.5359999999999996</v>
      </c>
      <c r="Q149" s="1"/>
      <c r="R149" s="1"/>
      <c r="S149" s="1" t="s">
        <v>1</v>
      </c>
      <c r="T149" s="1">
        <v>1</v>
      </c>
      <c r="U149" s="1"/>
      <c r="V149" s="1"/>
      <c r="W149" s="1"/>
      <c r="X149" s="1"/>
      <c r="Y149" s="1" t="s">
        <v>2</v>
      </c>
      <c r="Z149" s="1" t="s">
        <v>3</v>
      </c>
    </row>
    <row r="150" spans="1:2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>
        <v>9.5990000000000002</v>
      </c>
      <c r="Q150" s="1"/>
      <c r="R150" s="1"/>
      <c r="S150" s="1" t="s">
        <v>1</v>
      </c>
      <c r="T150" s="1">
        <v>1</v>
      </c>
      <c r="U150" s="1"/>
      <c r="V150" s="1"/>
      <c r="W150" s="1"/>
      <c r="X150" s="1"/>
      <c r="Y150" s="1" t="s">
        <v>2</v>
      </c>
      <c r="Z150" s="1" t="s">
        <v>3</v>
      </c>
    </row>
    <row r="151" spans="1:2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>
        <v>9.6069999999999993</v>
      </c>
      <c r="Q151" s="1"/>
      <c r="R151" s="1"/>
      <c r="S151" s="1" t="s">
        <v>1</v>
      </c>
      <c r="T151" s="1">
        <v>1</v>
      </c>
      <c r="U151" s="1"/>
      <c r="V151" s="1"/>
      <c r="W151" s="1"/>
      <c r="X151" s="1"/>
      <c r="Y151" s="1" t="s">
        <v>2</v>
      </c>
      <c r="Z151" s="1" t="s">
        <v>3</v>
      </c>
    </row>
    <row r="152" spans="1:2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>
        <v>9.48</v>
      </c>
      <c r="Q152" s="1"/>
      <c r="R152" s="1"/>
      <c r="S152" s="1" t="s">
        <v>1</v>
      </c>
      <c r="T152" s="1">
        <v>1</v>
      </c>
      <c r="U152" s="1"/>
      <c r="V152" s="1"/>
      <c r="W152" s="1"/>
      <c r="X152" s="1"/>
      <c r="Y152" s="1" t="s">
        <v>2</v>
      </c>
      <c r="Z152" s="1" t="s">
        <v>3</v>
      </c>
    </row>
    <row r="153" spans="1:2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>
        <v>9.5779999999999994</v>
      </c>
      <c r="Q153" s="1"/>
      <c r="R153" s="1"/>
      <c r="S153" s="1" t="s">
        <v>1</v>
      </c>
      <c r="T153" s="1">
        <v>1</v>
      </c>
      <c r="U153" s="1"/>
      <c r="V153" s="1"/>
      <c r="W153" s="1"/>
      <c r="X153" s="1"/>
      <c r="Y153" s="1" t="s">
        <v>2</v>
      </c>
      <c r="Z153" s="1" t="s">
        <v>3</v>
      </c>
    </row>
    <row r="154" spans="1:2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>
        <v>9.5549999999999997</v>
      </c>
      <c r="Q154" s="1"/>
      <c r="R154" s="1"/>
      <c r="S154" s="1" t="s">
        <v>1</v>
      </c>
      <c r="T154" s="1">
        <v>1</v>
      </c>
      <c r="U154" s="1"/>
      <c r="V154" s="1"/>
      <c r="W154" s="1"/>
      <c r="X154" s="1"/>
      <c r="Y154" s="1" t="s">
        <v>2</v>
      </c>
      <c r="Z154" s="1" t="s">
        <v>3</v>
      </c>
    </row>
    <row r="155" spans="1:2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>
        <v>9.5030000000000001</v>
      </c>
      <c r="Q155" s="1"/>
      <c r="R155" s="1"/>
      <c r="S155" s="1" t="s">
        <v>1</v>
      </c>
      <c r="T155" s="1">
        <v>1</v>
      </c>
      <c r="U155" s="1"/>
      <c r="V155" s="1"/>
      <c r="W155" s="1"/>
      <c r="X155" s="1"/>
      <c r="Y155" s="1" t="s">
        <v>2</v>
      </c>
      <c r="Z155" s="1" t="s">
        <v>3</v>
      </c>
    </row>
    <row r="156" spans="1:2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>
        <v>9.4969999999999999</v>
      </c>
      <c r="Q156" s="1"/>
      <c r="R156" s="1"/>
      <c r="S156" s="1" t="s">
        <v>1</v>
      </c>
      <c r="T156" s="1">
        <v>1</v>
      </c>
      <c r="U156" s="1"/>
      <c r="V156" s="1"/>
      <c r="W156" s="1"/>
      <c r="X156" s="1"/>
      <c r="Y156" s="1" t="s">
        <v>2</v>
      </c>
      <c r="Z156" s="1" t="s">
        <v>3</v>
      </c>
    </row>
    <row r="157" spans="1:2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>
        <v>9.5809999999999995</v>
      </c>
      <c r="Q157" s="1"/>
      <c r="R157" s="1"/>
      <c r="S157" s="1" t="s">
        <v>1</v>
      </c>
      <c r="T157" s="1">
        <v>1</v>
      </c>
      <c r="U157" s="1"/>
      <c r="V157" s="1"/>
      <c r="W157" s="1"/>
      <c r="X157" s="1"/>
      <c r="Y157" s="1" t="s">
        <v>2</v>
      </c>
      <c r="Z157" s="1" t="s">
        <v>3</v>
      </c>
    </row>
    <row r="158" spans="1:2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>
        <v>9.5709999999999997</v>
      </c>
      <c r="Q158" s="1"/>
      <c r="R158" s="1"/>
      <c r="S158" s="1" t="s">
        <v>1</v>
      </c>
      <c r="T158" s="1">
        <v>1</v>
      </c>
      <c r="U158" s="1"/>
      <c r="V158" s="1"/>
      <c r="W158" s="1"/>
      <c r="X158" s="1"/>
      <c r="Y158" s="1" t="s">
        <v>2</v>
      </c>
      <c r="Z158" s="1" t="s">
        <v>3</v>
      </c>
    </row>
    <row r="159" spans="1:2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>
        <v>9.5860000000000003</v>
      </c>
      <c r="Q159" s="1"/>
      <c r="R159" s="1"/>
      <c r="S159" s="1" t="s">
        <v>1</v>
      </c>
      <c r="T159" s="1">
        <v>1</v>
      </c>
      <c r="U159" s="1"/>
      <c r="V159" s="1"/>
      <c r="W159" s="1"/>
      <c r="X159" s="1"/>
      <c r="Y159" s="1" t="s">
        <v>2</v>
      </c>
      <c r="Z159" s="1" t="s">
        <v>3</v>
      </c>
    </row>
    <row r="160" spans="1:2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>
        <v>9.5510000000000002</v>
      </c>
      <c r="Q160" s="1"/>
      <c r="R160" s="1"/>
      <c r="S160" s="1" t="s">
        <v>1</v>
      </c>
      <c r="T160" s="1">
        <v>1</v>
      </c>
      <c r="U160" s="1"/>
      <c r="V160" s="1"/>
      <c r="W160" s="1"/>
      <c r="X160" s="1"/>
      <c r="Y160" s="1" t="s">
        <v>2</v>
      </c>
      <c r="Z160" s="1" t="s">
        <v>3</v>
      </c>
    </row>
    <row r="161" spans="1:2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>
        <v>9.5969999999999995</v>
      </c>
      <c r="Q161" s="1"/>
      <c r="R161" s="1"/>
      <c r="S161" s="1" t="s">
        <v>1</v>
      </c>
      <c r="T161" s="1">
        <v>1</v>
      </c>
      <c r="U161" s="1"/>
      <c r="V161" s="1"/>
      <c r="W161" s="1"/>
      <c r="X161" s="1"/>
      <c r="Y161" s="1" t="s">
        <v>2</v>
      </c>
      <c r="Z161" s="1" t="s">
        <v>3</v>
      </c>
    </row>
    <row r="162" spans="1:2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>
        <v>9.5389999999999997</v>
      </c>
      <c r="Q162" s="1"/>
      <c r="R162" s="1"/>
      <c r="S162" s="1" t="s">
        <v>1</v>
      </c>
      <c r="T162" s="1">
        <v>1</v>
      </c>
      <c r="U162" s="1"/>
      <c r="V162" s="1"/>
      <c r="W162" s="1"/>
      <c r="X162" s="1"/>
      <c r="Y162" s="1" t="s">
        <v>2</v>
      </c>
      <c r="Z162" s="1" t="s">
        <v>3</v>
      </c>
    </row>
    <row r="163" spans="1:2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>
        <v>9.5370000000000008</v>
      </c>
      <c r="Q163" s="1"/>
      <c r="R163" s="1"/>
      <c r="S163" s="1" t="s">
        <v>1</v>
      </c>
      <c r="T163" s="1">
        <v>1</v>
      </c>
      <c r="U163" s="1"/>
      <c r="V163" s="1"/>
      <c r="W163" s="1"/>
      <c r="X163" s="1"/>
      <c r="Y163" s="1" t="s">
        <v>2</v>
      </c>
      <c r="Z163" s="1" t="s">
        <v>3</v>
      </c>
    </row>
    <row r="164" spans="1:2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>
        <v>9.5459999999999994</v>
      </c>
      <c r="Q164" s="1"/>
      <c r="R164" s="1"/>
      <c r="S164" s="1" t="s">
        <v>1</v>
      </c>
      <c r="T164" s="1">
        <v>1</v>
      </c>
      <c r="U164" s="1"/>
      <c r="V164" s="1"/>
      <c r="W164" s="1"/>
      <c r="X164" s="1"/>
      <c r="Y164" s="1" t="s">
        <v>2</v>
      </c>
      <c r="Z164" s="1" t="s">
        <v>3</v>
      </c>
    </row>
    <row r="165" spans="1:2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>
        <v>9.516</v>
      </c>
      <c r="Q165" s="1"/>
      <c r="R165" s="1"/>
      <c r="S165" s="1" t="s">
        <v>1</v>
      </c>
      <c r="T165" s="1">
        <v>1</v>
      </c>
      <c r="U165" s="1"/>
      <c r="V165" s="1"/>
      <c r="W165" s="1"/>
      <c r="X165" s="1"/>
      <c r="Y165" s="1" t="s">
        <v>2</v>
      </c>
      <c r="Z165" s="1" t="s">
        <v>3</v>
      </c>
    </row>
    <row r="166" spans="1:2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>
        <v>9.5709999999999997</v>
      </c>
      <c r="Q166" s="1"/>
      <c r="R166" s="1"/>
      <c r="S166" s="1" t="s">
        <v>1</v>
      </c>
      <c r="T166" s="1">
        <v>1</v>
      </c>
      <c r="U166" s="1"/>
      <c r="V166" s="1"/>
      <c r="W166" s="1"/>
      <c r="X166" s="1"/>
      <c r="Y166" s="1" t="s">
        <v>2</v>
      </c>
      <c r="Z166" s="1" t="s">
        <v>3</v>
      </c>
    </row>
    <row r="167" spans="1:2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>
        <v>9.5809999999999995</v>
      </c>
      <c r="Q167" s="1"/>
      <c r="R167" s="1"/>
      <c r="S167" s="1" t="s">
        <v>1</v>
      </c>
      <c r="T167" s="1">
        <v>1</v>
      </c>
      <c r="U167" s="1"/>
      <c r="V167" s="1"/>
      <c r="W167" s="1"/>
      <c r="X167" s="1"/>
      <c r="Y167" s="1" t="s">
        <v>2</v>
      </c>
      <c r="Z167" s="1" t="s">
        <v>3</v>
      </c>
    </row>
    <row r="168" spans="1:2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>
        <v>9.5709999999999997</v>
      </c>
      <c r="Q168" s="1"/>
      <c r="R168" s="1"/>
      <c r="S168" s="1" t="s">
        <v>1</v>
      </c>
      <c r="T168" s="1">
        <v>1</v>
      </c>
      <c r="U168" s="1"/>
      <c r="V168" s="1"/>
      <c r="W168" s="1"/>
      <c r="X168" s="1"/>
      <c r="Y168" s="1" t="s">
        <v>2</v>
      </c>
      <c r="Z168" s="1" t="s">
        <v>3</v>
      </c>
    </row>
    <row r="169" spans="1:2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>
        <v>9.5670000000000002</v>
      </c>
      <c r="Q169" s="1"/>
      <c r="R169" s="1"/>
      <c r="S169" s="1" t="s">
        <v>1</v>
      </c>
      <c r="T169" s="1">
        <v>1</v>
      </c>
      <c r="U169" s="1"/>
      <c r="V169" s="1"/>
      <c r="W169" s="1"/>
      <c r="X169" s="1"/>
      <c r="Y169" s="1" t="s">
        <v>2</v>
      </c>
      <c r="Z169" s="1" t="s">
        <v>3</v>
      </c>
    </row>
    <row r="170" spans="1:2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>
        <v>9.5839999999999996</v>
      </c>
      <c r="Q170" s="1"/>
      <c r="R170" s="1"/>
      <c r="S170" s="1" t="s">
        <v>1</v>
      </c>
      <c r="T170" s="1">
        <v>1</v>
      </c>
      <c r="U170" s="1"/>
      <c r="V170" s="1"/>
      <c r="W170" s="1"/>
      <c r="X170" s="1"/>
      <c r="Y170" s="1" t="s">
        <v>2</v>
      </c>
      <c r="Z170" s="1" t="s">
        <v>3</v>
      </c>
    </row>
    <row r="171" spans="1:2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>
        <v>9.5649999999999995</v>
      </c>
      <c r="Q171" s="1"/>
      <c r="R171" s="1"/>
      <c r="S171" s="1" t="s">
        <v>1</v>
      </c>
      <c r="T171" s="1">
        <v>1</v>
      </c>
      <c r="U171" s="1"/>
      <c r="V171" s="1"/>
      <c r="W171" s="1"/>
      <c r="X171" s="1"/>
      <c r="Y171" s="1" t="s">
        <v>2</v>
      </c>
      <c r="Z171" s="1" t="s">
        <v>3</v>
      </c>
    </row>
    <row r="172" spans="1:2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>
        <v>9.5459999999999994</v>
      </c>
      <c r="Q172" s="1"/>
      <c r="R172" s="1"/>
      <c r="S172" s="1" t="s">
        <v>1</v>
      </c>
      <c r="T172" s="1">
        <v>1</v>
      </c>
      <c r="U172" s="1"/>
      <c r="V172" s="1"/>
      <c r="W172" s="1"/>
      <c r="X172" s="1"/>
      <c r="Y172" s="1" t="s">
        <v>2</v>
      </c>
      <c r="Z172" s="1" t="s">
        <v>3</v>
      </c>
    </row>
    <row r="173" spans="1:2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>
        <v>9.5500000000000007</v>
      </c>
      <c r="Q173" s="1"/>
      <c r="R173" s="1"/>
      <c r="S173" s="1" t="s">
        <v>1</v>
      </c>
      <c r="T173" s="1">
        <v>1</v>
      </c>
      <c r="U173" s="1"/>
      <c r="V173" s="1"/>
      <c r="W173" s="1"/>
      <c r="X173" s="1"/>
      <c r="Y173" s="1" t="s">
        <v>2</v>
      </c>
      <c r="Z173" s="1" t="s">
        <v>3</v>
      </c>
    </row>
    <row r="174" spans="1:2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>
        <v>9.5519999999999996</v>
      </c>
      <c r="Q174" s="1"/>
      <c r="R174" s="1"/>
      <c r="S174" s="1" t="s">
        <v>1</v>
      </c>
      <c r="T174" s="1">
        <v>1</v>
      </c>
      <c r="U174" s="1"/>
      <c r="V174" s="1"/>
      <c r="W174" s="1"/>
      <c r="X174" s="1"/>
      <c r="Y174" s="1" t="s">
        <v>2</v>
      </c>
      <c r="Z174" s="1" t="s">
        <v>3</v>
      </c>
    </row>
    <row r="175" spans="1:2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>
        <v>9.5220000000000002</v>
      </c>
      <c r="Q175" s="1"/>
      <c r="R175" s="1"/>
      <c r="S175" s="1" t="s">
        <v>1</v>
      </c>
      <c r="T175" s="1">
        <v>1</v>
      </c>
      <c r="U175" s="1"/>
      <c r="V175" s="1"/>
      <c r="W175" s="1"/>
      <c r="X175" s="1"/>
      <c r="Y175" s="1" t="s">
        <v>2</v>
      </c>
      <c r="Z175" s="1" t="s">
        <v>3</v>
      </c>
    </row>
    <row r="176" spans="1:2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>
        <v>9.57</v>
      </c>
      <c r="Q176" s="1"/>
      <c r="R176" s="1"/>
      <c r="S176" s="1" t="s">
        <v>1</v>
      </c>
      <c r="T176" s="1">
        <v>1</v>
      </c>
      <c r="U176" s="1"/>
      <c r="V176" s="1"/>
      <c r="W176" s="1"/>
      <c r="X176" s="1"/>
      <c r="Y176" s="1" t="s">
        <v>2</v>
      </c>
      <c r="Z176" s="1" t="s">
        <v>3</v>
      </c>
    </row>
    <row r="177" spans="1:26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>
        <v>9.5540000000000003</v>
      </c>
      <c r="Q177" s="1"/>
      <c r="R177" s="1"/>
      <c r="S177" s="1" t="s">
        <v>1</v>
      </c>
      <c r="T177" s="1">
        <v>1</v>
      </c>
      <c r="U177" s="1"/>
      <c r="V177" s="1"/>
      <c r="W177" s="1"/>
      <c r="X177" s="1"/>
      <c r="Y177" s="1" t="s">
        <v>2</v>
      </c>
      <c r="Z177" s="1" t="s">
        <v>3</v>
      </c>
    </row>
    <row r="178" spans="1:26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>
        <v>9.5679999999999996</v>
      </c>
      <c r="Q178" s="1"/>
      <c r="R178" s="1"/>
      <c r="S178" s="1" t="s">
        <v>1</v>
      </c>
      <c r="T178" s="1">
        <v>1</v>
      </c>
      <c r="U178" s="1"/>
      <c r="V178" s="1"/>
      <c r="W178" s="1"/>
      <c r="X178" s="1"/>
      <c r="Y178" s="1" t="s">
        <v>2</v>
      </c>
      <c r="Z178" s="1" t="s">
        <v>3</v>
      </c>
    </row>
    <row r="179" spans="1:2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>
        <v>8.8390000000000004</v>
      </c>
      <c r="Q179" s="1"/>
      <c r="R179" s="1"/>
      <c r="S179" s="1" t="s">
        <v>1</v>
      </c>
      <c r="T179" s="1">
        <v>0</v>
      </c>
      <c r="U179" s="1"/>
      <c r="V179" s="1"/>
      <c r="W179" s="1"/>
      <c r="X179" s="1"/>
      <c r="Y179" s="1" t="s">
        <v>2</v>
      </c>
      <c r="Z179" s="1" t="s">
        <v>3</v>
      </c>
    </row>
    <row r="180" spans="1:2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>
        <v>8.8350000000000009</v>
      </c>
      <c r="Q180" s="1"/>
      <c r="R180" s="1"/>
      <c r="S180" s="1" t="s">
        <v>1</v>
      </c>
      <c r="T180" s="1">
        <v>0</v>
      </c>
      <c r="U180" s="1"/>
      <c r="V180" s="1"/>
      <c r="W180" s="1"/>
      <c r="X180" s="1"/>
      <c r="Y180" s="1" t="s">
        <v>2</v>
      </c>
      <c r="Z180" s="1" t="s">
        <v>3</v>
      </c>
    </row>
    <row r="181" spans="1:2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>
        <v>8.7929999999999993</v>
      </c>
      <c r="Q181" s="1"/>
      <c r="R181" s="1"/>
      <c r="S181" s="1" t="s">
        <v>1</v>
      </c>
      <c r="T181" s="1">
        <v>0</v>
      </c>
      <c r="U181" s="1"/>
      <c r="V181" s="1"/>
      <c r="W181" s="1"/>
      <c r="X181" s="1"/>
      <c r="Y181" s="1" t="s">
        <v>2</v>
      </c>
      <c r="Z181" s="1" t="s">
        <v>3</v>
      </c>
    </row>
    <row r="182" spans="1:2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>
        <v>8.8490000000000002</v>
      </c>
      <c r="Q182" s="1"/>
      <c r="R182" s="1"/>
      <c r="S182" s="1" t="s">
        <v>1</v>
      </c>
      <c r="T182" s="1">
        <v>0</v>
      </c>
      <c r="U182" s="1"/>
      <c r="V182" s="1"/>
      <c r="W182" s="1"/>
      <c r="X182" s="1"/>
      <c r="Y182" s="1" t="s">
        <v>2</v>
      </c>
      <c r="Z182" s="1" t="s">
        <v>3</v>
      </c>
    </row>
    <row r="183" spans="1:2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>
        <v>8.8330000000000002</v>
      </c>
      <c r="Q183" s="1"/>
      <c r="R183" s="1"/>
      <c r="S183" s="1" t="s">
        <v>1</v>
      </c>
      <c r="T183" s="1">
        <v>0</v>
      </c>
      <c r="U183" s="1"/>
      <c r="V183" s="1"/>
      <c r="W183" s="1"/>
      <c r="X183" s="1"/>
      <c r="Y183" s="1" t="s">
        <v>2</v>
      </c>
      <c r="Z183" s="1" t="s">
        <v>3</v>
      </c>
    </row>
    <row r="184" spans="1:2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>
        <v>9.4589999999999996</v>
      </c>
      <c r="Q184" s="1"/>
      <c r="R184" s="1"/>
      <c r="S184" s="1" t="s">
        <v>1</v>
      </c>
      <c r="T184" s="1">
        <v>1</v>
      </c>
      <c r="U184" s="1"/>
      <c r="V184" s="1"/>
      <c r="W184" s="1"/>
      <c r="X184" s="1"/>
      <c r="Y184" s="1" t="s">
        <v>2</v>
      </c>
      <c r="Z184" s="1" t="s">
        <v>3</v>
      </c>
    </row>
    <row r="185" spans="1:2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>
        <v>9.5030000000000001</v>
      </c>
      <c r="Q185" s="1"/>
      <c r="R185" s="1"/>
      <c r="S185" s="1" t="s">
        <v>1</v>
      </c>
      <c r="T185" s="1">
        <v>1</v>
      </c>
      <c r="U185" s="1"/>
      <c r="V185" s="1"/>
      <c r="W185" s="1"/>
      <c r="X185" s="1"/>
      <c r="Y185" s="1" t="s">
        <v>2</v>
      </c>
      <c r="Z185" s="1" t="s">
        <v>3</v>
      </c>
    </row>
    <row r="186" spans="1:2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>
        <v>9.5749999999999993</v>
      </c>
      <c r="Q186" s="1"/>
      <c r="R186" s="1"/>
      <c r="S186" s="1" t="s">
        <v>1</v>
      </c>
      <c r="T186" s="1">
        <v>1</v>
      </c>
      <c r="U186" s="1"/>
      <c r="V186" s="1"/>
      <c r="W186" s="1"/>
      <c r="X186" s="1"/>
      <c r="Y186" s="1" t="s">
        <v>2</v>
      </c>
      <c r="Z186" s="1" t="s">
        <v>3</v>
      </c>
    </row>
    <row r="187" spans="1:2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>
        <v>9.5489999999999995</v>
      </c>
      <c r="Q187" s="1"/>
      <c r="R187" s="1"/>
      <c r="S187" s="1" t="s">
        <v>1</v>
      </c>
      <c r="T187" s="1">
        <v>1</v>
      </c>
      <c r="U187" s="1"/>
      <c r="V187" s="1"/>
      <c r="W187" s="1"/>
      <c r="X187" s="1"/>
      <c r="Y187" s="1" t="s">
        <v>2</v>
      </c>
      <c r="Z187" s="1" t="s">
        <v>3</v>
      </c>
    </row>
    <row r="188" spans="1:2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>
        <v>9.5630000000000006</v>
      </c>
      <c r="Q188" s="1"/>
      <c r="R188" s="1"/>
      <c r="S188" s="1" t="s">
        <v>1</v>
      </c>
      <c r="T188" s="1">
        <v>1</v>
      </c>
      <c r="U188" s="1"/>
      <c r="V188" s="1"/>
      <c r="W188" s="1"/>
      <c r="X188" s="1"/>
      <c r="Y188" s="1" t="s">
        <v>2</v>
      </c>
      <c r="Z188" s="1" t="s">
        <v>3</v>
      </c>
    </row>
    <row r="189" spans="1:2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>
        <v>9.5540000000000003</v>
      </c>
      <c r="Q189" s="1"/>
      <c r="R189" s="1"/>
      <c r="S189" s="1" t="s">
        <v>1</v>
      </c>
      <c r="T189" s="1">
        <v>1</v>
      </c>
      <c r="U189" s="1"/>
      <c r="V189" s="1"/>
      <c r="W189" s="1"/>
      <c r="X189" s="1"/>
      <c r="Y189" s="1" t="s">
        <v>2</v>
      </c>
      <c r="Z189" s="1" t="s">
        <v>3</v>
      </c>
    </row>
    <row r="190" spans="1:2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>
        <v>9.57</v>
      </c>
      <c r="Q190" s="1"/>
      <c r="R190" s="1"/>
      <c r="S190" s="1" t="s">
        <v>1</v>
      </c>
      <c r="T190" s="1">
        <v>1</v>
      </c>
      <c r="U190" s="1"/>
      <c r="V190" s="1"/>
      <c r="W190" s="1"/>
      <c r="X190" s="1"/>
      <c r="Y190" s="1" t="s">
        <v>2</v>
      </c>
      <c r="Z190" s="1" t="s">
        <v>3</v>
      </c>
    </row>
    <row r="191" spans="1:2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>
        <v>9.5180000000000007</v>
      </c>
      <c r="Q191" s="1"/>
      <c r="R191" s="1"/>
      <c r="S191" s="1" t="s">
        <v>1</v>
      </c>
      <c r="T191" s="1">
        <v>1</v>
      </c>
      <c r="U191" s="1"/>
      <c r="V191" s="1"/>
      <c r="W191" s="1"/>
      <c r="X191" s="1"/>
      <c r="Y191" s="1" t="s">
        <v>2</v>
      </c>
      <c r="Z191" s="1" t="s">
        <v>3</v>
      </c>
    </row>
    <row r="192" spans="1:2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>
        <v>9.5419999999999998</v>
      </c>
      <c r="Q192" s="1"/>
      <c r="R192" s="1"/>
      <c r="S192" s="1" t="s">
        <v>1</v>
      </c>
      <c r="T192" s="1">
        <v>1</v>
      </c>
      <c r="U192" s="1"/>
      <c r="V192" s="1"/>
      <c r="W192" s="1"/>
      <c r="X192" s="1"/>
      <c r="Y192" s="1" t="s">
        <v>2</v>
      </c>
      <c r="Z192" s="1" t="s">
        <v>3</v>
      </c>
    </row>
    <row r="193" spans="1:2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>
        <v>9.5389999999999997</v>
      </c>
      <c r="Q193" s="1"/>
      <c r="R193" s="1"/>
      <c r="S193" s="1" t="s">
        <v>1</v>
      </c>
      <c r="T193" s="1">
        <v>1</v>
      </c>
      <c r="U193" s="1"/>
      <c r="V193" s="1"/>
      <c r="W193" s="1"/>
      <c r="X193" s="1"/>
      <c r="Y193" s="1" t="s">
        <v>2</v>
      </c>
      <c r="Z193" s="1" t="s">
        <v>3</v>
      </c>
    </row>
    <row r="194" spans="1:2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>
        <v>9.5129999999999999</v>
      </c>
      <c r="Q194" s="1"/>
      <c r="R194" s="1"/>
      <c r="S194" s="1" t="s">
        <v>1</v>
      </c>
      <c r="T194" s="1">
        <v>1</v>
      </c>
      <c r="U194" s="1"/>
      <c r="V194" s="1"/>
      <c r="W194" s="1"/>
      <c r="X194" s="1"/>
      <c r="Y194" s="1" t="s">
        <v>2</v>
      </c>
      <c r="Z194" s="1" t="s">
        <v>3</v>
      </c>
    </row>
    <row r="195" spans="1:2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>
        <v>9.51</v>
      </c>
      <c r="Q195" s="1"/>
      <c r="R195" s="1"/>
      <c r="S195" s="1" t="s">
        <v>1</v>
      </c>
      <c r="T195" s="1">
        <v>1</v>
      </c>
      <c r="U195" s="1"/>
      <c r="V195" s="1"/>
      <c r="W195" s="1"/>
      <c r="X195" s="1"/>
      <c r="Y195" s="1" t="s">
        <v>2</v>
      </c>
      <c r="Z195" s="1" t="s">
        <v>3</v>
      </c>
    </row>
    <row r="196" spans="1:2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>
        <v>9.5570000000000004</v>
      </c>
      <c r="Q196" s="1"/>
      <c r="R196" s="1"/>
      <c r="S196" s="1" t="s">
        <v>1</v>
      </c>
      <c r="T196" s="1">
        <v>1</v>
      </c>
      <c r="U196" s="1"/>
      <c r="V196" s="1"/>
      <c r="W196" s="1"/>
      <c r="X196" s="1"/>
      <c r="Y196" s="1" t="s">
        <v>2</v>
      </c>
      <c r="Z196" s="1" t="s">
        <v>3</v>
      </c>
    </row>
    <row r="197" spans="1:2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>
        <v>9.4849999999999994</v>
      </c>
      <c r="Q197" s="1"/>
      <c r="R197" s="1"/>
      <c r="S197" s="1" t="s">
        <v>1</v>
      </c>
      <c r="T197" s="1">
        <v>1</v>
      </c>
      <c r="U197" s="1"/>
      <c r="V197" s="1"/>
      <c r="W197" s="1"/>
      <c r="X197" s="1"/>
      <c r="Y197" s="1" t="s">
        <v>2</v>
      </c>
      <c r="Z197" s="1" t="s">
        <v>3</v>
      </c>
    </row>
    <row r="198" spans="1:2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>
        <v>9.577</v>
      </c>
      <c r="Q198" s="1"/>
      <c r="R198" s="1"/>
      <c r="S198" s="1" t="s">
        <v>1</v>
      </c>
      <c r="T198" s="1">
        <v>1</v>
      </c>
      <c r="U198" s="1"/>
      <c r="V198" s="1"/>
      <c r="W198" s="1"/>
      <c r="X198" s="1"/>
      <c r="Y198" s="1" t="s">
        <v>2</v>
      </c>
      <c r="Z198" s="1" t="s">
        <v>3</v>
      </c>
    </row>
    <row r="199" spans="1:2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>
        <v>9.6140000000000008</v>
      </c>
      <c r="Q199" s="1"/>
      <c r="R199" s="1"/>
      <c r="S199" s="1" t="s">
        <v>1</v>
      </c>
      <c r="T199" s="1">
        <v>1</v>
      </c>
      <c r="U199" s="1"/>
      <c r="V199" s="1"/>
      <c r="W199" s="1"/>
      <c r="X199" s="1"/>
      <c r="Y199" s="1" t="s">
        <v>2</v>
      </c>
      <c r="Z199" s="1" t="s">
        <v>3</v>
      </c>
    </row>
    <row r="200" spans="1:2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>
        <v>9.5760000000000005</v>
      </c>
      <c r="Q200" s="1"/>
      <c r="R200" s="1"/>
      <c r="S200" s="1" t="s">
        <v>1</v>
      </c>
      <c r="T200" s="1">
        <v>1</v>
      </c>
      <c r="U200" s="1"/>
      <c r="V200" s="1"/>
      <c r="W200" s="1"/>
      <c r="X200" s="1"/>
      <c r="Y200" s="1" t="s">
        <v>2</v>
      </c>
      <c r="Z200" s="1" t="s">
        <v>3</v>
      </c>
    </row>
    <row r="201" spans="1:2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>
        <v>9.51</v>
      </c>
      <c r="Q201" s="1"/>
      <c r="R201" s="1"/>
      <c r="S201" s="1" t="s">
        <v>1</v>
      </c>
      <c r="T201" s="1">
        <v>1</v>
      </c>
      <c r="U201" s="1"/>
      <c r="V201" s="1"/>
      <c r="W201" s="1"/>
      <c r="X201" s="1"/>
      <c r="Y201" s="1" t="s">
        <v>2</v>
      </c>
      <c r="Z201" s="1" t="s">
        <v>3</v>
      </c>
    </row>
    <row r="202" spans="1:2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>
        <v>9.5530000000000008</v>
      </c>
      <c r="Q202" s="1"/>
      <c r="R202" s="1"/>
      <c r="S202" s="1" t="s">
        <v>1</v>
      </c>
      <c r="T202" s="1">
        <v>1</v>
      </c>
      <c r="U202" s="1"/>
      <c r="V202" s="1"/>
      <c r="W202" s="1"/>
      <c r="X202" s="1"/>
      <c r="Y202" s="1" t="s">
        <v>2</v>
      </c>
      <c r="Z202" s="1" t="s">
        <v>3</v>
      </c>
    </row>
    <row r="203" spans="1:2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>
        <v>9.5459999999999994</v>
      </c>
      <c r="Q203" s="1"/>
      <c r="R203" s="1"/>
      <c r="S203" s="1" t="s">
        <v>1</v>
      </c>
      <c r="T203" s="1">
        <v>1</v>
      </c>
      <c r="U203" s="1"/>
      <c r="V203" s="1"/>
      <c r="W203" s="1"/>
      <c r="X203" s="1"/>
      <c r="Y203" s="1" t="s">
        <v>2</v>
      </c>
      <c r="Z203" s="1" t="s">
        <v>3</v>
      </c>
    </row>
    <row r="204" spans="1:2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>
        <v>9.6010000000000009</v>
      </c>
      <c r="Q204" s="1"/>
      <c r="R204" s="1"/>
      <c r="S204" s="1" t="s">
        <v>1</v>
      </c>
      <c r="T204" s="1">
        <v>1</v>
      </c>
      <c r="U204" s="1"/>
      <c r="V204" s="1"/>
      <c r="W204" s="1"/>
      <c r="X204" s="1"/>
      <c r="Y204" s="1" t="s">
        <v>2</v>
      </c>
      <c r="Z204" s="1" t="s">
        <v>3</v>
      </c>
    </row>
    <row r="205" spans="1:2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>
        <v>9.5340000000000007</v>
      </c>
      <c r="Q205" s="1"/>
      <c r="R205" s="1"/>
      <c r="S205" s="1" t="s">
        <v>1</v>
      </c>
      <c r="T205" s="1">
        <v>1</v>
      </c>
      <c r="U205" s="1"/>
      <c r="V205" s="1"/>
      <c r="W205" s="1"/>
      <c r="X205" s="1"/>
      <c r="Y205" s="1" t="s">
        <v>2</v>
      </c>
      <c r="Z205" s="1" t="s">
        <v>3</v>
      </c>
    </row>
    <row r="206" spans="1:2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>
        <v>9.5589999999999993</v>
      </c>
      <c r="Q206" s="1"/>
      <c r="R206" s="1"/>
      <c r="S206" s="1" t="s">
        <v>1</v>
      </c>
      <c r="T206" s="1">
        <v>1</v>
      </c>
      <c r="U206" s="1"/>
      <c r="V206" s="1"/>
      <c r="W206" s="1"/>
      <c r="X206" s="1"/>
      <c r="Y206" s="1" t="s">
        <v>2</v>
      </c>
      <c r="Z206" s="1" t="s">
        <v>3</v>
      </c>
    </row>
    <row r="207" spans="1:2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>
        <v>9.5380000000000003</v>
      </c>
      <c r="Q207" s="1"/>
      <c r="R207" s="1"/>
      <c r="S207" s="1" t="s">
        <v>1</v>
      </c>
      <c r="T207" s="1">
        <v>1</v>
      </c>
      <c r="U207" s="1"/>
      <c r="V207" s="1"/>
      <c r="W207" s="1"/>
      <c r="X207" s="1"/>
      <c r="Y207" s="1" t="s">
        <v>2</v>
      </c>
      <c r="Z207" s="1" t="s">
        <v>3</v>
      </c>
    </row>
    <row r="208" spans="1:2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>
        <v>9.5559999999999992</v>
      </c>
      <c r="Q208" s="1"/>
      <c r="R208" s="1"/>
      <c r="S208" s="1" t="s">
        <v>1</v>
      </c>
      <c r="T208" s="1">
        <v>1</v>
      </c>
      <c r="U208" s="1"/>
      <c r="V208" s="1"/>
      <c r="W208" s="1"/>
      <c r="X208" s="1"/>
      <c r="Y208" s="1" t="s">
        <v>2</v>
      </c>
      <c r="Z208" s="1" t="s">
        <v>3</v>
      </c>
    </row>
    <row r="209" spans="1:2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>
        <v>9.5289999999999999</v>
      </c>
      <c r="Q209" s="1"/>
      <c r="R209" s="1"/>
      <c r="S209" s="1" t="s">
        <v>1</v>
      </c>
      <c r="T209" s="1">
        <v>1</v>
      </c>
      <c r="U209" s="1"/>
      <c r="V209" s="1"/>
      <c r="W209" s="1"/>
      <c r="X209" s="1"/>
      <c r="Y209" s="1" t="s">
        <v>2</v>
      </c>
      <c r="Z209" s="1" t="s">
        <v>3</v>
      </c>
    </row>
    <row r="210" spans="1:2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>
        <v>9.5920000000000005</v>
      </c>
      <c r="Q210" s="1"/>
      <c r="R210" s="1"/>
      <c r="S210" s="1" t="s">
        <v>1</v>
      </c>
      <c r="T210" s="1">
        <v>1</v>
      </c>
      <c r="U210" s="1"/>
      <c r="V210" s="1"/>
      <c r="W210" s="1"/>
      <c r="X210" s="1"/>
      <c r="Y210" s="1" t="s">
        <v>2</v>
      </c>
      <c r="Z210" s="1" t="s">
        <v>3</v>
      </c>
    </row>
    <row r="211" spans="1:2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>
        <v>9.5180000000000007</v>
      </c>
      <c r="Q211" s="1"/>
      <c r="R211" s="1"/>
      <c r="S211" s="1" t="s">
        <v>1</v>
      </c>
      <c r="T211" s="1">
        <v>1</v>
      </c>
      <c r="U211" s="1"/>
      <c r="V211" s="1"/>
      <c r="W211" s="1"/>
      <c r="X211" s="1"/>
      <c r="Y211" s="1" t="s">
        <v>2</v>
      </c>
      <c r="Z211" s="1" t="s">
        <v>3</v>
      </c>
    </row>
    <row r="212" spans="1:2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>
        <v>9.5280000000000005</v>
      </c>
      <c r="Q212" s="1"/>
      <c r="R212" s="1"/>
      <c r="S212" s="1" t="s">
        <v>1</v>
      </c>
      <c r="T212" s="1">
        <v>1</v>
      </c>
      <c r="U212" s="1"/>
      <c r="V212" s="1"/>
      <c r="W212" s="1"/>
      <c r="X212" s="1"/>
      <c r="Y212" s="1" t="s">
        <v>2</v>
      </c>
      <c r="Z212" s="1" t="s">
        <v>3</v>
      </c>
    </row>
    <row r="213" spans="1:2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>
        <v>9.5660000000000007</v>
      </c>
      <c r="Q213" s="1"/>
      <c r="R213" s="1"/>
      <c r="S213" s="1" t="s">
        <v>1</v>
      </c>
      <c r="T213" s="1">
        <v>1</v>
      </c>
      <c r="U213" s="1"/>
      <c r="V213" s="1"/>
      <c r="W213" s="1"/>
      <c r="X213" s="1"/>
      <c r="Y213" s="1" t="s">
        <v>2</v>
      </c>
      <c r="Z213" s="1" t="s">
        <v>3</v>
      </c>
    </row>
    <row r="214" spans="1:2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>
        <v>9.56</v>
      </c>
      <c r="Q214" s="1"/>
      <c r="R214" s="1"/>
      <c r="S214" s="1" t="s">
        <v>1</v>
      </c>
      <c r="T214" s="1">
        <v>1</v>
      </c>
      <c r="U214" s="1"/>
      <c r="V214" s="1"/>
      <c r="W214" s="1"/>
      <c r="X214" s="1"/>
      <c r="Y214" s="1" t="s">
        <v>2</v>
      </c>
      <c r="Z214" s="1" t="s">
        <v>3</v>
      </c>
    </row>
    <row r="215" spans="1:2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>
        <v>9.5519999999999996</v>
      </c>
      <c r="Q215" s="1"/>
      <c r="R215" s="1"/>
      <c r="S215" s="1" t="s">
        <v>1</v>
      </c>
      <c r="T215" s="1">
        <v>1</v>
      </c>
      <c r="U215" s="1"/>
      <c r="V215" s="1"/>
      <c r="W215" s="1"/>
      <c r="X215" s="1"/>
      <c r="Y215" s="1" t="s">
        <v>2</v>
      </c>
      <c r="Z215" s="1" t="s">
        <v>3</v>
      </c>
    </row>
    <row r="216" spans="1:2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>
        <v>9.5860000000000003</v>
      </c>
      <c r="Q216" s="1"/>
      <c r="R216" s="1"/>
      <c r="S216" s="1" t="s">
        <v>1</v>
      </c>
      <c r="T216" s="1">
        <v>1</v>
      </c>
      <c r="U216" s="1"/>
      <c r="V216" s="1"/>
      <c r="W216" s="1"/>
      <c r="X216" s="1"/>
      <c r="Y216" s="1" t="s">
        <v>2</v>
      </c>
      <c r="Z216" s="1" t="s">
        <v>3</v>
      </c>
    </row>
    <row r="217" spans="1:2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>
        <v>9.5890000000000004</v>
      </c>
      <c r="Q217" s="1"/>
      <c r="R217" s="1"/>
      <c r="S217" s="1" t="s">
        <v>1</v>
      </c>
      <c r="T217" s="1">
        <v>1</v>
      </c>
      <c r="U217" s="1"/>
      <c r="V217" s="1"/>
      <c r="W217" s="1"/>
      <c r="X217" s="1"/>
      <c r="Y217" s="1" t="s">
        <v>2</v>
      </c>
      <c r="Z217" s="1" t="s">
        <v>3</v>
      </c>
    </row>
    <row r="218" spans="1:2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>
        <v>9.5579999999999998</v>
      </c>
      <c r="Q218" s="1"/>
      <c r="R218" s="1"/>
      <c r="S218" s="1" t="s">
        <v>1</v>
      </c>
      <c r="T218" s="1">
        <v>1</v>
      </c>
      <c r="U218" s="1"/>
      <c r="V218" s="1"/>
      <c r="W218" s="1"/>
      <c r="X218" s="1"/>
      <c r="Y218" s="1" t="s">
        <v>2</v>
      </c>
      <c r="Z218" s="1" t="s">
        <v>3</v>
      </c>
    </row>
    <row r="219" spans="1:2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>
        <v>9.52</v>
      </c>
      <c r="Q219" s="1"/>
      <c r="R219" s="1"/>
      <c r="S219" s="1" t="s">
        <v>1</v>
      </c>
      <c r="T219" s="1">
        <v>1</v>
      </c>
      <c r="U219" s="1"/>
      <c r="V219" s="1"/>
      <c r="W219" s="1"/>
      <c r="X219" s="1"/>
      <c r="Y219" s="1" t="s">
        <v>2</v>
      </c>
      <c r="Z219" s="1" t="s">
        <v>3</v>
      </c>
    </row>
    <row r="220" spans="1:2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>
        <v>9.5640000000000001</v>
      </c>
      <c r="Q220" s="1"/>
      <c r="R220" s="1"/>
      <c r="S220" s="1" t="s">
        <v>1</v>
      </c>
      <c r="T220" s="1">
        <v>1</v>
      </c>
      <c r="U220" s="1"/>
      <c r="V220" s="1"/>
      <c r="W220" s="1"/>
      <c r="X220" s="1"/>
      <c r="Y220" s="1" t="s">
        <v>2</v>
      </c>
      <c r="Z220" s="1" t="s">
        <v>3</v>
      </c>
    </row>
    <row r="221" spans="1:2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>
        <v>9.4939999999999998</v>
      </c>
      <c r="Q221" s="1"/>
      <c r="R221" s="1"/>
      <c r="S221" s="1" t="s">
        <v>1</v>
      </c>
      <c r="T221" s="1">
        <v>1</v>
      </c>
      <c r="U221" s="1"/>
      <c r="V221" s="1"/>
      <c r="W221" s="1"/>
      <c r="X221" s="1"/>
      <c r="Y221" s="1" t="s">
        <v>2</v>
      </c>
      <c r="Z221" s="1" t="s">
        <v>3</v>
      </c>
    </row>
    <row r="222" spans="1:2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>
        <v>9.5459999999999994</v>
      </c>
      <c r="Q222" s="1"/>
      <c r="R222" s="1"/>
      <c r="S222" s="1" t="s">
        <v>1</v>
      </c>
      <c r="T222" s="1">
        <v>1</v>
      </c>
      <c r="U222" s="1"/>
      <c r="V222" s="1"/>
      <c r="W222" s="1"/>
      <c r="X222" s="1"/>
      <c r="Y222" s="1" t="s">
        <v>2</v>
      </c>
      <c r="Z222" s="1" t="s">
        <v>3</v>
      </c>
    </row>
    <row r="223" spans="1:2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>
        <v>9.5090000000000003</v>
      </c>
      <c r="Q223" s="1"/>
      <c r="R223" s="1"/>
      <c r="S223" s="1" t="s">
        <v>1</v>
      </c>
      <c r="T223" s="1">
        <v>1</v>
      </c>
      <c r="U223" s="1"/>
      <c r="V223" s="1"/>
      <c r="W223" s="1"/>
      <c r="X223" s="1"/>
      <c r="Y223" s="1" t="s">
        <v>2</v>
      </c>
      <c r="Z223" s="1" t="s">
        <v>3</v>
      </c>
    </row>
    <row r="224" spans="1:2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>
        <v>8.76</v>
      </c>
      <c r="Q224" s="1"/>
      <c r="R224" s="1"/>
      <c r="S224" s="1" t="s">
        <v>1</v>
      </c>
      <c r="T224" s="1">
        <v>0</v>
      </c>
      <c r="U224" s="1"/>
      <c r="V224" s="1"/>
      <c r="W224" s="1"/>
      <c r="X224" s="1"/>
      <c r="Y224" s="1" t="s">
        <v>2</v>
      </c>
      <c r="Z224" s="1" t="s">
        <v>3</v>
      </c>
    </row>
    <row r="225" spans="1:2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>
        <v>8.8719999999999999</v>
      </c>
      <c r="Q225" s="1"/>
      <c r="R225" s="1"/>
      <c r="S225" s="1" t="s">
        <v>1</v>
      </c>
      <c r="T225" s="1">
        <v>0</v>
      </c>
      <c r="U225" s="1"/>
      <c r="V225" s="1"/>
      <c r="W225" s="1"/>
      <c r="X225" s="1"/>
      <c r="Y225" s="1" t="s">
        <v>2</v>
      </c>
      <c r="Z225" s="1" t="s">
        <v>3</v>
      </c>
    </row>
    <row r="226" spans="1:2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>
        <v>8.8550000000000004</v>
      </c>
      <c r="Q226" s="1"/>
      <c r="R226" s="1"/>
      <c r="S226" s="1" t="s">
        <v>1</v>
      </c>
      <c r="T226" s="1">
        <v>0</v>
      </c>
      <c r="U226" s="1"/>
      <c r="V226" s="1"/>
      <c r="W226" s="1"/>
      <c r="X226" s="1"/>
      <c r="Y226" s="1" t="s">
        <v>2</v>
      </c>
      <c r="Z226" s="1" t="s">
        <v>3</v>
      </c>
    </row>
    <row r="227" spans="1:2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>
        <v>8.8689999999999998</v>
      </c>
      <c r="Q227" s="1"/>
      <c r="R227" s="1"/>
      <c r="S227" s="1" t="s">
        <v>1</v>
      </c>
      <c r="T227" s="1">
        <v>0</v>
      </c>
      <c r="U227" s="1"/>
      <c r="V227" s="1"/>
      <c r="W227" s="1"/>
      <c r="X227" s="1"/>
      <c r="Y227" s="1" t="s">
        <v>2</v>
      </c>
      <c r="Z227" s="1" t="s">
        <v>3</v>
      </c>
    </row>
    <row r="228" spans="1:2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>
        <v>8.7720000000000002</v>
      </c>
      <c r="Q228" s="1"/>
      <c r="R228" s="1"/>
      <c r="S228" s="1" t="s">
        <v>1</v>
      </c>
      <c r="T228" s="1">
        <v>0</v>
      </c>
      <c r="U228" s="1"/>
      <c r="V228" s="1"/>
      <c r="W228" s="1"/>
      <c r="X228" s="1"/>
      <c r="Y228" s="1" t="s">
        <v>2</v>
      </c>
      <c r="Z228" s="1" t="s">
        <v>3</v>
      </c>
    </row>
    <row r="229" spans="1:2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>
        <v>9.5030000000000001</v>
      </c>
      <c r="Q229" s="1"/>
      <c r="R229" s="1"/>
      <c r="S229" s="1" t="s">
        <v>1</v>
      </c>
      <c r="T229" s="1">
        <v>1</v>
      </c>
      <c r="U229" s="1"/>
      <c r="V229" s="1"/>
      <c r="W229" s="1"/>
      <c r="X229" s="1"/>
      <c r="Y229" s="1" t="s">
        <v>2</v>
      </c>
      <c r="Z229" s="1" t="s">
        <v>3</v>
      </c>
    </row>
    <row r="230" spans="1:2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>
        <v>9.6449999999999996</v>
      </c>
      <c r="Q230" s="1"/>
      <c r="R230" s="1"/>
      <c r="S230" s="1" t="s">
        <v>1</v>
      </c>
      <c r="T230" s="1">
        <v>1</v>
      </c>
      <c r="U230" s="1"/>
      <c r="V230" s="1"/>
      <c r="W230" s="1"/>
      <c r="X230" s="1"/>
      <c r="Y230" s="1" t="s">
        <v>2</v>
      </c>
      <c r="Z230" s="1" t="s">
        <v>3</v>
      </c>
    </row>
    <row r="231" spans="1:2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>
        <v>9.5719999999999992</v>
      </c>
      <c r="Q231" s="1"/>
      <c r="R231" s="1"/>
      <c r="S231" s="1" t="s">
        <v>1</v>
      </c>
      <c r="T231" s="1">
        <v>1</v>
      </c>
      <c r="U231" s="1"/>
      <c r="V231" s="1"/>
      <c r="W231" s="1"/>
      <c r="X231" s="1"/>
      <c r="Y231" s="1" t="s">
        <v>2</v>
      </c>
      <c r="Z231" s="1" t="s">
        <v>3</v>
      </c>
    </row>
    <row r="232" spans="1:2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>
        <v>9.5549999999999997</v>
      </c>
      <c r="Q232" s="1"/>
      <c r="R232" s="1"/>
      <c r="S232" s="1" t="s">
        <v>1</v>
      </c>
      <c r="T232" s="1">
        <v>1</v>
      </c>
      <c r="U232" s="1"/>
      <c r="V232" s="1"/>
      <c r="W232" s="1"/>
      <c r="X232" s="1"/>
      <c r="Y232" s="1" t="s">
        <v>2</v>
      </c>
      <c r="Z232" s="1" t="s">
        <v>3</v>
      </c>
    </row>
    <row r="233" spans="1:2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>
        <v>9.5299999999999994</v>
      </c>
      <c r="Q233" s="1"/>
      <c r="R233" s="1"/>
      <c r="S233" s="1" t="s">
        <v>1</v>
      </c>
      <c r="T233" s="1">
        <v>1</v>
      </c>
      <c r="U233" s="1"/>
      <c r="V233" s="1"/>
      <c r="W233" s="1"/>
      <c r="X233" s="1"/>
      <c r="Y233" s="1" t="s">
        <v>2</v>
      </c>
      <c r="Z233" s="1" t="s">
        <v>3</v>
      </c>
    </row>
    <row r="234" spans="1:2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>
        <v>9.5760000000000005</v>
      </c>
      <c r="Q234" s="1"/>
      <c r="R234" s="1"/>
      <c r="S234" s="1" t="s">
        <v>1</v>
      </c>
      <c r="T234" s="1">
        <v>1</v>
      </c>
      <c r="U234" s="1"/>
      <c r="V234" s="1"/>
      <c r="W234" s="1"/>
      <c r="X234" s="1"/>
      <c r="Y234" s="1" t="s">
        <v>2</v>
      </c>
      <c r="Z234" s="1" t="s">
        <v>3</v>
      </c>
    </row>
    <row r="235" spans="1:2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>
        <v>9.5370000000000008</v>
      </c>
      <c r="Q235" s="1"/>
      <c r="R235" s="1"/>
      <c r="S235" s="1" t="s">
        <v>1</v>
      </c>
      <c r="T235" s="1">
        <v>1</v>
      </c>
      <c r="U235" s="1"/>
      <c r="V235" s="1"/>
      <c r="W235" s="1"/>
      <c r="X235" s="1"/>
      <c r="Y235" s="1" t="s">
        <v>2</v>
      </c>
      <c r="Z235" s="1" t="s">
        <v>3</v>
      </c>
    </row>
    <row r="236" spans="1:2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>
        <v>9.5570000000000004</v>
      </c>
      <c r="Q236" s="1"/>
      <c r="R236" s="1"/>
      <c r="S236" s="1" t="s">
        <v>1</v>
      </c>
      <c r="T236" s="1">
        <v>1</v>
      </c>
      <c r="U236" s="1"/>
      <c r="V236" s="1"/>
      <c r="W236" s="1"/>
      <c r="X236" s="1"/>
      <c r="Y236" s="1" t="s">
        <v>2</v>
      </c>
      <c r="Z236" s="1" t="s">
        <v>3</v>
      </c>
    </row>
    <row r="237" spans="1:2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>
        <v>9.5510000000000002</v>
      </c>
      <c r="Q237" s="1"/>
      <c r="R237" s="1"/>
      <c r="S237" s="1" t="s">
        <v>1</v>
      </c>
      <c r="T237" s="1">
        <v>1</v>
      </c>
      <c r="U237" s="1"/>
      <c r="V237" s="1"/>
      <c r="W237" s="1"/>
      <c r="X237" s="1"/>
      <c r="Y237" s="1" t="s">
        <v>2</v>
      </c>
      <c r="Z237" s="1" t="s">
        <v>3</v>
      </c>
    </row>
    <row r="238" spans="1:2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>
        <v>9.5660000000000007</v>
      </c>
      <c r="Q238" s="1"/>
      <c r="R238" s="1"/>
      <c r="S238" s="1" t="s">
        <v>1</v>
      </c>
      <c r="T238" s="1">
        <v>1</v>
      </c>
      <c r="U238" s="1"/>
      <c r="V238" s="1"/>
      <c r="W238" s="1"/>
      <c r="X238" s="1"/>
      <c r="Y238" s="1" t="s">
        <v>2</v>
      </c>
      <c r="Z238" s="1" t="s">
        <v>3</v>
      </c>
    </row>
    <row r="239" spans="1:2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>
        <v>9.5790000000000006</v>
      </c>
      <c r="Q239" s="1"/>
      <c r="R239" s="1"/>
      <c r="S239" s="1" t="s">
        <v>1</v>
      </c>
      <c r="T239" s="1">
        <v>1</v>
      </c>
      <c r="U239" s="1"/>
      <c r="V239" s="1"/>
      <c r="W239" s="1"/>
      <c r="X239" s="1"/>
      <c r="Y239" s="1" t="s">
        <v>2</v>
      </c>
      <c r="Z239" s="1" t="s">
        <v>3</v>
      </c>
    </row>
    <row r="240" spans="1:2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>
        <v>8.7829999999999995</v>
      </c>
      <c r="Q240" s="1"/>
      <c r="R240" s="1"/>
      <c r="S240" s="1" t="s">
        <v>1</v>
      </c>
      <c r="T240" s="1">
        <v>0</v>
      </c>
      <c r="U240" s="1"/>
      <c r="V240" s="1"/>
      <c r="W240" s="1"/>
      <c r="X240" s="1"/>
      <c r="Y240" s="1" t="s">
        <v>2</v>
      </c>
      <c r="Z240" s="1" t="s">
        <v>3</v>
      </c>
    </row>
    <row r="241" spans="1:2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>
        <v>8.7989999999999995</v>
      </c>
      <c r="Q241" s="1"/>
      <c r="R241" s="1"/>
      <c r="S241" s="1" t="s">
        <v>1</v>
      </c>
      <c r="T241" s="1">
        <v>0</v>
      </c>
      <c r="U241" s="1"/>
      <c r="V241" s="1"/>
      <c r="W241" s="1"/>
      <c r="X241" s="1"/>
      <c r="Y241" s="1" t="s">
        <v>2</v>
      </c>
      <c r="Z241" s="1" t="s">
        <v>3</v>
      </c>
    </row>
    <row r="242" spans="1:2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>
        <v>8.8190000000000008</v>
      </c>
      <c r="Q242" s="1"/>
      <c r="R242" s="1"/>
      <c r="S242" s="1" t="s">
        <v>1</v>
      </c>
      <c r="T242" s="1">
        <v>0</v>
      </c>
      <c r="U242" s="1"/>
      <c r="V242" s="1"/>
      <c r="W242" s="1"/>
      <c r="X242" s="1"/>
      <c r="Y242" s="1" t="s">
        <v>2</v>
      </c>
      <c r="Z242" s="1" t="s">
        <v>3</v>
      </c>
    </row>
    <row r="243" spans="1:2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>
        <v>8.7840000000000007</v>
      </c>
      <c r="Q243" s="1"/>
      <c r="R243" s="1"/>
      <c r="S243" s="1" t="s">
        <v>1</v>
      </c>
      <c r="T243" s="1">
        <v>0</v>
      </c>
      <c r="U243" s="1"/>
      <c r="V243" s="1"/>
      <c r="W243" s="1"/>
      <c r="X243" s="1"/>
      <c r="Y243" s="1" t="s">
        <v>2</v>
      </c>
      <c r="Z243" s="1" t="s">
        <v>3</v>
      </c>
    </row>
    <row r="244" spans="1:2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>
        <v>8.7449999999999992</v>
      </c>
      <c r="Q244" s="1"/>
      <c r="R244" s="1"/>
      <c r="S244" s="1" t="s">
        <v>1</v>
      </c>
      <c r="T244" s="1">
        <v>0</v>
      </c>
      <c r="U244" s="1"/>
      <c r="V244" s="1"/>
      <c r="W244" s="1"/>
      <c r="X244" s="1"/>
      <c r="Y244" s="1" t="s">
        <v>2</v>
      </c>
      <c r="Z244" s="1" t="s">
        <v>3</v>
      </c>
    </row>
    <row r="245" spans="1:2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>
        <v>9.5500000000000007</v>
      </c>
      <c r="Q245" s="1"/>
      <c r="R245" s="1"/>
      <c r="S245" s="1" t="s">
        <v>1</v>
      </c>
      <c r="T245" s="1">
        <v>1</v>
      </c>
      <c r="U245" s="1"/>
      <c r="V245" s="1"/>
      <c r="W245" s="1"/>
      <c r="X245" s="1"/>
      <c r="Y245" s="1" t="s">
        <v>2</v>
      </c>
      <c r="Z245" s="1" t="s">
        <v>3</v>
      </c>
    </row>
    <row r="246" spans="1:2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>
        <v>9.5239999999999991</v>
      </c>
      <c r="Q246" s="1"/>
      <c r="R246" s="1"/>
      <c r="S246" s="1" t="s">
        <v>1</v>
      </c>
      <c r="T246" s="1">
        <v>1</v>
      </c>
      <c r="U246" s="1"/>
      <c r="V246" s="1"/>
      <c r="W246" s="1"/>
      <c r="X246" s="1"/>
      <c r="Y246" s="1" t="s">
        <v>2</v>
      </c>
      <c r="Z246" s="1" t="s">
        <v>3</v>
      </c>
    </row>
    <row r="247" spans="1:2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>
        <v>9.5559999999999992</v>
      </c>
      <c r="Q247" s="1"/>
      <c r="R247" s="1"/>
      <c r="S247" s="1" t="s">
        <v>1</v>
      </c>
      <c r="T247" s="1">
        <v>1</v>
      </c>
      <c r="U247" s="1"/>
      <c r="V247" s="1"/>
      <c r="W247" s="1"/>
      <c r="X247" s="1"/>
      <c r="Y247" s="1" t="s">
        <v>2</v>
      </c>
      <c r="Z247" s="1" t="s">
        <v>3</v>
      </c>
    </row>
    <row r="248" spans="1:2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>
        <v>9.5749999999999993</v>
      </c>
      <c r="Q248" s="1"/>
      <c r="R248" s="1"/>
      <c r="S248" s="1" t="s">
        <v>1</v>
      </c>
      <c r="T248" s="1">
        <v>1</v>
      </c>
      <c r="U248" s="1"/>
      <c r="V248" s="1"/>
      <c r="W248" s="1"/>
      <c r="X248" s="1"/>
      <c r="Y248" s="1" t="s">
        <v>2</v>
      </c>
      <c r="Z248" s="1" t="s">
        <v>3</v>
      </c>
    </row>
    <row r="249" spans="1:2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>
        <v>9.5459999999999994</v>
      </c>
      <c r="Q249" s="1"/>
      <c r="R249" s="1"/>
      <c r="S249" s="1" t="s">
        <v>1</v>
      </c>
      <c r="T249" s="1">
        <v>1</v>
      </c>
      <c r="U249" s="1"/>
      <c r="V249" s="1"/>
      <c r="W249" s="1"/>
      <c r="X249" s="1"/>
      <c r="Y249" s="1" t="s">
        <v>2</v>
      </c>
      <c r="Z249" s="1" t="s">
        <v>3</v>
      </c>
    </row>
    <row r="250" spans="1:2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>
        <v>9.5429999999999993</v>
      </c>
      <c r="Q250" s="1"/>
      <c r="R250" s="1"/>
      <c r="S250" s="1" t="s">
        <v>1</v>
      </c>
      <c r="T250" s="1">
        <v>1</v>
      </c>
      <c r="U250" s="1"/>
      <c r="V250" s="1"/>
      <c r="W250" s="1"/>
      <c r="X250" s="1"/>
      <c r="Y250" s="1" t="s">
        <v>2</v>
      </c>
      <c r="Z250" s="1" t="s">
        <v>3</v>
      </c>
    </row>
    <row r="251" spans="1:2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>
        <v>9.4979999999999993</v>
      </c>
      <c r="Q251" s="1"/>
      <c r="R251" s="1"/>
      <c r="S251" s="1" t="s">
        <v>1</v>
      </c>
      <c r="T251" s="1">
        <v>1</v>
      </c>
      <c r="U251" s="1"/>
      <c r="V251" s="1"/>
      <c r="W251" s="1"/>
      <c r="X251" s="1"/>
      <c r="Y251" s="1" t="s">
        <v>2</v>
      </c>
      <c r="Z251" s="1" t="s">
        <v>3</v>
      </c>
    </row>
    <row r="252" spans="1:2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>
        <v>9.5440000000000005</v>
      </c>
      <c r="Q252" s="1"/>
      <c r="R252" s="1"/>
      <c r="S252" s="1" t="s">
        <v>1</v>
      </c>
      <c r="T252" s="1">
        <v>1</v>
      </c>
      <c r="U252" s="1"/>
      <c r="V252" s="1"/>
      <c r="W252" s="1"/>
      <c r="X252" s="1"/>
      <c r="Y252" s="1" t="s">
        <v>2</v>
      </c>
      <c r="Z252" s="1" t="s">
        <v>3</v>
      </c>
    </row>
    <row r="253" spans="1:2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>
        <v>9.5510000000000002</v>
      </c>
      <c r="Q253" s="1"/>
      <c r="R253" s="1"/>
      <c r="S253" s="1" t="s">
        <v>1</v>
      </c>
      <c r="T253" s="1">
        <v>1</v>
      </c>
      <c r="U253" s="1"/>
      <c r="V253" s="1"/>
      <c r="W253" s="1"/>
      <c r="X253" s="1"/>
      <c r="Y253" s="1" t="s">
        <v>2</v>
      </c>
      <c r="Z253" s="1" t="s">
        <v>3</v>
      </c>
    </row>
    <row r="254" spans="1:2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>
        <v>9.6270000000000007</v>
      </c>
      <c r="Q254" s="1"/>
      <c r="R254" s="1"/>
      <c r="S254" s="1" t="s">
        <v>1</v>
      </c>
      <c r="T254" s="1">
        <v>1</v>
      </c>
      <c r="U254" s="1"/>
      <c r="V254" s="1"/>
      <c r="W254" s="1"/>
      <c r="X254" s="1"/>
      <c r="Y254" s="1" t="s">
        <v>2</v>
      </c>
      <c r="Z254" s="1" t="s">
        <v>3</v>
      </c>
    </row>
    <row r="255" spans="1:2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>
        <v>9.4819999999999993</v>
      </c>
      <c r="Q255" s="1"/>
      <c r="R255" s="1"/>
      <c r="S255" s="1" t="s">
        <v>1</v>
      </c>
      <c r="T255" s="1">
        <v>1</v>
      </c>
      <c r="U255" s="1"/>
      <c r="V255" s="1"/>
      <c r="W255" s="1"/>
      <c r="X255" s="1"/>
      <c r="Y255" s="1" t="s">
        <v>2</v>
      </c>
      <c r="Z255" s="1" t="s">
        <v>3</v>
      </c>
    </row>
    <row r="256" spans="1:2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>
        <v>9.5670000000000002</v>
      </c>
      <c r="Q256" s="1"/>
      <c r="R256" s="1"/>
      <c r="S256" s="1" t="s">
        <v>1</v>
      </c>
      <c r="T256" s="1">
        <v>1</v>
      </c>
      <c r="U256" s="1"/>
      <c r="V256" s="1"/>
      <c r="W256" s="1"/>
      <c r="X256" s="1"/>
      <c r="Y256" s="1" t="s">
        <v>2</v>
      </c>
      <c r="Z256" s="1" t="s">
        <v>3</v>
      </c>
    </row>
    <row r="257" spans="1:2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>
        <v>9.5540000000000003</v>
      </c>
      <c r="Q257" s="1"/>
      <c r="R257" s="1"/>
      <c r="S257" s="1" t="s">
        <v>1</v>
      </c>
      <c r="T257" s="1">
        <v>1</v>
      </c>
      <c r="U257" s="1"/>
      <c r="V257" s="1"/>
      <c r="W257" s="1"/>
      <c r="X257" s="1"/>
      <c r="Y257" s="1" t="s">
        <v>2</v>
      </c>
      <c r="Z257" s="1" t="s">
        <v>3</v>
      </c>
    </row>
    <row r="258" spans="1:2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>
        <v>9.5670000000000002</v>
      </c>
      <c r="Q258" s="1"/>
      <c r="R258" s="1"/>
      <c r="S258" s="1" t="s">
        <v>1</v>
      </c>
      <c r="T258" s="1">
        <v>1</v>
      </c>
      <c r="U258" s="1"/>
      <c r="V258" s="1"/>
      <c r="W258" s="1"/>
      <c r="X258" s="1"/>
      <c r="Y258" s="1" t="s">
        <v>2</v>
      </c>
      <c r="Z258" s="1" t="s">
        <v>3</v>
      </c>
    </row>
    <row r="259" spans="1:2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>
        <v>12.234</v>
      </c>
      <c r="Q259" s="1"/>
      <c r="R259" s="1"/>
      <c r="S259" s="1" t="s">
        <v>1</v>
      </c>
      <c r="T259" s="1"/>
      <c r="U259" s="1"/>
      <c r="V259" s="1"/>
      <c r="W259" s="1"/>
      <c r="X259" s="1"/>
      <c r="Y259" s="1" t="s">
        <v>2</v>
      </c>
      <c r="Z259" s="1" t="s">
        <v>3</v>
      </c>
    </row>
    <row r="260" spans="1:2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>
        <v>9.58</v>
      </c>
      <c r="Q260" s="1"/>
      <c r="R260" s="1"/>
      <c r="S260" s="1" t="s">
        <v>1</v>
      </c>
      <c r="T260" s="1">
        <v>1</v>
      </c>
      <c r="U260" s="1"/>
      <c r="V260" s="1"/>
      <c r="W260" s="1"/>
      <c r="X260" s="1"/>
      <c r="Y260" s="1" t="s">
        <v>2</v>
      </c>
      <c r="Z260" s="1" t="s">
        <v>3</v>
      </c>
    </row>
    <row r="261" spans="1:26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>
        <v>9.5220000000000002</v>
      </c>
      <c r="Q261" s="1"/>
      <c r="R261" s="1"/>
      <c r="S261" s="1" t="s">
        <v>1</v>
      </c>
      <c r="T261" s="1">
        <v>1</v>
      </c>
      <c r="U261" s="1"/>
      <c r="V261" s="1"/>
      <c r="W261" s="1"/>
      <c r="X261" s="1"/>
      <c r="Y261" s="1" t="s">
        <v>2</v>
      </c>
      <c r="Z261" s="1" t="s">
        <v>3</v>
      </c>
    </row>
    <row r="262" spans="1:26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>
        <v>9.5619999999999994</v>
      </c>
      <c r="Q262" s="1"/>
      <c r="R262" s="1"/>
      <c r="S262" s="1" t="s">
        <v>1</v>
      </c>
      <c r="T262" s="1">
        <v>1</v>
      </c>
      <c r="U262" s="1"/>
      <c r="V262" s="1"/>
      <c r="W262" s="1"/>
      <c r="X262" s="1"/>
      <c r="Y262" s="1" t="s">
        <v>2</v>
      </c>
      <c r="Z262" s="1" t="s">
        <v>3</v>
      </c>
    </row>
    <row r="263" spans="1:26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>
        <v>9.5570000000000004</v>
      </c>
      <c r="Q263" s="1"/>
      <c r="R263" s="1"/>
      <c r="S263" s="1" t="s">
        <v>1</v>
      </c>
      <c r="T263" s="1">
        <v>1</v>
      </c>
      <c r="U263" s="1"/>
      <c r="V263" s="1"/>
      <c r="W263" s="1"/>
      <c r="X263" s="1"/>
      <c r="Y263" s="1" t="s">
        <v>2</v>
      </c>
      <c r="Z263" s="1" t="s">
        <v>3</v>
      </c>
    </row>
    <row r="264" spans="1:26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>
        <v>9.5920000000000005</v>
      </c>
      <c r="Q264" s="1"/>
      <c r="R264" s="1"/>
      <c r="S264" s="1" t="s">
        <v>1</v>
      </c>
      <c r="T264" s="1">
        <v>1</v>
      </c>
      <c r="U264" s="1"/>
      <c r="V264" s="1"/>
      <c r="W264" s="1"/>
      <c r="X264" s="1"/>
      <c r="Y264" s="1" t="s">
        <v>2</v>
      </c>
      <c r="Z264" s="1" t="s">
        <v>3</v>
      </c>
    </row>
    <row r="265" spans="1:26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>
        <v>9.4559999999999995</v>
      </c>
      <c r="Q265" s="1"/>
      <c r="R265" s="1"/>
      <c r="S265" s="1" t="s">
        <v>1</v>
      </c>
      <c r="T265" s="1">
        <v>1</v>
      </c>
      <c r="U265" s="1"/>
      <c r="V265" s="1"/>
      <c r="W265" s="1"/>
      <c r="X265" s="1"/>
      <c r="Y265" s="1" t="s">
        <v>2</v>
      </c>
      <c r="Z265" s="1" t="s">
        <v>3</v>
      </c>
    </row>
    <row r="266" spans="1:26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>
        <v>9.5570000000000004</v>
      </c>
      <c r="Q266" s="1"/>
      <c r="R266" s="1"/>
      <c r="S266" s="1" t="s">
        <v>1</v>
      </c>
      <c r="T266" s="1">
        <v>1</v>
      </c>
      <c r="U266" s="1"/>
      <c r="V266" s="1"/>
      <c r="W266" s="1"/>
      <c r="X266" s="1"/>
      <c r="Y266" s="1" t="s">
        <v>2</v>
      </c>
      <c r="Z266" s="1" t="s">
        <v>3</v>
      </c>
    </row>
    <row r="267" spans="1:26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>
        <v>9.5429999999999993</v>
      </c>
      <c r="Q267" s="1"/>
      <c r="R267" s="1"/>
      <c r="S267" s="1" t="s">
        <v>1</v>
      </c>
      <c r="T267" s="1">
        <v>1</v>
      </c>
      <c r="U267" s="1"/>
      <c r="V267" s="1"/>
      <c r="W267" s="1"/>
      <c r="X267" s="1"/>
      <c r="Y267" s="1" t="s">
        <v>2</v>
      </c>
      <c r="Z267" s="1" t="s">
        <v>3</v>
      </c>
    </row>
    <row r="268" spans="1:26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>
        <v>9.5790000000000006</v>
      </c>
      <c r="Q268" s="1"/>
      <c r="R268" s="1"/>
      <c r="S268" s="1" t="s">
        <v>1</v>
      </c>
      <c r="T268" s="1">
        <v>1</v>
      </c>
      <c r="U268" s="1"/>
      <c r="V268" s="1"/>
      <c r="W268" s="1"/>
      <c r="X268" s="1"/>
      <c r="Y268" s="1" t="s">
        <v>2</v>
      </c>
      <c r="Z268" s="1" t="s">
        <v>3</v>
      </c>
    </row>
    <row r="269" spans="1:26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>
        <v>9.5749999999999993</v>
      </c>
      <c r="Q269" s="1"/>
      <c r="R269" s="1"/>
      <c r="S269" s="1" t="s">
        <v>1</v>
      </c>
      <c r="T269" s="1">
        <v>1</v>
      </c>
      <c r="U269" s="1"/>
      <c r="V269" s="1"/>
      <c r="W269" s="1"/>
      <c r="X269" s="1"/>
      <c r="Y269" s="1" t="s">
        <v>2</v>
      </c>
      <c r="Z269" s="1" t="s">
        <v>3</v>
      </c>
    </row>
    <row r="270" spans="1:26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>
        <v>9.5530000000000008</v>
      </c>
      <c r="Q270" s="1"/>
      <c r="R270" s="1"/>
      <c r="S270" s="1" t="s">
        <v>1</v>
      </c>
      <c r="T270" s="1">
        <v>1</v>
      </c>
      <c r="U270" s="1"/>
      <c r="V270" s="1"/>
      <c r="W270" s="1"/>
      <c r="X270" s="1"/>
      <c r="Y270" s="1" t="s">
        <v>2</v>
      </c>
      <c r="Z270" s="1" t="s">
        <v>3</v>
      </c>
    </row>
    <row r="271" spans="1:26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>
        <v>9.5269999999999992</v>
      </c>
      <c r="Q271" s="1"/>
      <c r="R271" s="1"/>
      <c r="S271" s="1" t="s">
        <v>1</v>
      </c>
      <c r="T271" s="1">
        <v>1</v>
      </c>
      <c r="U271" s="1"/>
      <c r="V271" s="1"/>
      <c r="W271" s="1"/>
      <c r="X271" s="1"/>
      <c r="Y271" s="1" t="s">
        <v>2</v>
      </c>
      <c r="Z271" s="1" t="s">
        <v>3</v>
      </c>
    </row>
    <row r="272" spans="1:26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>
        <v>9.5060000000000002</v>
      </c>
      <c r="Q272" s="1"/>
      <c r="R272" s="1"/>
      <c r="S272" s="1" t="s">
        <v>1</v>
      </c>
      <c r="T272" s="1">
        <v>1</v>
      </c>
      <c r="U272" s="1"/>
      <c r="V272" s="1"/>
      <c r="W272" s="1"/>
      <c r="X272" s="1"/>
      <c r="Y272" s="1" t="s">
        <v>2</v>
      </c>
      <c r="Z272" s="1" t="s">
        <v>3</v>
      </c>
    </row>
    <row r="273" spans="1:26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>
        <v>9.5440000000000005</v>
      </c>
      <c r="Q273" s="1"/>
      <c r="R273" s="1"/>
      <c r="S273" s="1" t="s">
        <v>1</v>
      </c>
      <c r="T273" s="1">
        <v>1</v>
      </c>
      <c r="U273" s="1"/>
      <c r="V273" s="1"/>
      <c r="W273" s="1"/>
      <c r="X273" s="1"/>
      <c r="Y273" s="1" t="s">
        <v>2</v>
      </c>
      <c r="Z273" s="1" t="s">
        <v>3</v>
      </c>
    </row>
    <row r="274" spans="1:26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>
        <v>9.6069999999999993</v>
      </c>
      <c r="Q274" s="1"/>
      <c r="R274" s="1"/>
      <c r="S274" s="1" t="s">
        <v>1</v>
      </c>
      <c r="T274" s="1">
        <v>1</v>
      </c>
      <c r="U274" s="1"/>
      <c r="V274" s="1"/>
      <c r="W274" s="1"/>
      <c r="X274" s="1"/>
      <c r="Y274" s="1" t="s">
        <v>2</v>
      </c>
      <c r="Z274" s="1" t="s">
        <v>3</v>
      </c>
    </row>
    <row r="275" spans="1:26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>
        <v>9.5299999999999994</v>
      </c>
      <c r="Q275" s="1"/>
      <c r="R275" s="1"/>
      <c r="S275" s="1" t="s">
        <v>1</v>
      </c>
      <c r="T275" s="1">
        <v>1</v>
      </c>
      <c r="U275" s="1"/>
      <c r="V275" s="1"/>
      <c r="W275" s="1"/>
      <c r="X275" s="1"/>
      <c r="Y275" s="1" t="s">
        <v>2</v>
      </c>
      <c r="Z275" s="1" t="s">
        <v>3</v>
      </c>
    </row>
    <row r="276" spans="1:26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>
        <v>9.5299999999999994</v>
      </c>
      <c r="Q276" s="1"/>
      <c r="R276" s="1"/>
      <c r="S276" s="1" t="s">
        <v>1</v>
      </c>
      <c r="T276" s="1">
        <v>1</v>
      </c>
      <c r="U276" s="1"/>
      <c r="V276" s="1"/>
      <c r="W276" s="1"/>
      <c r="X276" s="1"/>
      <c r="Y276" s="1" t="s">
        <v>2</v>
      </c>
      <c r="Z276" s="1" t="s">
        <v>3</v>
      </c>
    </row>
    <row r="277" spans="1:26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>
        <v>9.5690000000000008</v>
      </c>
      <c r="Q277" s="1"/>
      <c r="R277" s="1"/>
      <c r="S277" s="1" t="s">
        <v>1</v>
      </c>
      <c r="T277" s="1">
        <v>1</v>
      </c>
      <c r="U277" s="1"/>
      <c r="V277" s="1"/>
      <c r="W277" s="1"/>
      <c r="X277" s="1"/>
      <c r="Y277" s="1" t="s">
        <v>2</v>
      </c>
      <c r="Z277" s="1" t="s">
        <v>3</v>
      </c>
    </row>
    <row r="278" spans="1:26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>
        <v>9.5760000000000005</v>
      </c>
      <c r="Q278" s="1"/>
      <c r="R278" s="1"/>
      <c r="S278" s="1" t="s">
        <v>1</v>
      </c>
      <c r="T278" s="1">
        <v>1</v>
      </c>
      <c r="U278" s="1"/>
      <c r="V278" s="1"/>
      <c r="W278" s="1"/>
      <c r="X278" s="1"/>
      <c r="Y278" s="1" t="s">
        <v>2</v>
      </c>
      <c r="Z278" s="1" t="s">
        <v>3</v>
      </c>
    </row>
    <row r="279" spans="1:26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>
        <v>9.5570000000000004</v>
      </c>
      <c r="Q279" s="1"/>
      <c r="R279" s="1"/>
      <c r="S279" s="1" t="s">
        <v>1</v>
      </c>
      <c r="T279" s="1">
        <v>1</v>
      </c>
      <c r="U279" s="1"/>
      <c r="V279" s="1"/>
      <c r="W279" s="1"/>
      <c r="X279" s="1"/>
      <c r="Y279" s="1" t="s">
        <v>2</v>
      </c>
      <c r="Z279" s="1" t="s">
        <v>3</v>
      </c>
    </row>
    <row r="280" spans="1:26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>
        <v>9.532</v>
      </c>
      <c r="Q280" s="1"/>
      <c r="R280" s="1"/>
      <c r="S280" s="1" t="s">
        <v>1</v>
      </c>
      <c r="T280" s="1">
        <v>1</v>
      </c>
      <c r="U280" s="1"/>
      <c r="V280" s="1"/>
      <c r="W280" s="1"/>
      <c r="X280" s="1"/>
      <c r="Y280" s="1" t="s">
        <v>2</v>
      </c>
      <c r="Z280" s="1" t="s">
        <v>3</v>
      </c>
    </row>
    <row r="281" spans="1:26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>
        <v>9.4689999999999994</v>
      </c>
      <c r="Q281" s="1"/>
      <c r="R281" s="1"/>
      <c r="S281" s="1" t="s">
        <v>1</v>
      </c>
      <c r="T281" s="1">
        <v>1</v>
      </c>
      <c r="U281" s="1"/>
      <c r="V281" s="1"/>
      <c r="W281" s="1"/>
      <c r="X281" s="1"/>
      <c r="Y281" s="1" t="s">
        <v>2</v>
      </c>
      <c r="Z281" s="1" t="s">
        <v>3</v>
      </c>
    </row>
    <row r="282" spans="1:26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>
        <v>9.5670000000000002</v>
      </c>
      <c r="Q282" s="1"/>
      <c r="R282" s="1"/>
      <c r="S282" s="1" t="s">
        <v>1</v>
      </c>
      <c r="T282" s="1">
        <v>1</v>
      </c>
      <c r="U282" s="1"/>
      <c r="V282" s="1"/>
      <c r="W282" s="1"/>
      <c r="X282" s="1"/>
      <c r="Y282" s="1" t="s">
        <v>2</v>
      </c>
      <c r="Z282" s="1" t="s">
        <v>3</v>
      </c>
    </row>
    <row r="283" spans="1:26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>
        <v>9.4949999999999992</v>
      </c>
      <c r="Q283" s="1"/>
      <c r="R283" s="1"/>
      <c r="S283" s="1" t="s">
        <v>1</v>
      </c>
      <c r="T283" s="1">
        <v>1</v>
      </c>
      <c r="U283" s="1"/>
      <c r="V283" s="1"/>
      <c r="W283" s="1"/>
      <c r="X283" s="1"/>
      <c r="Y283" s="1" t="s">
        <v>2</v>
      </c>
      <c r="Z283" s="1" t="s">
        <v>3</v>
      </c>
    </row>
    <row r="284" spans="1:26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>
        <v>9.57</v>
      </c>
      <c r="Q284" s="1"/>
      <c r="R284" s="1"/>
      <c r="S284" s="1" t="s">
        <v>1</v>
      </c>
      <c r="T284" s="1">
        <v>1</v>
      </c>
      <c r="U284" s="1"/>
      <c r="V284" s="1"/>
      <c r="W284" s="1"/>
      <c r="X284" s="1"/>
      <c r="Y284" s="1" t="s">
        <v>2</v>
      </c>
      <c r="Z284" s="1" t="s">
        <v>3</v>
      </c>
    </row>
    <row r="285" spans="1:26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>
        <v>9.5440000000000005</v>
      </c>
      <c r="Q285" s="1"/>
      <c r="R285" s="1"/>
      <c r="S285" s="1" t="s">
        <v>1</v>
      </c>
      <c r="T285" s="1">
        <v>1</v>
      </c>
      <c r="U285" s="1"/>
      <c r="V285" s="1"/>
      <c r="W285" s="1"/>
      <c r="X285" s="1"/>
      <c r="Y285" s="1" t="s">
        <v>2</v>
      </c>
      <c r="Z285" s="1" t="s">
        <v>3</v>
      </c>
    </row>
    <row r="286" spans="1:26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>
        <v>9.5500000000000007</v>
      </c>
      <c r="Q286" s="1"/>
      <c r="R286" s="1"/>
      <c r="S286" s="1" t="s">
        <v>1</v>
      </c>
      <c r="T286" s="1">
        <v>1</v>
      </c>
      <c r="U286" s="1"/>
      <c r="V286" s="1"/>
      <c r="W286" s="1"/>
      <c r="X286" s="1"/>
      <c r="Y286" s="1" t="s">
        <v>2</v>
      </c>
      <c r="Z286" s="1" t="s">
        <v>3</v>
      </c>
    </row>
    <row r="287" spans="1:26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>
        <v>9.5229999999999997</v>
      </c>
      <c r="Q287" s="1"/>
      <c r="R287" s="1"/>
      <c r="S287" s="1" t="s">
        <v>1</v>
      </c>
      <c r="T287" s="1">
        <v>1</v>
      </c>
      <c r="U287" s="1"/>
      <c r="V287" s="1"/>
      <c r="W287" s="1"/>
      <c r="X287" s="1"/>
      <c r="Y287" s="1" t="s">
        <v>2</v>
      </c>
      <c r="Z287" s="1" t="s">
        <v>3</v>
      </c>
    </row>
    <row r="288" spans="1:26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>
        <v>9.5579999999999998</v>
      </c>
      <c r="Q288" s="1"/>
      <c r="R288" s="1"/>
      <c r="S288" s="1" t="s">
        <v>1</v>
      </c>
      <c r="T288" s="1">
        <v>1</v>
      </c>
      <c r="U288" s="1"/>
      <c r="V288" s="1"/>
      <c r="W288" s="1"/>
      <c r="X288" s="1"/>
      <c r="Y288" s="1" t="s">
        <v>2</v>
      </c>
      <c r="Z288" s="1" t="s">
        <v>3</v>
      </c>
    </row>
    <row r="289" spans="1:26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>
        <v>9.5250000000000004</v>
      </c>
      <c r="Q289" s="1"/>
      <c r="R289" s="1"/>
      <c r="S289" s="1" t="s">
        <v>1</v>
      </c>
      <c r="T289" s="1">
        <v>1</v>
      </c>
      <c r="U289" s="1"/>
      <c r="V289" s="1"/>
      <c r="W289" s="1"/>
      <c r="X289" s="1"/>
      <c r="Y289" s="1" t="s">
        <v>2</v>
      </c>
      <c r="Z289" s="1" t="s">
        <v>3</v>
      </c>
    </row>
    <row r="290" spans="1:26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>
        <v>9.5980000000000008</v>
      </c>
      <c r="Q290" s="1"/>
      <c r="R290" s="1"/>
      <c r="S290" s="1" t="s">
        <v>1</v>
      </c>
      <c r="T290" s="1">
        <v>1</v>
      </c>
      <c r="U290" s="1"/>
      <c r="V290" s="1"/>
      <c r="W290" s="1"/>
      <c r="X290" s="1"/>
      <c r="Y290" s="1" t="s">
        <v>2</v>
      </c>
      <c r="Z290" s="1" t="s">
        <v>3</v>
      </c>
    </row>
    <row r="291" spans="1:26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>
        <v>9.5410000000000004</v>
      </c>
      <c r="Q291" s="1"/>
      <c r="R291" s="1"/>
      <c r="S291" s="1" t="s">
        <v>1</v>
      </c>
      <c r="T291" s="1">
        <v>1</v>
      </c>
      <c r="U291" s="1"/>
      <c r="V291" s="1"/>
      <c r="W291" s="1"/>
      <c r="X291" s="1"/>
      <c r="Y291" s="1" t="s">
        <v>2</v>
      </c>
      <c r="Z291" s="1" t="s">
        <v>3</v>
      </c>
    </row>
    <row r="292" spans="1:26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>
        <v>9.5380000000000003</v>
      </c>
      <c r="Q292" s="1"/>
      <c r="R292" s="1"/>
      <c r="S292" s="1" t="s">
        <v>1</v>
      </c>
      <c r="T292" s="1">
        <v>1</v>
      </c>
      <c r="U292" s="1"/>
      <c r="V292" s="1"/>
      <c r="W292" s="1"/>
      <c r="X292" s="1"/>
      <c r="Y292" s="1" t="s">
        <v>2</v>
      </c>
      <c r="Z292" s="1" t="s">
        <v>3</v>
      </c>
    </row>
    <row r="293" spans="1:26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>
        <v>9.5489999999999995</v>
      </c>
      <c r="Q293" s="1"/>
      <c r="R293" s="1"/>
      <c r="S293" s="1" t="s">
        <v>1</v>
      </c>
      <c r="T293" s="1">
        <v>1</v>
      </c>
      <c r="U293" s="1"/>
      <c r="V293" s="1"/>
      <c r="W293" s="1"/>
      <c r="X293" s="1"/>
      <c r="Y293" s="1" t="s">
        <v>2</v>
      </c>
      <c r="Z293" s="1" t="s">
        <v>3</v>
      </c>
    </row>
    <row r="294" spans="1:26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>
        <v>9.5619999999999994</v>
      </c>
      <c r="Q294" s="1"/>
      <c r="R294" s="1"/>
      <c r="S294" s="1" t="s">
        <v>1</v>
      </c>
      <c r="T294" s="1">
        <v>1</v>
      </c>
      <c r="U294" s="1"/>
      <c r="V294" s="1"/>
      <c r="W294" s="1"/>
      <c r="X294" s="1"/>
      <c r="Y294" s="1" t="s">
        <v>2</v>
      </c>
      <c r="Z294" s="1" t="s">
        <v>3</v>
      </c>
    </row>
    <row r="295" spans="1:26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>
        <v>9.5649999999999995</v>
      </c>
      <c r="Q295" s="1"/>
      <c r="R295" s="1"/>
      <c r="S295" s="1" t="s">
        <v>1</v>
      </c>
      <c r="T295" s="1">
        <v>1</v>
      </c>
      <c r="U295" s="1"/>
      <c r="V295" s="1"/>
      <c r="W295" s="1"/>
      <c r="X295" s="1"/>
      <c r="Y295" s="1" t="s">
        <v>2</v>
      </c>
      <c r="Z295" s="1" t="s">
        <v>3</v>
      </c>
    </row>
    <row r="296" spans="1:26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>
        <v>9.5419999999999998</v>
      </c>
      <c r="Q296" s="1"/>
      <c r="R296" s="1"/>
      <c r="S296" s="1" t="s">
        <v>1</v>
      </c>
      <c r="T296" s="1">
        <v>1</v>
      </c>
      <c r="U296" s="1"/>
      <c r="V296" s="1"/>
      <c r="W296" s="1"/>
      <c r="X296" s="1"/>
      <c r="Y296" s="1" t="s">
        <v>2</v>
      </c>
      <c r="Z296" s="1" t="s">
        <v>3</v>
      </c>
    </row>
    <row r="297" spans="1:26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>
        <v>9.5519999999999996</v>
      </c>
      <c r="Q297" s="1"/>
      <c r="R297" s="1"/>
      <c r="S297" s="1" t="s">
        <v>1</v>
      </c>
      <c r="T297" s="1">
        <v>1</v>
      </c>
      <c r="U297" s="1"/>
      <c r="V297" s="1"/>
      <c r="W297" s="1"/>
      <c r="X297" s="1"/>
      <c r="Y297" s="1" t="s">
        <v>2</v>
      </c>
      <c r="Z297" s="1" t="s">
        <v>3</v>
      </c>
    </row>
    <row r="298" spans="1:26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>
        <v>9.5519999999999996</v>
      </c>
      <c r="Q298" s="1"/>
      <c r="R298" s="1"/>
      <c r="S298" s="1" t="s">
        <v>1</v>
      </c>
      <c r="T298" s="1">
        <v>1</v>
      </c>
      <c r="U298" s="1"/>
      <c r="V298" s="1"/>
      <c r="W298" s="1"/>
      <c r="X298" s="1"/>
      <c r="Y298" s="1" t="s">
        <v>2</v>
      </c>
      <c r="Z298" s="1" t="s">
        <v>3</v>
      </c>
    </row>
    <row r="299" spans="1:26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>
        <v>9.5370000000000008</v>
      </c>
      <c r="Q299" s="1"/>
      <c r="R299" s="1"/>
      <c r="S299" s="1" t="s">
        <v>1</v>
      </c>
      <c r="T299" s="1">
        <v>1</v>
      </c>
      <c r="U299" s="1"/>
      <c r="V299" s="1"/>
      <c r="W299" s="1"/>
      <c r="X299" s="1"/>
      <c r="Y299" s="1" t="s">
        <v>2</v>
      </c>
      <c r="Z299" s="1" t="s">
        <v>3</v>
      </c>
    </row>
    <row r="300" spans="1:26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>
        <v>9.5679999999999996</v>
      </c>
      <c r="Q300" s="1"/>
      <c r="R300" s="1"/>
      <c r="S300" s="1" t="s">
        <v>1</v>
      </c>
      <c r="T300" s="1">
        <v>1</v>
      </c>
      <c r="U300" s="1"/>
      <c r="V300" s="1"/>
      <c r="W300" s="1"/>
      <c r="X300" s="1"/>
      <c r="Y300" s="1" t="s">
        <v>2</v>
      </c>
      <c r="Z300" s="1" t="s">
        <v>3</v>
      </c>
    </row>
    <row r="301" spans="1:26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>
        <v>9.5470000000000006</v>
      </c>
      <c r="Q301" s="1"/>
      <c r="R301" s="1"/>
      <c r="S301" s="1" t="s">
        <v>1</v>
      </c>
      <c r="T301" s="1">
        <v>1</v>
      </c>
      <c r="U301" s="1"/>
      <c r="V301" s="1"/>
      <c r="W301" s="1"/>
      <c r="X301" s="1"/>
      <c r="Y301" s="1" t="s">
        <v>2</v>
      </c>
      <c r="Z301" s="1" t="s">
        <v>3</v>
      </c>
    </row>
    <row r="302" spans="1:26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>
        <v>9.5359999999999996</v>
      </c>
      <c r="Q302" s="1"/>
      <c r="R302" s="1"/>
      <c r="S302" s="1" t="s">
        <v>1</v>
      </c>
      <c r="T302" s="1">
        <v>1</v>
      </c>
      <c r="U302" s="1"/>
      <c r="V302" s="1"/>
      <c r="W302" s="1"/>
      <c r="X302" s="1"/>
      <c r="Y302" s="1" t="s">
        <v>2</v>
      </c>
      <c r="Z302" s="1" t="s">
        <v>3</v>
      </c>
    </row>
    <row r="303" spans="1:26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>
        <v>9.5660000000000007</v>
      </c>
      <c r="Q303" s="1"/>
      <c r="R303" s="1"/>
      <c r="S303" s="1" t="s">
        <v>1</v>
      </c>
      <c r="T303" s="1">
        <v>1</v>
      </c>
      <c r="U303" s="1"/>
      <c r="V303" s="1"/>
      <c r="W303" s="1"/>
      <c r="X303" s="1"/>
      <c r="Y303" s="1" t="s">
        <v>2</v>
      </c>
      <c r="Z303" s="1" t="s">
        <v>3</v>
      </c>
    </row>
    <row r="304" spans="1:26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>
        <v>9.5259999999999998</v>
      </c>
      <c r="Q304" s="1"/>
      <c r="R304" s="1"/>
      <c r="S304" s="1" t="s">
        <v>1</v>
      </c>
      <c r="T304" s="1">
        <v>1</v>
      </c>
      <c r="U304" s="1"/>
      <c r="V304" s="1"/>
      <c r="W304" s="1"/>
      <c r="X304" s="1"/>
      <c r="Y304" s="1" t="s">
        <v>2</v>
      </c>
      <c r="Z304" s="1" t="s">
        <v>3</v>
      </c>
    </row>
    <row r="305" spans="1:26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>
        <v>9.5589999999999993</v>
      </c>
      <c r="Q305" s="1"/>
      <c r="R305" s="1"/>
      <c r="S305" s="1" t="s">
        <v>1</v>
      </c>
      <c r="T305" s="1">
        <v>1</v>
      </c>
      <c r="U305" s="1"/>
      <c r="V305" s="1"/>
      <c r="W305" s="1"/>
      <c r="X305" s="1"/>
      <c r="Y305" s="1" t="s">
        <v>2</v>
      </c>
      <c r="Z305" s="1" t="s">
        <v>3</v>
      </c>
    </row>
    <row r="306" spans="1:26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>
        <v>9.548</v>
      </c>
      <c r="Q306" s="1"/>
      <c r="R306" s="1"/>
      <c r="S306" s="1" t="s">
        <v>1</v>
      </c>
      <c r="T306" s="1">
        <v>1</v>
      </c>
      <c r="U306" s="1"/>
      <c r="V306" s="1"/>
      <c r="W306" s="1"/>
      <c r="X306" s="1"/>
      <c r="Y306" s="1" t="s">
        <v>2</v>
      </c>
      <c r="Z306" s="1" t="s">
        <v>3</v>
      </c>
    </row>
    <row r="307" spans="1:26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>
        <v>9.5269999999999992</v>
      </c>
      <c r="Q307" s="1"/>
      <c r="R307" s="1"/>
      <c r="S307" s="1" t="s">
        <v>1</v>
      </c>
      <c r="T307" s="1">
        <v>1</v>
      </c>
      <c r="U307" s="1"/>
      <c r="V307" s="1"/>
      <c r="W307" s="1"/>
      <c r="X307" s="1"/>
      <c r="Y307" s="1" t="s">
        <v>2</v>
      </c>
      <c r="Z307" s="1" t="s">
        <v>3</v>
      </c>
    </row>
    <row r="308" spans="1:26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>
        <v>9.5359999999999996</v>
      </c>
      <c r="Q308" s="1"/>
      <c r="R308" s="1"/>
      <c r="S308" s="1" t="s">
        <v>1</v>
      </c>
      <c r="T308" s="1">
        <v>1</v>
      </c>
      <c r="U308" s="1"/>
      <c r="V308" s="1"/>
      <c r="W308" s="1"/>
      <c r="X308" s="1"/>
      <c r="Y308" s="1" t="s">
        <v>2</v>
      </c>
      <c r="Z308" s="1" t="s">
        <v>3</v>
      </c>
    </row>
    <row r="309" spans="1:26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>
        <v>9.5489999999999995</v>
      </c>
      <c r="Q309" s="1"/>
      <c r="R309" s="1"/>
      <c r="S309" s="1" t="s">
        <v>1</v>
      </c>
      <c r="T309" s="1">
        <v>1</v>
      </c>
      <c r="U309" s="1"/>
      <c r="V309" s="1"/>
      <c r="W309" s="1"/>
      <c r="X309" s="1"/>
      <c r="Y309" s="1" t="s">
        <v>2</v>
      </c>
      <c r="Z309" s="1" t="s">
        <v>3</v>
      </c>
    </row>
    <row r="310" spans="1:26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>
        <v>9.5649999999999995</v>
      </c>
      <c r="Q310" s="1"/>
      <c r="R310" s="1"/>
      <c r="S310" s="1" t="s">
        <v>1</v>
      </c>
      <c r="T310" s="1">
        <v>1</v>
      </c>
      <c r="U310" s="1"/>
      <c r="V310" s="1"/>
      <c r="W310" s="1"/>
      <c r="X310" s="1"/>
      <c r="Y310" s="1" t="s">
        <v>2</v>
      </c>
      <c r="Z310" s="1" t="s">
        <v>3</v>
      </c>
    </row>
    <row r="311" spans="1:26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>
        <v>9.5470000000000006</v>
      </c>
      <c r="Q311" s="1"/>
      <c r="R311" s="1"/>
      <c r="S311" s="1" t="s">
        <v>1</v>
      </c>
      <c r="T311" s="1">
        <v>1</v>
      </c>
      <c r="U311" s="1"/>
      <c r="V311" s="1"/>
      <c r="W311" s="1"/>
      <c r="X311" s="1"/>
      <c r="Y311" s="1" t="s">
        <v>2</v>
      </c>
      <c r="Z311" s="1" t="s">
        <v>3</v>
      </c>
    </row>
    <row r="312" spans="1:26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>
        <v>9.5690000000000008</v>
      </c>
      <c r="Q312" s="1"/>
      <c r="R312" s="1"/>
      <c r="S312" s="1" t="s">
        <v>1</v>
      </c>
      <c r="T312" s="1">
        <v>1</v>
      </c>
      <c r="U312" s="1"/>
      <c r="V312" s="1"/>
      <c r="W312" s="1"/>
      <c r="X312" s="1"/>
      <c r="Y312" s="1" t="s">
        <v>2</v>
      </c>
      <c r="Z312" s="1" t="s">
        <v>3</v>
      </c>
    </row>
    <row r="313" spans="1:26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>
        <v>9.5549999999999997</v>
      </c>
      <c r="Q313" s="1"/>
      <c r="R313" s="1"/>
      <c r="S313" s="1" t="s">
        <v>1</v>
      </c>
      <c r="T313" s="1">
        <v>1</v>
      </c>
      <c r="U313" s="1"/>
      <c r="V313" s="1"/>
      <c r="W313" s="1"/>
      <c r="X313" s="1"/>
      <c r="Y313" s="1" t="s">
        <v>2</v>
      </c>
      <c r="Z313" s="1" t="s">
        <v>3</v>
      </c>
    </row>
    <row r="314" spans="1:26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>
        <v>9.5660000000000007</v>
      </c>
      <c r="Q314" s="1"/>
      <c r="R314" s="1"/>
      <c r="S314" s="1" t="s">
        <v>1</v>
      </c>
      <c r="T314" s="1">
        <v>1</v>
      </c>
      <c r="U314" s="1"/>
      <c r="V314" s="1"/>
      <c r="W314" s="1"/>
      <c r="X314" s="1"/>
      <c r="Y314" s="1" t="s">
        <v>2</v>
      </c>
      <c r="Z314" s="1" t="s">
        <v>3</v>
      </c>
    </row>
    <row r="315" spans="1:26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>
        <v>9.5350000000000001</v>
      </c>
      <c r="Q315" s="1"/>
      <c r="R315" s="1"/>
      <c r="S315" s="1" t="s">
        <v>1</v>
      </c>
      <c r="T315" s="1">
        <v>1</v>
      </c>
      <c r="U315" s="1"/>
      <c r="V315" s="1"/>
      <c r="W315" s="1"/>
      <c r="X315" s="1"/>
      <c r="Y315" s="1" t="s">
        <v>2</v>
      </c>
      <c r="Z315" s="1" t="s">
        <v>3</v>
      </c>
    </row>
    <row r="316" spans="1:26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>
        <v>9.5259999999999998</v>
      </c>
      <c r="Q316" s="1"/>
      <c r="R316" s="1"/>
      <c r="S316" s="1" t="s">
        <v>1</v>
      </c>
      <c r="T316" s="1">
        <v>1</v>
      </c>
      <c r="U316" s="1"/>
      <c r="V316" s="1"/>
      <c r="W316" s="1"/>
      <c r="X316" s="1"/>
      <c r="Y316" s="1" t="s">
        <v>2</v>
      </c>
      <c r="Z316" s="1" t="s">
        <v>3</v>
      </c>
    </row>
    <row r="317" spans="1:26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>
        <v>9.5299999999999994</v>
      </c>
      <c r="Q317" s="1"/>
      <c r="R317" s="1"/>
      <c r="S317" s="1" t="s">
        <v>1</v>
      </c>
      <c r="T317" s="1">
        <v>1</v>
      </c>
      <c r="U317" s="1"/>
      <c r="V317" s="1"/>
      <c r="W317" s="1"/>
      <c r="X317" s="1"/>
      <c r="Y317" s="1" t="s">
        <v>2</v>
      </c>
      <c r="Z317" s="1" t="s">
        <v>3</v>
      </c>
    </row>
    <row r="318" spans="1:26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>
        <v>9.5419999999999998</v>
      </c>
      <c r="Q318" s="1"/>
      <c r="R318" s="1"/>
      <c r="S318" s="1" t="s">
        <v>1</v>
      </c>
      <c r="T318" s="1">
        <v>1</v>
      </c>
      <c r="U318" s="1"/>
      <c r="V318" s="1"/>
      <c r="W318" s="1"/>
      <c r="X318" s="1"/>
      <c r="Y318" s="1" t="s">
        <v>2</v>
      </c>
      <c r="Z318" s="1" t="s">
        <v>3</v>
      </c>
    </row>
    <row r="319" spans="1:26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>
        <v>9.5150000000000006</v>
      </c>
      <c r="Q319" s="1"/>
      <c r="R319" s="1"/>
      <c r="S319" s="1" t="s">
        <v>1</v>
      </c>
      <c r="T319" s="1">
        <v>1</v>
      </c>
      <c r="U319" s="1"/>
      <c r="V319" s="1"/>
      <c r="W319" s="1"/>
      <c r="X319" s="1"/>
      <c r="Y319" s="1" t="s">
        <v>2</v>
      </c>
      <c r="Z319" s="1" t="s">
        <v>3</v>
      </c>
    </row>
    <row r="320" spans="1:26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>
        <v>9.5839999999999996</v>
      </c>
      <c r="Q320" s="1"/>
      <c r="R320" s="1"/>
      <c r="S320" s="1" t="s">
        <v>1</v>
      </c>
      <c r="T320" s="1">
        <v>1</v>
      </c>
      <c r="U320" s="1"/>
      <c r="V320" s="1"/>
      <c r="W320" s="1"/>
      <c r="X320" s="1"/>
      <c r="Y320" s="1" t="s">
        <v>2</v>
      </c>
      <c r="Z320" s="1" t="s">
        <v>3</v>
      </c>
    </row>
    <row r="321" spans="1:26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>
        <v>9.5749999999999993</v>
      </c>
      <c r="Q321" s="1"/>
      <c r="R321" s="1"/>
      <c r="S321" s="1" t="s">
        <v>1</v>
      </c>
      <c r="T321" s="1">
        <v>1</v>
      </c>
      <c r="U321" s="1"/>
      <c r="V321" s="1"/>
      <c r="W321" s="1"/>
      <c r="X321" s="1"/>
      <c r="Y321" s="1" t="s">
        <v>2</v>
      </c>
      <c r="Z321" s="1" t="s">
        <v>3</v>
      </c>
    </row>
    <row r="322" spans="1:26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>
        <v>9.548</v>
      </c>
      <c r="Q322" s="1"/>
      <c r="R322" s="1"/>
      <c r="S322" s="1" t="s">
        <v>1</v>
      </c>
      <c r="T322" s="1">
        <v>1</v>
      </c>
      <c r="U322" s="1"/>
      <c r="V322" s="1"/>
      <c r="W322" s="1"/>
      <c r="X322" s="1"/>
      <c r="Y322" s="1" t="s">
        <v>2</v>
      </c>
      <c r="Z322" s="1" t="s">
        <v>3</v>
      </c>
    </row>
    <row r="323" spans="1:26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>
        <v>9.548</v>
      </c>
      <c r="Q323" s="1"/>
      <c r="R323" s="1"/>
      <c r="S323" s="1" t="s">
        <v>1</v>
      </c>
      <c r="T323" s="1">
        <v>1</v>
      </c>
      <c r="U323" s="1"/>
      <c r="V323" s="1"/>
      <c r="W323" s="1"/>
      <c r="X323" s="1"/>
      <c r="Y323" s="1" t="s">
        <v>2</v>
      </c>
      <c r="Z323" s="1" t="s">
        <v>3</v>
      </c>
    </row>
    <row r="324" spans="1:26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>
        <v>9.4920000000000009</v>
      </c>
      <c r="Q324" s="1"/>
      <c r="R324" s="1"/>
      <c r="S324" s="1" t="s">
        <v>1</v>
      </c>
      <c r="T324" s="1">
        <v>1</v>
      </c>
      <c r="U324" s="1"/>
      <c r="V324" s="1"/>
      <c r="W324" s="1"/>
      <c r="X324" s="1"/>
      <c r="Y324" s="1" t="s">
        <v>2</v>
      </c>
      <c r="Z324" s="1" t="s">
        <v>3</v>
      </c>
    </row>
    <row r="325" spans="1:26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>
        <v>9.5310000000000006</v>
      </c>
      <c r="Q325" s="1"/>
      <c r="R325" s="1"/>
      <c r="S325" s="1" t="s">
        <v>1</v>
      </c>
      <c r="T325" s="1">
        <v>1</v>
      </c>
      <c r="U325" s="1"/>
      <c r="V325" s="1"/>
      <c r="W325" s="1"/>
      <c r="X325" s="1"/>
      <c r="Y325" s="1" t="s">
        <v>2</v>
      </c>
      <c r="Z325" s="1" t="s">
        <v>3</v>
      </c>
    </row>
    <row r="326" spans="1:26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>
        <v>9.5060000000000002</v>
      </c>
      <c r="Q326" s="1"/>
      <c r="R326" s="1"/>
      <c r="S326" s="1" t="s">
        <v>1</v>
      </c>
      <c r="T326" s="1">
        <v>1</v>
      </c>
      <c r="U326" s="1"/>
      <c r="V326" s="1"/>
      <c r="W326" s="1"/>
      <c r="X326" s="1"/>
      <c r="Y326" s="1" t="s">
        <v>2</v>
      </c>
      <c r="Z326" s="1" t="s">
        <v>3</v>
      </c>
    </row>
    <row r="327" spans="1:26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>
        <v>9.6690000000000005</v>
      </c>
      <c r="Q327" s="1"/>
      <c r="R327" s="1"/>
      <c r="S327" s="1" t="s">
        <v>1</v>
      </c>
      <c r="T327" s="1">
        <v>1</v>
      </c>
      <c r="U327" s="1"/>
      <c r="V327" s="1"/>
      <c r="W327" s="1"/>
      <c r="X327" s="1"/>
      <c r="Y327" s="1" t="s">
        <v>2</v>
      </c>
      <c r="Z327" s="1" t="s">
        <v>3</v>
      </c>
    </row>
    <row r="328" spans="1:26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>
        <v>9.5470000000000006</v>
      </c>
      <c r="Q328" s="1"/>
      <c r="R328" s="1"/>
      <c r="S328" s="1" t="s">
        <v>1</v>
      </c>
      <c r="T328" s="1">
        <v>1</v>
      </c>
      <c r="U328" s="1"/>
      <c r="V328" s="1"/>
      <c r="W328" s="1"/>
      <c r="X328" s="1"/>
      <c r="Y328" s="1" t="s">
        <v>2</v>
      </c>
      <c r="Z328" s="1" t="s">
        <v>3</v>
      </c>
    </row>
    <row r="329" spans="1:26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>
        <v>9.52</v>
      </c>
      <c r="Q329" s="1"/>
      <c r="R329" s="1"/>
      <c r="S329" s="1" t="s">
        <v>1</v>
      </c>
      <c r="T329" s="1">
        <v>1</v>
      </c>
      <c r="U329" s="1"/>
      <c r="V329" s="1"/>
      <c r="W329" s="1"/>
      <c r="X329" s="1"/>
      <c r="Y329" s="1" t="s">
        <v>2</v>
      </c>
      <c r="Z329" s="1" t="s">
        <v>3</v>
      </c>
    </row>
    <row r="330" spans="1:26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>
        <v>9.5399999999999991</v>
      </c>
      <c r="Q330" s="1"/>
      <c r="R330" s="1"/>
      <c r="S330" s="1" t="s">
        <v>1</v>
      </c>
      <c r="T330" s="1">
        <v>1</v>
      </c>
      <c r="U330" s="1"/>
      <c r="V330" s="1"/>
      <c r="W330" s="1"/>
      <c r="X330" s="1"/>
      <c r="Y330" s="1" t="s">
        <v>2</v>
      </c>
      <c r="Z330" s="1" t="s">
        <v>3</v>
      </c>
    </row>
    <row r="331" spans="1:26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>
        <v>9.5649999999999995</v>
      </c>
      <c r="Q331" s="1"/>
      <c r="R331" s="1"/>
      <c r="S331" s="1" t="s">
        <v>1</v>
      </c>
      <c r="T331" s="1">
        <v>1</v>
      </c>
      <c r="U331" s="1"/>
      <c r="V331" s="1"/>
      <c r="W331" s="1"/>
      <c r="X331" s="1"/>
      <c r="Y331" s="1" t="s">
        <v>2</v>
      </c>
      <c r="Z331" s="1" t="s">
        <v>3</v>
      </c>
    </row>
    <row r="332" spans="1:26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>
        <v>9.5489999999999995</v>
      </c>
      <c r="Q332" s="1"/>
      <c r="R332" s="1"/>
      <c r="S332" s="1" t="s">
        <v>1</v>
      </c>
      <c r="T332" s="1">
        <v>1</v>
      </c>
      <c r="U332" s="1"/>
      <c r="V332" s="1"/>
      <c r="W332" s="1"/>
      <c r="X332" s="1"/>
      <c r="Y332" s="1" t="s">
        <v>2</v>
      </c>
      <c r="Z332" s="1" t="s">
        <v>3</v>
      </c>
    </row>
    <row r="333" spans="1:26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>
        <v>9.5730000000000004</v>
      </c>
      <c r="Q333" s="1"/>
      <c r="R333" s="1"/>
      <c r="S333" s="1" t="s">
        <v>1</v>
      </c>
      <c r="T333" s="1">
        <v>1</v>
      </c>
      <c r="U333" s="1"/>
      <c r="V333" s="1"/>
      <c r="W333" s="1"/>
      <c r="X333" s="1"/>
      <c r="Y333" s="1" t="s">
        <v>2</v>
      </c>
      <c r="Z333" s="1" t="s">
        <v>3</v>
      </c>
    </row>
    <row r="334" spans="1:26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>
        <v>9.5549999999999997</v>
      </c>
      <c r="Q334" s="1"/>
      <c r="R334" s="1"/>
      <c r="S334" s="1" t="s">
        <v>1</v>
      </c>
      <c r="T334" s="1">
        <v>1</v>
      </c>
      <c r="U334" s="1"/>
      <c r="V334" s="1"/>
      <c r="W334" s="1"/>
      <c r="X334" s="1"/>
      <c r="Y334" s="1" t="s">
        <v>2</v>
      </c>
      <c r="Z334" s="1" t="s">
        <v>3</v>
      </c>
    </row>
    <row r="335" spans="1:26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>
        <v>9.5150000000000006</v>
      </c>
      <c r="Q335" s="1"/>
      <c r="R335" s="1"/>
      <c r="S335" s="1" t="s">
        <v>1</v>
      </c>
      <c r="T335" s="1">
        <v>1</v>
      </c>
      <c r="U335" s="1"/>
      <c r="V335" s="1"/>
      <c r="W335" s="1"/>
      <c r="X335" s="1"/>
      <c r="Y335" s="1" t="s">
        <v>2</v>
      </c>
      <c r="Z335" s="1" t="s">
        <v>3</v>
      </c>
    </row>
    <row r="336" spans="1:26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>
        <v>9.5719999999999992</v>
      </c>
      <c r="Q336" s="1"/>
      <c r="R336" s="1"/>
      <c r="S336" s="1" t="s">
        <v>1</v>
      </c>
      <c r="T336" s="1">
        <v>1</v>
      </c>
      <c r="U336" s="1"/>
      <c r="V336" s="1"/>
      <c r="W336" s="1"/>
      <c r="X336" s="1"/>
      <c r="Y336" s="1" t="s">
        <v>2</v>
      </c>
      <c r="Z336" s="1" t="s">
        <v>3</v>
      </c>
    </row>
    <row r="337" spans="1:26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>
        <v>9.5519999999999996</v>
      </c>
      <c r="Q337" s="1"/>
      <c r="R337" s="1"/>
      <c r="S337" s="1" t="s">
        <v>1</v>
      </c>
      <c r="T337" s="1">
        <v>1</v>
      </c>
      <c r="U337" s="1"/>
      <c r="V337" s="1"/>
      <c r="W337" s="1"/>
      <c r="X337" s="1"/>
      <c r="Y337" s="1" t="s">
        <v>2</v>
      </c>
      <c r="Z337" s="1" t="s">
        <v>3</v>
      </c>
    </row>
    <row r="338" spans="1:26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>
        <v>9.5440000000000005</v>
      </c>
      <c r="Q338" s="1"/>
      <c r="R338" s="1"/>
      <c r="S338" s="1" t="s">
        <v>1</v>
      </c>
      <c r="T338" s="1">
        <v>1</v>
      </c>
      <c r="U338" s="1"/>
      <c r="V338" s="1"/>
      <c r="W338" s="1"/>
      <c r="X338" s="1"/>
      <c r="Y338" s="1" t="s">
        <v>2</v>
      </c>
      <c r="Z338" s="1" t="s">
        <v>3</v>
      </c>
    </row>
    <row r="339" spans="1:26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>
        <v>9.5229999999999997</v>
      </c>
      <c r="Q339" s="1"/>
      <c r="R339" s="1"/>
      <c r="S339" s="1" t="s">
        <v>1</v>
      </c>
      <c r="T339" s="1">
        <v>1</v>
      </c>
      <c r="U339" s="1"/>
      <c r="V339" s="1"/>
      <c r="W339" s="1"/>
      <c r="X339" s="1"/>
      <c r="Y339" s="1" t="s">
        <v>2</v>
      </c>
      <c r="Z339" s="1" t="s">
        <v>3</v>
      </c>
    </row>
    <row r="340" spans="1:26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>
        <v>9.548</v>
      </c>
      <c r="Q340" s="1"/>
      <c r="R340" s="1"/>
      <c r="S340" s="1" t="s">
        <v>1</v>
      </c>
      <c r="T340" s="1">
        <v>1</v>
      </c>
      <c r="U340" s="1"/>
      <c r="V340" s="1"/>
      <c r="W340" s="1"/>
      <c r="X340" s="1"/>
      <c r="Y340" s="1" t="s">
        <v>2</v>
      </c>
      <c r="Z340" s="1" t="s">
        <v>3</v>
      </c>
    </row>
    <row r="341" spans="1:26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>
        <v>9.5830000000000002</v>
      </c>
      <c r="Q341" s="1"/>
      <c r="R341" s="1"/>
      <c r="S341" s="1" t="s">
        <v>1</v>
      </c>
      <c r="T341" s="1">
        <v>1</v>
      </c>
      <c r="U341" s="1"/>
      <c r="V341" s="1"/>
      <c r="W341" s="1"/>
      <c r="X341" s="1"/>
      <c r="Y341" s="1" t="s">
        <v>2</v>
      </c>
      <c r="Z341" s="1" t="s">
        <v>3</v>
      </c>
    </row>
    <row r="342" spans="1:26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>
        <v>9.5289999999999999</v>
      </c>
      <c r="Q342" s="1"/>
      <c r="R342" s="1"/>
      <c r="S342" s="1" t="s">
        <v>1</v>
      </c>
      <c r="T342" s="1">
        <v>1</v>
      </c>
      <c r="U342" s="1"/>
      <c r="V342" s="1"/>
      <c r="W342" s="1"/>
      <c r="X342" s="1"/>
      <c r="Y342" s="1" t="s">
        <v>2</v>
      </c>
      <c r="Z342" s="1" t="s">
        <v>3</v>
      </c>
    </row>
    <row r="343" spans="1:26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>
        <v>9.5229999999999997</v>
      </c>
      <c r="Q343" s="1"/>
      <c r="R343" s="1"/>
      <c r="S343" s="1" t="s">
        <v>1</v>
      </c>
      <c r="T343" s="1">
        <v>1</v>
      </c>
      <c r="U343" s="1"/>
      <c r="V343" s="1"/>
      <c r="W343" s="1"/>
      <c r="X343" s="1"/>
      <c r="Y343" s="1" t="s">
        <v>2</v>
      </c>
      <c r="Z343" s="1" t="s">
        <v>3</v>
      </c>
    </row>
    <row r="344" spans="1:26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>
        <v>9.5969999999999995</v>
      </c>
      <c r="Q344" s="1"/>
      <c r="R344" s="1"/>
      <c r="S344" s="1" t="s">
        <v>1</v>
      </c>
      <c r="T344" s="1">
        <v>1</v>
      </c>
      <c r="U344" s="1"/>
      <c r="V344" s="1"/>
      <c r="W344" s="1"/>
      <c r="X344" s="1"/>
      <c r="Y344" s="1" t="s">
        <v>2</v>
      </c>
      <c r="Z344" s="1" t="s">
        <v>3</v>
      </c>
    </row>
    <row r="345" spans="1:26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>
        <v>9.5969999999999995</v>
      </c>
      <c r="Q345" s="1"/>
      <c r="R345" s="1"/>
      <c r="S345" s="1" t="s">
        <v>1</v>
      </c>
      <c r="T345" s="1">
        <v>1</v>
      </c>
      <c r="U345" s="1"/>
      <c r="V345" s="1"/>
      <c r="W345" s="1"/>
      <c r="X345" s="1"/>
      <c r="Y345" s="1" t="s">
        <v>2</v>
      </c>
      <c r="Z345" s="1" t="s">
        <v>3</v>
      </c>
    </row>
    <row r="346" spans="1:26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>
        <v>9.532</v>
      </c>
      <c r="Q346" s="1"/>
      <c r="R346" s="1"/>
      <c r="S346" s="1" t="s">
        <v>1</v>
      </c>
      <c r="T346" s="1">
        <v>1</v>
      </c>
      <c r="U346" s="1"/>
      <c r="V346" s="1"/>
      <c r="W346" s="1"/>
      <c r="X346" s="1"/>
      <c r="Y346" s="1" t="s">
        <v>2</v>
      </c>
      <c r="Z346" s="1" t="s">
        <v>3</v>
      </c>
    </row>
    <row r="347" spans="1:26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>
        <v>-9.3610000000000007</v>
      </c>
      <c r="Q347" s="1"/>
      <c r="R347" s="1"/>
      <c r="S347" s="1" t="s">
        <v>1</v>
      </c>
      <c r="T347" s="1">
        <v>1</v>
      </c>
      <c r="U347" s="1"/>
      <c r="V347" s="1"/>
      <c r="W347" s="1"/>
      <c r="X347" s="1"/>
      <c r="Y347" s="1" t="s">
        <v>2</v>
      </c>
      <c r="Z347" s="1" t="s">
        <v>3</v>
      </c>
    </row>
    <row r="348" spans="1:26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>
        <v>9.5220000000000002</v>
      </c>
      <c r="Q348" s="1"/>
      <c r="R348" s="1"/>
      <c r="S348" s="1" t="s">
        <v>1</v>
      </c>
      <c r="T348" s="1">
        <v>1</v>
      </c>
      <c r="U348" s="1"/>
      <c r="V348" s="1"/>
      <c r="W348" s="1"/>
      <c r="X348" s="1"/>
      <c r="Y348" s="1" t="s">
        <v>2</v>
      </c>
      <c r="Z348" s="1" t="s">
        <v>3</v>
      </c>
    </row>
    <row r="349" spans="1:26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>
        <v>9.5039999999999996</v>
      </c>
      <c r="Q349" s="1"/>
      <c r="R349" s="1"/>
      <c r="S349" s="1" t="s">
        <v>1</v>
      </c>
      <c r="T349" s="1">
        <v>1</v>
      </c>
      <c r="U349" s="1"/>
      <c r="V349" s="1"/>
      <c r="W349" s="1"/>
      <c r="X349" s="1"/>
      <c r="Y349" s="1" t="s">
        <v>2</v>
      </c>
      <c r="Z349" s="1" t="s">
        <v>3</v>
      </c>
    </row>
    <row r="350" spans="1:26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>
        <v>9.5549999999999997</v>
      </c>
      <c r="Q350" s="1"/>
      <c r="R350" s="1"/>
      <c r="S350" s="1" t="s">
        <v>1</v>
      </c>
      <c r="T350" s="1">
        <v>1</v>
      </c>
      <c r="U350" s="1"/>
      <c r="V350" s="1"/>
      <c r="W350" s="1"/>
      <c r="X350" s="1"/>
      <c r="Y350" s="1" t="s">
        <v>2</v>
      </c>
      <c r="Z350" s="1" t="s">
        <v>3</v>
      </c>
    </row>
    <row r="351" spans="1:26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>
        <v>9.5020000000000007</v>
      </c>
      <c r="Q351" s="1"/>
      <c r="R351" s="1"/>
      <c r="S351" s="1" t="s">
        <v>1</v>
      </c>
      <c r="T351" s="1">
        <v>1</v>
      </c>
      <c r="U351" s="1"/>
      <c r="V351" s="1"/>
      <c r="W351" s="1"/>
      <c r="X351" s="1"/>
      <c r="Y351" s="1" t="s">
        <v>2</v>
      </c>
      <c r="Z351" s="1" t="s">
        <v>3</v>
      </c>
    </row>
    <row r="352" spans="1:26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>
        <v>9.5809999999999995</v>
      </c>
      <c r="Q352" s="1"/>
      <c r="R352" s="1"/>
      <c r="S352" s="1" t="s">
        <v>1</v>
      </c>
      <c r="T352" s="1">
        <v>1</v>
      </c>
      <c r="U352" s="1"/>
      <c r="V352" s="1"/>
      <c r="W352" s="1"/>
      <c r="X352" s="1"/>
      <c r="Y352" s="1" t="s">
        <v>2</v>
      </c>
      <c r="Z352" s="1" t="s">
        <v>3</v>
      </c>
    </row>
    <row r="353" spans="1:26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>
        <v>9.5340000000000007</v>
      </c>
      <c r="Q353" s="1"/>
      <c r="R353" s="1"/>
      <c r="S353" s="1" t="s">
        <v>1</v>
      </c>
      <c r="T353" s="1">
        <v>1</v>
      </c>
      <c r="U353" s="1"/>
      <c r="V353" s="1"/>
      <c r="W353" s="1"/>
      <c r="X353" s="1"/>
      <c r="Y353" s="1" t="s">
        <v>2</v>
      </c>
      <c r="Z353" s="1" t="s">
        <v>3</v>
      </c>
    </row>
    <row r="354" spans="1:26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>
        <v>9.5730000000000004</v>
      </c>
      <c r="Q354" s="1"/>
      <c r="R354" s="1"/>
      <c r="S354" s="1" t="s">
        <v>1</v>
      </c>
      <c r="T354" s="1">
        <v>1</v>
      </c>
      <c r="U354" s="1"/>
      <c r="V354" s="1"/>
      <c r="W354" s="1"/>
      <c r="X354" s="1"/>
      <c r="Y354" s="1" t="s">
        <v>2</v>
      </c>
      <c r="Z354" s="1" t="s">
        <v>3</v>
      </c>
    </row>
    <row r="355" spans="1:26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>
        <v>9.5410000000000004</v>
      </c>
      <c r="Q355" s="1"/>
      <c r="R355" s="1"/>
      <c r="S355" s="1" t="s">
        <v>1</v>
      </c>
      <c r="T355" s="1">
        <v>1</v>
      </c>
      <c r="U355" s="1"/>
      <c r="V355" s="1"/>
      <c r="W355" s="1"/>
      <c r="X355" s="1"/>
      <c r="Y355" s="1" t="s">
        <v>2</v>
      </c>
      <c r="Z355" s="1" t="s">
        <v>3</v>
      </c>
    </row>
    <row r="356" spans="1:26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>
        <v>9.5190000000000001</v>
      </c>
      <c r="Q356" s="1"/>
      <c r="R356" s="1"/>
      <c r="S356" s="1" t="s">
        <v>1</v>
      </c>
      <c r="T356" s="1">
        <v>1</v>
      </c>
      <c r="U356" s="1"/>
      <c r="V356" s="1"/>
      <c r="W356" s="1"/>
      <c r="X356" s="1"/>
      <c r="Y356" s="1" t="s">
        <v>2</v>
      </c>
      <c r="Z356" s="1" t="s">
        <v>3</v>
      </c>
    </row>
    <row r="357" spans="1:26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>
        <v>9.5790000000000006</v>
      </c>
      <c r="Q357" s="1"/>
      <c r="R357" s="1"/>
      <c r="S357" s="1" t="s">
        <v>1</v>
      </c>
      <c r="T357" s="1">
        <v>1</v>
      </c>
      <c r="U357" s="1"/>
      <c r="V357" s="1"/>
      <c r="W357" s="1"/>
      <c r="X357" s="1"/>
      <c r="Y357" s="1" t="s">
        <v>2</v>
      </c>
      <c r="Z357" s="1" t="s">
        <v>3</v>
      </c>
    </row>
    <row r="358" spans="1:26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>
        <v>9.5109999999999992</v>
      </c>
      <c r="Q358" s="1"/>
      <c r="R358" s="1"/>
      <c r="S358" s="1" t="s">
        <v>1</v>
      </c>
      <c r="T358" s="1">
        <v>1</v>
      </c>
      <c r="U358" s="1"/>
      <c r="V358" s="1"/>
      <c r="W358" s="1"/>
      <c r="X358" s="1"/>
      <c r="Y358" s="1" t="s">
        <v>2</v>
      </c>
      <c r="Z358" s="1" t="s">
        <v>3</v>
      </c>
    </row>
    <row r="359" spans="1:26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>
        <v>9.5809999999999995</v>
      </c>
      <c r="Q359" s="1"/>
      <c r="R359" s="1"/>
      <c r="S359" s="1" t="s">
        <v>1</v>
      </c>
      <c r="T359" s="1">
        <v>1</v>
      </c>
      <c r="U359" s="1"/>
      <c r="V359" s="1"/>
      <c r="W359" s="1"/>
      <c r="X359" s="1"/>
      <c r="Y359" s="1" t="s">
        <v>2</v>
      </c>
      <c r="Z359" s="1" t="s">
        <v>3</v>
      </c>
    </row>
    <row r="360" spans="1:26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>
        <v>9.5879999999999992</v>
      </c>
      <c r="Q360" s="1"/>
      <c r="R360" s="1"/>
      <c r="S360" s="1" t="s">
        <v>1</v>
      </c>
      <c r="T360" s="1">
        <v>1</v>
      </c>
      <c r="U360" s="1"/>
      <c r="V360" s="1"/>
      <c r="W360" s="1"/>
      <c r="X360" s="1"/>
      <c r="Y360" s="1" t="s">
        <v>2</v>
      </c>
      <c r="Z360" s="1" t="s">
        <v>3</v>
      </c>
    </row>
    <row r="361" spans="1:26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>
        <v>9.5690000000000008</v>
      </c>
      <c r="Q361" s="1"/>
      <c r="R361" s="1"/>
      <c r="S361" s="1" t="s">
        <v>1</v>
      </c>
      <c r="T361" s="1">
        <v>1</v>
      </c>
      <c r="U361" s="1"/>
      <c r="V361" s="1"/>
      <c r="W361" s="1"/>
      <c r="X361" s="1"/>
      <c r="Y361" s="1" t="s">
        <v>2</v>
      </c>
      <c r="Z361" s="1" t="s">
        <v>3</v>
      </c>
    </row>
    <row r="362" spans="1:26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>
        <v>9.5679999999999996</v>
      </c>
      <c r="Q362" s="1"/>
      <c r="R362" s="1"/>
      <c r="S362" s="1" t="s">
        <v>1</v>
      </c>
      <c r="T362" s="1">
        <v>1</v>
      </c>
      <c r="U362" s="1"/>
      <c r="V362" s="1"/>
      <c r="W362" s="1"/>
      <c r="X362" s="1"/>
      <c r="Y362" s="1" t="s">
        <v>2</v>
      </c>
      <c r="Z362" s="1" t="s">
        <v>3</v>
      </c>
    </row>
    <row r="363" spans="1:26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>
        <v>9.5640000000000001</v>
      </c>
      <c r="Q363" s="1"/>
      <c r="R363" s="1"/>
      <c r="S363" s="1" t="s">
        <v>1</v>
      </c>
      <c r="T363" s="1">
        <v>1</v>
      </c>
      <c r="U363" s="1"/>
      <c r="V363" s="1"/>
      <c r="W363" s="1"/>
      <c r="X363" s="1"/>
      <c r="Y363" s="1" t="s">
        <v>2</v>
      </c>
      <c r="Z363" s="1" t="s">
        <v>3</v>
      </c>
    </row>
    <row r="364" spans="1:26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>
        <v>9.5329999999999995</v>
      </c>
      <c r="Q364" s="1"/>
      <c r="R364" s="1"/>
      <c r="S364" s="1" t="s">
        <v>1</v>
      </c>
      <c r="T364" s="1">
        <v>1</v>
      </c>
      <c r="U364" s="1"/>
      <c r="V364" s="1"/>
      <c r="W364" s="1"/>
      <c r="X364" s="1"/>
      <c r="Y364" s="1" t="s">
        <v>2</v>
      </c>
      <c r="Z364" s="1" t="s">
        <v>3</v>
      </c>
    </row>
    <row r="365" spans="1:26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>
        <v>9.5719999999999992</v>
      </c>
      <c r="Q365" s="1"/>
      <c r="R365" s="1"/>
      <c r="S365" s="1" t="s">
        <v>1</v>
      </c>
      <c r="T365" s="1">
        <v>1</v>
      </c>
      <c r="U365" s="1"/>
      <c r="V365" s="1"/>
      <c r="W365" s="1"/>
      <c r="X365" s="1"/>
      <c r="Y365" s="1" t="s">
        <v>2</v>
      </c>
      <c r="Z365" s="1" t="s">
        <v>3</v>
      </c>
    </row>
    <row r="366" spans="1:26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>
        <v>9.5410000000000004</v>
      </c>
      <c r="Q366" s="1"/>
      <c r="R366" s="1"/>
      <c r="S366" s="1" t="s">
        <v>1</v>
      </c>
      <c r="T366" s="1">
        <v>1</v>
      </c>
      <c r="U366" s="1"/>
      <c r="V366" s="1"/>
      <c r="W366" s="1"/>
      <c r="X366" s="1"/>
      <c r="Y366" s="1" t="s">
        <v>2</v>
      </c>
      <c r="Z366" s="1" t="s">
        <v>3</v>
      </c>
    </row>
    <row r="367" spans="1:26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>
        <v>9.5020000000000007</v>
      </c>
      <c r="Q367" s="1"/>
      <c r="R367" s="1"/>
      <c r="S367" s="1" t="s">
        <v>1</v>
      </c>
      <c r="T367" s="1">
        <v>1</v>
      </c>
      <c r="U367" s="1"/>
      <c r="V367" s="1"/>
      <c r="W367" s="1"/>
      <c r="X367" s="1"/>
      <c r="Y367" s="1" t="s">
        <v>2</v>
      </c>
      <c r="Z367" s="1" t="s">
        <v>3</v>
      </c>
    </row>
    <row r="368" spans="1:26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>
        <v>9.5570000000000004</v>
      </c>
      <c r="Q368" s="1"/>
      <c r="R368" s="1"/>
      <c r="S368" s="1" t="s">
        <v>1</v>
      </c>
      <c r="T368" s="1">
        <v>1</v>
      </c>
      <c r="U368" s="1"/>
      <c r="V368" s="1"/>
      <c r="W368" s="1"/>
      <c r="X368" s="1"/>
      <c r="Y368" s="1" t="s">
        <v>2</v>
      </c>
      <c r="Z368" s="1" t="s">
        <v>3</v>
      </c>
    </row>
    <row r="369" spans="1:26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>
        <v>9.5470000000000006</v>
      </c>
      <c r="Q369" s="1"/>
      <c r="R369" s="1"/>
      <c r="S369" s="1" t="s">
        <v>1</v>
      </c>
      <c r="T369" s="1">
        <v>1</v>
      </c>
      <c r="U369" s="1"/>
      <c r="V369" s="1"/>
      <c r="W369" s="1"/>
      <c r="X369" s="1"/>
      <c r="Y369" s="1" t="s">
        <v>2</v>
      </c>
      <c r="Z369" s="1" t="s">
        <v>3</v>
      </c>
    </row>
    <row r="370" spans="1:26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>
        <v>9.5500000000000007</v>
      </c>
      <c r="Q370" s="1"/>
      <c r="R370" s="1"/>
      <c r="S370" s="1" t="s">
        <v>1</v>
      </c>
      <c r="T370" s="1">
        <v>1</v>
      </c>
      <c r="U370" s="1"/>
      <c r="V370" s="1"/>
      <c r="W370" s="1"/>
      <c r="X370" s="1"/>
      <c r="Y370" s="1" t="s">
        <v>2</v>
      </c>
      <c r="Z370" s="1" t="s">
        <v>3</v>
      </c>
    </row>
    <row r="371" spans="1:26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>
        <v>9.5660000000000007</v>
      </c>
      <c r="Q371" s="1"/>
      <c r="R371" s="1"/>
      <c r="S371" s="1" t="s">
        <v>1</v>
      </c>
      <c r="T371" s="1">
        <v>1</v>
      </c>
      <c r="U371" s="1"/>
      <c r="V371" s="1"/>
      <c r="W371" s="1"/>
      <c r="X371" s="1"/>
      <c r="Y371" s="1" t="s">
        <v>2</v>
      </c>
      <c r="Z371" s="1" t="s">
        <v>3</v>
      </c>
    </row>
    <row r="372" spans="1:26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>
        <v>9.5640000000000001</v>
      </c>
      <c r="Q372" s="1"/>
      <c r="R372" s="1"/>
      <c r="S372" s="1" t="s">
        <v>1</v>
      </c>
      <c r="T372" s="1">
        <v>1</v>
      </c>
      <c r="U372" s="1"/>
      <c r="V372" s="1"/>
      <c r="W372" s="1"/>
      <c r="X372" s="1"/>
      <c r="Y372" s="1" t="s">
        <v>2</v>
      </c>
      <c r="Z372" s="1" t="s">
        <v>3</v>
      </c>
    </row>
    <row r="373" spans="1:26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>
        <v>9.5500000000000007</v>
      </c>
      <c r="Q373" s="1"/>
      <c r="R373" s="1"/>
      <c r="S373" s="1" t="s">
        <v>1</v>
      </c>
      <c r="T373" s="1">
        <v>1</v>
      </c>
      <c r="U373" s="1"/>
      <c r="V373" s="1"/>
      <c r="W373" s="1"/>
      <c r="X373" s="1"/>
      <c r="Y373" s="1" t="s">
        <v>2</v>
      </c>
      <c r="Z373" s="1" t="s">
        <v>3</v>
      </c>
    </row>
    <row r="374" spans="1:26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>
        <v>9.5280000000000005</v>
      </c>
      <c r="Q374" s="1"/>
      <c r="R374" s="1"/>
      <c r="S374" s="1" t="s">
        <v>1</v>
      </c>
      <c r="T374" s="1">
        <v>1</v>
      </c>
      <c r="U374" s="1"/>
      <c r="V374" s="1"/>
      <c r="W374" s="1"/>
      <c r="X374" s="1"/>
      <c r="Y374" s="1" t="s">
        <v>2</v>
      </c>
      <c r="Z374" s="1" t="s">
        <v>3</v>
      </c>
    </row>
    <row r="375" spans="1:26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>
        <v>9.7029999999999994</v>
      </c>
      <c r="Q375" s="1"/>
      <c r="R375" s="1"/>
      <c r="S375" s="1" t="s">
        <v>1</v>
      </c>
      <c r="T375" s="1">
        <v>1</v>
      </c>
      <c r="U375" s="1"/>
      <c r="V375" s="1"/>
      <c r="W375" s="1"/>
      <c r="X375" s="1"/>
      <c r="Y375" s="1" t="s">
        <v>2</v>
      </c>
      <c r="Z375" s="1" t="s">
        <v>3</v>
      </c>
    </row>
    <row r="376" spans="1:26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>
        <v>9.4410000000000007</v>
      </c>
      <c r="Q376" s="1"/>
      <c r="R376" s="1"/>
      <c r="S376" s="1" t="s">
        <v>1</v>
      </c>
      <c r="T376" s="1">
        <v>1</v>
      </c>
      <c r="U376" s="1"/>
      <c r="V376" s="1"/>
      <c r="W376" s="1"/>
      <c r="X376" s="1"/>
      <c r="Y376" s="1" t="s">
        <v>2</v>
      </c>
      <c r="Z376" s="1" t="s">
        <v>3</v>
      </c>
    </row>
    <row r="377" spans="1:26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>
        <v>9.5640000000000001</v>
      </c>
      <c r="Q377" s="1"/>
      <c r="R377" s="1"/>
      <c r="S377" s="1" t="s">
        <v>1</v>
      </c>
      <c r="T377" s="1">
        <v>1</v>
      </c>
      <c r="U377" s="1"/>
      <c r="V377" s="1"/>
      <c r="W377" s="1"/>
      <c r="X377" s="1"/>
      <c r="Y377" s="1" t="s">
        <v>2</v>
      </c>
      <c r="Z377" s="1" t="s">
        <v>3</v>
      </c>
    </row>
    <row r="378" spans="1:26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>
        <v>9.6519999999999992</v>
      </c>
      <c r="Q378" s="1"/>
      <c r="R378" s="1"/>
      <c r="S378" s="1" t="s">
        <v>1</v>
      </c>
      <c r="T378" s="1">
        <v>1</v>
      </c>
      <c r="U378" s="1"/>
      <c r="V378" s="1"/>
      <c r="W378" s="1"/>
      <c r="X378" s="1"/>
      <c r="Y378" s="1" t="s">
        <v>2</v>
      </c>
      <c r="Z378" s="1" t="s">
        <v>3</v>
      </c>
    </row>
    <row r="379" spans="1:26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>
        <v>9.6020000000000003</v>
      </c>
      <c r="Q379" s="1"/>
      <c r="R379" s="1"/>
      <c r="S379" s="1" t="s">
        <v>1</v>
      </c>
      <c r="T379" s="1">
        <v>1</v>
      </c>
      <c r="U379" s="1"/>
      <c r="V379" s="1"/>
      <c r="W379" s="1"/>
      <c r="X379" s="1"/>
      <c r="Y379" s="1" t="s">
        <v>2</v>
      </c>
      <c r="Z379" s="1" t="s">
        <v>3</v>
      </c>
    </row>
    <row r="380" spans="1:26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>
        <v>9.5879999999999992</v>
      </c>
      <c r="Q380" s="1"/>
      <c r="R380" s="1"/>
      <c r="S380" s="1" t="s">
        <v>1</v>
      </c>
      <c r="T380" s="1">
        <v>1</v>
      </c>
      <c r="U380" s="1"/>
      <c r="V380" s="1"/>
      <c r="W380" s="1"/>
      <c r="X380" s="1"/>
      <c r="Y380" s="1" t="s">
        <v>2</v>
      </c>
      <c r="Z380" s="1" t="s">
        <v>3</v>
      </c>
    </row>
    <row r="381" spans="1:26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>
        <v>9.8320000000000007</v>
      </c>
      <c r="Q381" s="1"/>
      <c r="R381" s="1"/>
      <c r="S381" s="1" t="s">
        <v>1</v>
      </c>
      <c r="T381" s="1">
        <v>1</v>
      </c>
      <c r="U381" s="1"/>
      <c r="V381" s="1"/>
      <c r="W381" s="1"/>
      <c r="X381" s="1"/>
      <c r="Y381" s="1" t="s">
        <v>2</v>
      </c>
      <c r="Z381" s="1" t="s">
        <v>3</v>
      </c>
    </row>
    <row r="382" spans="1:26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>
        <v>9.8179999999999996</v>
      </c>
      <c r="Q382" s="1"/>
      <c r="R382" s="1"/>
      <c r="S382" s="1" t="s">
        <v>1</v>
      </c>
      <c r="T382" s="1">
        <v>1</v>
      </c>
      <c r="U382" s="1"/>
      <c r="V382" s="1"/>
      <c r="W382" s="1"/>
      <c r="X382" s="1"/>
      <c r="Y382" s="1" t="s">
        <v>2</v>
      </c>
      <c r="Z382" s="1" t="s">
        <v>3</v>
      </c>
    </row>
    <row r="383" spans="1:26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>
        <v>9.8030000000000008</v>
      </c>
      <c r="Q383" s="1"/>
      <c r="R383" s="1"/>
      <c r="S383" s="1" t="s">
        <v>1</v>
      </c>
      <c r="T383" s="1">
        <v>1</v>
      </c>
      <c r="U383" s="1"/>
      <c r="V383" s="1"/>
      <c r="W383" s="1"/>
      <c r="X383" s="1"/>
      <c r="Y383" s="1" t="s">
        <v>2</v>
      </c>
      <c r="Z383" s="1" t="s">
        <v>3</v>
      </c>
    </row>
    <row r="384" spans="1:26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>
        <v>9.7889999999999997</v>
      </c>
      <c r="Q384" s="1"/>
      <c r="R384" s="1"/>
      <c r="S384" s="1" t="s">
        <v>1</v>
      </c>
      <c r="T384" s="1">
        <v>1</v>
      </c>
      <c r="U384" s="1"/>
      <c r="V384" s="1"/>
      <c r="W384" s="1"/>
      <c r="X384" s="1"/>
      <c r="Y384" s="1" t="s">
        <v>2</v>
      </c>
      <c r="Z384" s="1" t="s">
        <v>3</v>
      </c>
    </row>
    <row r="385" spans="1:26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>
        <v>9.8219999999999992</v>
      </c>
      <c r="Q385" s="1"/>
      <c r="R385" s="1"/>
      <c r="S385" s="1" t="s">
        <v>1</v>
      </c>
      <c r="T385" s="1">
        <v>1</v>
      </c>
      <c r="U385" s="1"/>
      <c r="V385" s="1"/>
      <c r="W385" s="1"/>
      <c r="X385" s="1"/>
      <c r="Y385" s="1" t="s">
        <v>2</v>
      </c>
      <c r="Z385" s="1" t="s">
        <v>3</v>
      </c>
    </row>
    <row r="386" spans="1:26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>
        <v>9.5679999999999996</v>
      </c>
      <c r="Q386" s="1"/>
      <c r="R386" s="1"/>
      <c r="S386" s="1" t="s">
        <v>1</v>
      </c>
      <c r="T386" s="1">
        <v>1</v>
      </c>
      <c r="U386" s="1"/>
      <c r="V386" s="1"/>
      <c r="W386" s="1"/>
      <c r="X386" s="1"/>
      <c r="Y386" s="1" t="s">
        <v>2</v>
      </c>
      <c r="Z386" s="1" t="s">
        <v>3</v>
      </c>
    </row>
    <row r="387" spans="1:26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>
        <v>9.5779999999999994</v>
      </c>
      <c r="Q387" s="1"/>
      <c r="R387" s="1"/>
      <c r="S387" s="1" t="s">
        <v>1</v>
      </c>
      <c r="T387" s="1">
        <v>1</v>
      </c>
      <c r="U387" s="1"/>
      <c r="V387" s="1"/>
      <c r="W387" s="1"/>
      <c r="X387" s="1"/>
      <c r="Y387" s="1" t="s">
        <v>2</v>
      </c>
      <c r="Z387" s="1" t="s">
        <v>3</v>
      </c>
    </row>
    <row r="388" spans="1:26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>
        <v>9.5679999999999996</v>
      </c>
      <c r="Q388" s="1"/>
      <c r="R388" s="1"/>
      <c r="S388" s="1" t="s">
        <v>1</v>
      </c>
      <c r="T388" s="1">
        <v>1</v>
      </c>
      <c r="U388" s="1"/>
      <c r="V388" s="1"/>
      <c r="W388" s="1"/>
      <c r="X388" s="1"/>
      <c r="Y388" s="1" t="s">
        <v>2</v>
      </c>
      <c r="Z388" s="1" t="s">
        <v>3</v>
      </c>
    </row>
    <row r="389" spans="1:26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>
        <v>9.4930000000000003</v>
      </c>
      <c r="Q389" s="1"/>
      <c r="R389" s="1"/>
      <c r="S389" s="1" t="s">
        <v>1</v>
      </c>
      <c r="T389" s="1">
        <v>1</v>
      </c>
      <c r="U389" s="1"/>
      <c r="V389" s="1"/>
      <c r="W389" s="1"/>
      <c r="X389" s="1"/>
      <c r="Y389" s="1" t="s">
        <v>2</v>
      </c>
      <c r="Z389" s="1" t="s">
        <v>3</v>
      </c>
    </row>
    <row r="390" spans="1:26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>
        <v>9.5470000000000006</v>
      </c>
      <c r="Q390" s="1"/>
      <c r="R390" s="1"/>
      <c r="S390" s="1" t="s">
        <v>1</v>
      </c>
      <c r="T390" s="1">
        <v>1</v>
      </c>
      <c r="U390" s="1"/>
      <c r="V390" s="1"/>
      <c r="W390" s="1"/>
      <c r="X390" s="1"/>
      <c r="Y390" s="1" t="s">
        <v>2</v>
      </c>
      <c r="Z390" s="1" t="s">
        <v>3</v>
      </c>
    </row>
    <row r="391" spans="1:26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>
        <v>9.5389999999999997</v>
      </c>
      <c r="Q391" s="1"/>
      <c r="R391" s="1"/>
      <c r="S391" s="1" t="s">
        <v>1</v>
      </c>
      <c r="T391" s="1">
        <v>1</v>
      </c>
      <c r="U391" s="1"/>
      <c r="V391" s="1"/>
      <c r="W391" s="1"/>
      <c r="X391" s="1"/>
      <c r="Y391" s="1" t="s">
        <v>2</v>
      </c>
      <c r="Z391" s="1" t="s">
        <v>3</v>
      </c>
    </row>
    <row r="392" spans="1:26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>
        <v>9.4939999999999998</v>
      </c>
      <c r="Q392" s="1"/>
      <c r="R392" s="1"/>
      <c r="S392" s="1" t="s">
        <v>1</v>
      </c>
      <c r="T392" s="1">
        <v>1</v>
      </c>
      <c r="U392" s="1"/>
      <c r="V392" s="1"/>
      <c r="W392" s="1"/>
      <c r="X392" s="1"/>
      <c r="Y392" s="1" t="s">
        <v>2</v>
      </c>
      <c r="Z392" s="1" t="s">
        <v>3</v>
      </c>
    </row>
    <row r="393" spans="1:26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>
        <v>9.5670000000000002</v>
      </c>
      <c r="Q393" s="1"/>
      <c r="R393" s="1"/>
      <c r="S393" s="1" t="s">
        <v>1</v>
      </c>
      <c r="T393" s="1">
        <v>1</v>
      </c>
      <c r="U393" s="1"/>
      <c r="V393" s="1"/>
      <c r="W393" s="1"/>
      <c r="X393" s="1"/>
      <c r="Y393" s="1" t="s">
        <v>2</v>
      </c>
      <c r="Z393" s="1" t="s">
        <v>3</v>
      </c>
    </row>
    <row r="394" spans="1:26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>
        <v>9.5579999999999998</v>
      </c>
      <c r="Q394" s="1"/>
      <c r="R394" s="1"/>
      <c r="S394" s="1" t="s">
        <v>1</v>
      </c>
      <c r="T394" s="1">
        <v>1</v>
      </c>
      <c r="U394" s="1"/>
      <c r="V394" s="1"/>
      <c r="W394" s="1"/>
      <c r="X394" s="1"/>
      <c r="Y394" s="1" t="s">
        <v>2</v>
      </c>
      <c r="Z394" s="1" t="s">
        <v>3</v>
      </c>
    </row>
    <row r="395" spans="1:26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>
        <v>9.5570000000000004</v>
      </c>
      <c r="Q395" s="1"/>
      <c r="R395" s="1"/>
      <c r="S395" s="1" t="s">
        <v>1</v>
      </c>
      <c r="T395" s="1">
        <v>1</v>
      </c>
      <c r="U395" s="1"/>
      <c r="V395" s="1"/>
      <c r="W395" s="1"/>
      <c r="X395" s="1"/>
      <c r="Y395" s="1" t="s">
        <v>2</v>
      </c>
      <c r="Z395" s="1" t="s">
        <v>3</v>
      </c>
    </row>
    <row r="396" spans="1:26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>
        <v>9.5220000000000002</v>
      </c>
      <c r="Q396" s="1"/>
      <c r="R396" s="1"/>
      <c r="S396" s="1" t="s">
        <v>1</v>
      </c>
      <c r="T396" s="1">
        <v>1</v>
      </c>
      <c r="U396" s="1"/>
      <c r="V396" s="1"/>
      <c r="W396" s="1"/>
      <c r="X396" s="1"/>
      <c r="Y396" s="1" t="s">
        <v>2</v>
      </c>
      <c r="Z396" s="1" t="s">
        <v>3</v>
      </c>
    </row>
    <row r="397" spans="1:26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>
        <v>9.5250000000000004</v>
      </c>
      <c r="Q397" s="1"/>
      <c r="R397" s="1"/>
      <c r="S397" s="1" t="s">
        <v>1</v>
      </c>
      <c r="T397" s="1">
        <v>1</v>
      </c>
      <c r="U397" s="1"/>
      <c r="V397" s="1"/>
      <c r="W397" s="1"/>
      <c r="X397" s="1"/>
      <c r="Y397" s="1" t="s">
        <v>2</v>
      </c>
      <c r="Z397" s="1" t="s">
        <v>3</v>
      </c>
    </row>
    <row r="398" spans="1:26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>
        <v>9.4870000000000001</v>
      </c>
      <c r="Q398" s="1"/>
      <c r="R398" s="1"/>
      <c r="S398" s="1" t="s">
        <v>1</v>
      </c>
      <c r="T398" s="1">
        <v>1</v>
      </c>
      <c r="U398" s="1"/>
      <c r="V398" s="1"/>
      <c r="W398" s="1"/>
      <c r="X398" s="1"/>
      <c r="Y398" s="1" t="s">
        <v>2</v>
      </c>
      <c r="Z398" s="1" t="s">
        <v>3</v>
      </c>
    </row>
    <row r="399" spans="1:26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>
        <v>9.5229999999999997</v>
      </c>
      <c r="Q399" s="1"/>
      <c r="R399" s="1"/>
      <c r="S399" s="1" t="s">
        <v>1</v>
      </c>
      <c r="T399" s="1">
        <v>1</v>
      </c>
      <c r="U399" s="1"/>
      <c r="V399" s="1"/>
      <c r="W399" s="1"/>
      <c r="X399" s="1"/>
      <c r="Y399" s="1" t="s">
        <v>2</v>
      </c>
      <c r="Z399" s="1" t="s">
        <v>3</v>
      </c>
    </row>
    <row r="400" spans="1:26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>
        <v>9.5739999999999998</v>
      </c>
      <c r="Q400" s="1"/>
      <c r="R400" s="1"/>
      <c r="S400" s="1" t="s">
        <v>1</v>
      </c>
      <c r="T400" s="1">
        <v>1</v>
      </c>
      <c r="U400" s="1"/>
      <c r="V400" s="1"/>
      <c r="W400" s="1"/>
      <c r="X400" s="1"/>
      <c r="Y400" s="1" t="s">
        <v>2</v>
      </c>
      <c r="Z400" s="1" t="s">
        <v>3</v>
      </c>
    </row>
    <row r="401" spans="1:26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>
        <v>9.4909999999999997</v>
      </c>
      <c r="Q401" s="1"/>
      <c r="R401" s="1"/>
      <c r="S401" s="1" t="s">
        <v>1</v>
      </c>
      <c r="T401" s="1">
        <v>1</v>
      </c>
      <c r="U401" s="1"/>
      <c r="V401" s="1"/>
      <c r="W401" s="1"/>
      <c r="X401" s="1"/>
      <c r="Y401" s="1" t="s">
        <v>2</v>
      </c>
      <c r="Z401" s="1" t="s">
        <v>3</v>
      </c>
    </row>
    <row r="402" spans="1:26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>
        <v>9.5419999999999998</v>
      </c>
      <c r="Q402" s="1"/>
      <c r="R402" s="1"/>
      <c r="S402" s="1" t="s">
        <v>1</v>
      </c>
      <c r="T402" s="1">
        <v>1</v>
      </c>
      <c r="U402" s="1"/>
      <c r="V402" s="1"/>
      <c r="W402" s="1"/>
      <c r="X402" s="1"/>
      <c r="Y402" s="1" t="s">
        <v>2</v>
      </c>
      <c r="Z402" s="1" t="s">
        <v>3</v>
      </c>
    </row>
    <row r="403" spans="1:26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>
        <v>9.5510000000000002</v>
      </c>
      <c r="Q403" s="1"/>
      <c r="R403" s="1"/>
      <c r="S403" s="1" t="s">
        <v>1</v>
      </c>
      <c r="T403" s="1">
        <v>1</v>
      </c>
      <c r="U403" s="1"/>
      <c r="V403" s="1"/>
      <c r="W403" s="1"/>
      <c r="X403" s="1"/>
      <c r="Y403" s="1" t="s">
        <v>2</v>
      </c>
      <c r="Z403" s="1" t="s">
        <v>3</v>
      </c>
    </row>
    <row r="404" spans="1:26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>
        <v>9.5050000000000008</v>
      </c>
      <c r="Q404" s="1"/>
      <c r="R404" s="1"/>
      <c r="S404" s="1" t="s">
        <v>1</v>
      </c>
      <c r="T404" s="1">
        <v>1</v>
      </c>
      <c r="U404" s="1"/>
      <c r="V404" s="1"/>
      <c r="W404" s="1"/>
      <c r="X404" s="1"/>
      <c r="Y404" s="1" t="s">
        <v>2</v>
      </c>
      <c r="Z404" s="1" t="s">
        <v>3</v>
      </c>
    </row>
    <row r="405" spans="1:26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>
        <v>9.5389999999999997</v>
      </c>
      <c r="Q405" s="1"/>
      <c r="R405" s="1"/>
      <c r="S405" s="1" t="s">
        <v>1</v>
      </c>
      <c r="T405" s="1">
        <v>1</v>
      </c>
      <c r="U405" s="1"/>
      <c r="V405" s="1"/>
      <c r="W405" s="1"/>
      <c r="X405" s="1"/>
      <c r="Y405" s="1" t="s">
        <v>2</v>
      </c>
      <c r="Z405" s="1" t="s">
        <v>3</v>
      </c>
    </row>
    <row r="406" spans="1:26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>
        <v>9.5129999999999999</v>
      </c>
      <c r="Q406" s="1"/>
      <c r="R406" s="1"/>
      <c r="S406" s="1" t="s">
        <v>1</v>
      </c>
      <c r="T406" s="1">
        <v>1</v>
      </c>
      <c r="U406" s="1"/>
      <c r="V406" s="1"/>
      <c r="W406" s="1"/>
      <c r="X406" s="1"/>
      <c r="Y406" s="1" t="s">
        <v>2</v>
      </c>
      <c r="Z406" s="1" t="s">
        <v>3</v>
      </c>
    </row>
    <row r="407" spans="1:26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>
        <v>9.57</v>
      </c>
      <c r="Q407" s="1"/>
      <c r="R407" s="1"/>
      <c r="S407" s="1" t="s">
        <v>1</v>
      </c>
      <c r="T407" s="1">
        <v>1</v>
      </c>
      <c r="U407" s="1"/>
      <c r="V407" s="1"/>
      <c r="W407" s="1"/>
      <c r="X407" s="1"/>
      <c r="Y407" s="1" t="s">
        <v>2</v>
      </c>
      <c r="Z407" s="1" t="s">
        <v>3</v>
      </c>
    </row>
    <row r="408" spans="1:26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>
        <v>9.5329999999999995</v>
      </c>
      <c r="Q408" s="1"/>
      <c r="R408" s="1"/>
      <c r="S408" s="1" t="s">
        <v>1</v>
      </c>
      <c r="T408" s="1">
        <v>1</v>
      </c>
      <c r="U408" s="1"/>
      <c r="V408" s="1"/>
      <c r="W408" s="1"/>
      <c r="X408" s="1"/>
      <c r="Y408" s="1" t="s">
        <v>2</v>
      </c>
      <c r="Z408" s="1" t="s">
        <v>3</v>
      </c>
    </row>
    <row r="409" spans="1:26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>
        <v>9.5489999999999995</v>
      </c>
      <c r="Q409" s="1"/>
      <c r="R409" s="1"/>
      <c r="S409" s="1" t="s">
        <v>1</v>
      </c>
      <c r="T409" s="1">
        <v>1</v>
      </c>
      <c r="U409" s="1"/>
      <c r="V409" s="1"/>
      <c r="W409" s="1"/>
      <c r="X409" s="1"/>
      <c r="Y409" s="1" t="s">
        <v>2</v>
      </c>
      <c r="Z409" s="1" t="s">
        <v>3</v>
      </c>
    </row>
    <row r="410" spans="1:26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>
        <v>9.5830000000000002</v>
      </c>
      <c r="Q410" s="1"/>
      <c r="R410" s="1"/>
      <c r="S410" s="1" t="s">
        <v>1</v>
      </c>
      <c r="T410" s="1">
        <v>1</v>
      </c>
      <c r="U410" s="1"/>
      <c r="V410" s="1"/>
      <c r="W410" s="1"/>
      <c r="X410" s="1"/>
      <c r="Y410" s="1" t="s">
        <v>2</v>
      </c>
      <c r="Z410" s="1" t="s">
        <v>3</v>
      </c>
    </row>
    <row r="411" spans="1:26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>
        <v>9.5570000000000004</v>
      </c>
      <c r="Q411" s="1"/>
      <c r="R411" s="1"/>
      <c r="S411" s="1" t="s">
        <v>1</v>
      </c>
      <c r="T411" s="1">
        <v>1</v>
      </c>
      <c r="U411" s="1"/>
      <c r="V411" s="1"/>
      <c r="W411" s="1"/>
      <c r="X411" s="1"/>
      <c r="Y411" s="1" t="s">
        <v>2</v>
      </c>
      <c r="Z411" s="1" t="s">
        <v>3</v>
      </c>
    </row>
    <row r="412" spans="1:26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>
        <v>9.5090000000000003</v>
      </c>
      <c r="Q412" s="1"/>
      <c r="R412" s="1"/>
      <c r="S412" s="1" t="s">
        <v>1</v>
      </c>
      <c r="T412" s="1">
        <v>1</v>
      </c>
      <c r="U412" s="1"/>
      <c r="V412" s="1"/>
      <c r="W412" s="1"/>
      <c r="X412" s="1"/>
      <c r="Y412" s="1" t="s">
        <v>2</v>
      </c>
      <c r="Z412" s="1" t="s">
        <v>3</v>
      </c>
    </row>
    <row r="413" spans="1:26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>
        <v>9.5329999999999995</v>
      </c>
      <c r="Q413" s="1"/>
      <c r="R413" s="1"/>
      <c r="S413" s="1" t="s">
        <v>1</v>
      </c>
      <c r="T413" s="1">
        <v>1</v>
      </c>
      <c r="U413" s="1"/>
      <c r="V413" s="1"/>
      <c r="W413" s="1"/>
      <c r="X413" s="1"/>
      <c r="Y413" s="1" t="s">
        <v>2</v>
      </c>
      <c r="Z413" s="1" t="s">
        <v>3</v>
      </c>
    </row>
    <row r="414" spans="1:26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>
        <v>9.5329999999999995</v>
      </c>
      <c r="Q414" s="1"/>
      <c r="R414" s="1"/>
      <c r="S414" s="1" t="s">
        <v>1</v>
      </c>
      <c r="T414" s="1">
        <v>1</v>
      </c>
      <c r="U414" s="1"/>
      <c r="V414" s="1"/>
      <c r="W414" s="1"/>
      <c r="X414" s="1"/>
      <c r="Y414" s="1" t="s">
        <v>2</v>
      </c>
      <c r="Z414" s="1" t="s">
        <v>3</v>
      </c>
    </row>
    <row r="415" spans="1:26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>
        <v>9.5229999999999997</v>
      </c>
      <c r="Q415" s="1"/>
      <c r="R415" s="1"/>
      <c r="S415" s="1" t="s">
        <v>1</v>
      </c>
      <c r="T415" s="1">
        <v>1</v>
      </c>
      <c r="U415" s="1"/>
      <c r="V415" s="1"/>
      <c r="W415" s="1"/>
      <c r="X415" s="1"/>
      <c r="Y415" s="1" t="s">
        <v>2</v>
      </c>
      <c r="Z415" s="1" t="s">
        <v>3</v>
      </c>
    </row>
    <row r="416" spans="1:26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>
        <v>9.5939999999999994</v>
      </c>
      <c r="Q416" s="1"/>
      <c r="R416" s="1"/>
      <c r="S416" s="1" t="s">
        <v>1</v>
      </c>
      <c r="T416" s="1">
        <v>1</v>
      </c>
      <c r="U416" s="1"/>
      <c r="V416" s="1"/>
      <c r="W416" s="1"/>
      <c r="X416" s="1"/>
      <c r="Y416" s="1" t="s">
        <v>2</v>
      </c>
      <c r="Z416" s="1" t="s">
        <v>3</v>
      </c>
    </row>
    <row r="417" spans="1:26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>
        <v>9.5749999999999993</v>
      </c>
      <c r="Q417" s="1"/>
      <c r="R417" s="1"/>
      <c r="S417" s="1" t="s">
        <v>1</v>
      </c>
      <c r="T417" s="1">
        <v>1</v>
      </c>
      <c r="U417" s="1"/>
      <c r="V417" s="1"/>
      <c r="W417" s="1"/>
      <c r="X417" s="1"/>
      <c r="Y417" s="1" t="s">
        <v>2</v>
      </c>
      <c r="Z417" s="1" t="s">
        <v>3</v>
      </c>
    </row>
    <row r="418" spans="1:26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>
        <v>9.532</v>
      </c>
      <c r="Q418" s="1"/>
      <c r="R418" s="1"/>
      <c r="S418" s="1" t="s">
        <v>1</v>
      </c>
      <c r="T418" s="1">
        <v>1</v>
      </c>
      <c r="U418" s="1"/>
      <c r="V418" s="1"/>
      <c r="W418" s="1"/>
      <c r="X418" s="1"/>
      <c r="Y418" s="1" t="s">
        <v>2</v>
      </c>
      <c r="Z418" s="1" t="s">
        <v>3</v>
      </c>
    </row>
    <row r="419" spans="1:26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>
        <v>9.5359999999999996</v>
      </c>
      <c r="Q419" s="1"/>
      <c r="R419" s="1"/>
      <c r="S419" s="1" t="s">
        <v>1</v>
      </c>
      <c r="T419" s="1">
        <v>1</v>
      </c>
      <c r="U419" s="1"/>
      <c r="V419" s="1"/>
      <c r="W419" s="1"/>
      <c r="X419" s="1"/>
      <c r="Y419" s="1" t="s">
        <v>2</v>
      </c>
      <c r="Z419" s="1" t="s">
        <v>3</v>
      </c>
    </row>
    <row r="420" spans="1:26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>
        <v>9.5429999999999993</v>
      </c>
      <c r="Q420" s="1"/>
      <c r="R420" s="1"/>
      <c r="S420" s="1" t="s">
        <v>1</v>
      </c>
      <c r="T420" s="1">
        <v>1</v>
      </c>
      <c r="U420" s="1"/>
      <c r="V420" s="1"/>
      <c r="W420" s="1"/>
      <c r="X420" s="1"/>
      <c r="Y420" s="1" t="s">
        <v>2</v>
      </c>
      <c r="Z420" s="1" t="s">
        <v>3</v>
      </c>
    </row>
    <row r="421" spans="1:26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>
        <v>-9.48</v>
      </c>
      <c r="Q421" s="1"/>
      <c r="R421" s="1"/>
      <c r="S421" s="1" t="s">
        <v>1</v>
      </c>
      <c r="T421" s="1">
        <v>1</v>
      </c>
      <c r="U421" s="1"/>
      <c r="V421" s="1"/>
      <c r="W421" s="1"/>
      <c r="X421" s="1"/>
      <c r="Y421" s="1" t="s">
        <v>2</v>
      </c>
      <c r="Z421" s="1" t="s">
        <v>3</v>
      </c>
    </row>
    <row r="422" spans="1:26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>
        <v>9.5190000000000001</v>
      </c>
      <c r="Q422" s="1"/>
      <c r="R422" s="1"/>
      <c r="S422" s="1" t="s">
        <v>1</v>
      </c>
      <c r="T422" s="1">
        <v>1</v>
      </c>
      <c r="U422" s="1"/>
      <c r="V422" s="1"/>
      <c r="W422" s="1"/>
      <c r="X422" s="1"/>
      <c r="Y422" s="1" t="s">
        <v>2</v>
      </c>
      <c r="Z422" s="1" t="s">
        <v>3</v>
      </c>
    </row>
    <row r="423" spans="1:26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>
        <v>9.5250000000000004</v>
      </c>
      <c r="Q423" s="1"/>
      <c r="R423" s="1"/>
      <c r="S423" s="1" t="s">
        <v>1</v>
      </c>
      <c r="T423" s="1">
        <v>1</v>
      </c>
      <c r="U423" s="1"/>
      <c r="V423" s="1"/>
      <c r="W423" s="1"/>
      <c r="X423" s="1"/>
      <c r="Y423" s="1" t="s">
        <v>2</v>
      </c>
      <c r="Z423" s="1" t="s">
        <v>3</v>
      </c>
    </row>
    <row r="424" spans="1:26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>
        <v>9.516</v>
      </c>
      <c r="Q424" s="1"/>
      <c r="R424" s="1"/>
      <c r="S424" s="1" t="s">
        <v>1</v>
      </c>
      <c r="T424" s="1">
        <v>1</v>
      </c>
      <c r="U424" s="1"/>
      <c r="V424" s="1"/>
      <c r="W424" s="1"/>
      <c r="X424" s="1"/>
      <c r="Y424" s="1" t="s">
        <v>2</v>
      </c>
      <c r="Z424" s="1" t="s">
        <v>3</v>
      </c>
    </row>
    <row r="425" spans="1:26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>
        <v>9.5739999999999998</v>
      </c>
      <c r="Q425" s="1"/>
      <c r="R425" s="1"/>
      <c r="S425" s="1" t="s">
        <v>1</v>
      </c>
      <c r="T425" s="1">
        <v>1</v>
      </c>
      <c r="U425" s="1"/>
      <c r="V425" s="1"/>
      <c r="W425" s="1"/>
      <c r="X425" s="1"/>
      <c r="Y425" s="1" t="s">
        <v>2</v>
      </c>
      <c r="Z425" s="1" t="s">
        <v>3</v>
      </c>
    </row>
    <row r="426" spans="1:26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>
        <v>9.5660000000000007</v>
      </c>
      <c r="Q426" s="1"/>
      <c r="R426" s="1"/>
      <c r="S426" s="1" t="s">
        <v>1</v>
      </c>
      <c r="T426" s="1">
        <v>1</v>
      </c>
      <c r="U426" s="1"/>
      <c r="V426" s="1"/>
      <c r="W426" s="1"/>
      <c r="X426" s="1"/>
      <c r="Y426" s="1" t="s">
        <v>2</v>
      </c>
      <c r="Z426" s="1" t="s">
        <v>3</v>
      </c>
    </row>
    <row r="427" spans="1:26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>
        <v>9.6229999999999993</v>
      </c>
      <c r="Q427" s="1"/>
      <c r="R427" s="1"/>
      <c r="S427" s="1" t="s">
        <v>1</v>
      </c>
      <c r="T427" s="1">
        <v>1</v>
      </c>
      <c r="U427" s="1"/>
      <c r="V427" s="1"/>
      <c r="W427" s="1"/>
      <c r="X427" s="1"/>
      <c r="Y427" s="1" t="s">
        <v>2</v>
      </c>
      <c r="Z427" s="1" t="s">
        <v>3</v>
      </c>
    </row>
    <row r="428" spans="1:26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>
        <v>9.5670000000000002</v>
      </c>
      <c r="Q428" s="1"/>
      <c r="R428" s="1"/>
      <c r="S428" s="1" t="s">
        <v>1</v>
      </c>
      <c r="T428" s="1">
        <v>1</v>
      </c>
      <c r="U428" s="1"/>
      <c r="V428" s="1"/>
      <c r="W428" s="1"/>
      <c r="X428" s="1"/>
      <c r="Y428" s="1" t="s">
        <v>2</v>
      </c>
      <c r="Z428" s="1" t="s">
        <v>3</v>
      </c>
    </row>
    <row r="429" spans="1:26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>
        <v>9.5220000000000002</v>
      </c>
      <c r="Q429" s="1"/>
      <c r="R429" s="1"/>
      <c r="S429" s="1" t="s">
        <v>1</v>
      </c>
      <c r="T429" s="1">
        <v>1</v>
      </c>
      <c r="U429" s="1"/>
      <c r="V429" s="1"/>
      <c r="W429" s="1"/>
      <c r="X429" s="1"/>
      <c r="Y429" s="1" t="s">
        <v>2</v>
      </c>
      <c r="Z429" s="1" t="s">
        <v>3</v>
      </c>
    </row>
    <row r="430" spans="1:26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>
        <v>9.5690000000000008</v>
      </c>
      <c r="Q430" s="1"/>
      <c r="R430" s="1"/>
      <c r="S430" s="1" t="s">
        <v>1</v>
      </c>
      <c r="T430" s="1">
        <v>1</v>
      </c>
      <c r="U430" s="1"/>
      <c r="V430" s="1"/>
      <c r="W430" s="1"/>
      <c r="X430" s="1"/>
      <c r="Y430" s="1" t="s">
        <v>2</v>
      </c>
      <c r="Z430" s="1" t="s">
        <v>3</v>
      </c>
    </row>
    <row r="431" spans="1:26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>
        <v>9.5220000000000002</v>
      </c>
      <c r="Q431" s="1"/>
      <c r="R431" s="1"/>
      <c r="S431" s="1" t="s">
        <v>1</v>
      </c>
      <c r="T431" s="1">
        <v>1</v>
      </c>
      <c r="U431" s="1"/>
      <c r="V431" s="1"/>
      <c r="W431" s="1"/>
      <c r="X431" s="1"/>
      <c r="Y431" s="1" t="s">
        <v>2</v>
      </c>
      <c r="Z431" s="1" t="s">
        <v>3</v>
      </c>
    </row>
    <row r="432" spans="1:26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>
        <v>9.5549999999999997</v>
      </c>
      <c r="Q432" s="1"/>
      <c r="R432" s="1"/>
      <c r="S432" s="1" t="s">
        <v>1</v>
      </c>
      <c r="T432" s="1">
        <v>1</v>
      </c>
      <c r="U432" s="1"/>
      <c r="V432" s="1"/>
      <c r="W432" s="1"/>
      <c r="X432" s="1"/>
      <c r="Y432" s="1" t="s">
        <v>2</v>
      </c>
      <c r="Z432" s="1" t="s">
        <v>3</v>
      </c>
    </row>
    <row r="433" spans="1:26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>
        <v>9.5709999999999997</v>
      </c>
      <c r="Q433" s="1"/>
      <c r="R433" s="1"/>
      <c r="S433" s="1" t="s">
        <v>1</v>
      </c>
      <c r="T433" s="1">
        <v>1</v>
      </c>
      <c r="U433" s="1"/>
      <c r="V433" s="1"/>
      <c r="W433" s="1"/>
      <c r="X433" s="1"/>
      <c r="Y433" s="1" t="s">
        <v>2</v>
      </c>
      <c r="Z433" s="1" t="s">
        <v>3</v>
      </c>
    </row>
    <row r="434" spans="1:26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>
        <v>9.5640000000000001</v>
      </c>
      <c r="Q434" s="1"/>
      <c r="R434" s="1"/>
      <c r="S434" s="1" t="s">
        <v>1</v>
      </c>
      <c r="T434" s="1">
        <v>1</v>
      </c>
      <c r="U434" s="1"/>
      <c r="V434" s="1"/>
      <c r="W434" s="1"/>
      <c r="X434" s="1"/>
      <c r="Y434" s="1" t="s">
        <v>2</v>
      </c>
      <c r="Z434" s="1" t="s">
        <v>3</v>
      </c>
    </row>
    <row r="435" spans="1:26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>
        <v>9.5559999999999992</v>
      </c>
      <c r="Q435" s="1"/>
      <c r="R435" s="1"/>
      <c r="S435" s="1" t="s">
        <v>1</v>
      </c>
      <c r="T435" s="1">
        <v>1</v>
      </c>
      <c r="U435" s="1"/>
      <c r="V435" s="1"/>
      <c r="W435" s="1"/>
      <c r="X435" s="1"/>
      <c r="Y435" s="1" t="s">
        <v>2</v>
      </c>
      <c r="Z435" s="1" t="s">
        <v>3</v>
      </c>
    </row>
    <row r="436" spans="1:26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>
        <v>9.52</v>
      </c>
      <c r="Q436" s="1"/>
      <c r="R436" s="1"/>
      <c r="S436" s="1" t="s">
        <v>1</v>
      </c>
      <c r="T436" s="1">
        <v>1</v>
      </c>
      <c r="U436" s="1"/>
      <c r="V436" s="1"/>
      <c r="W436" s="1"/>
      <c r="X436" s="1"/>
      <c r="Y436" s="1" t="s">
        <v>2</v>
      </c>
      <c r="Z436" s="1" t="s">
        <v>3</v>
      </c>
    </row>
    <row r="437" spans="1:26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>
        <v>9.657</v>
      </c>
      <c r="Q437" s="1"/>
      <c r="R437" s="1"/>
      <c r="S437" s="1" t="s">
        <v>1</v>
      </c>
      <c r="T437" s="1">
        <v>1</v>
      </c>
      <c r="U437" s="1"/>
      <c r="V437" s="1"/>
      <c r="W437" s="1"/>
      <c r="X437" s="1"/>
      <c r="Y437" s="1" t="s">
        <v>2</v>
      </c>
      <c r="Z437" s="1" t="s">
        <v>3</v>
      </c>
    </row>
    <row r="438" spans="1:26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>
        <v>9.6020000000000003</v>
      </c>
      <c r="Q438" s="1"/>
      <c r="R438" s="1"/>
      <c r="S438" s="1" t="s">
        <v>1</v>
      </c>
      <c r="T438" s="1">
        <v>1</v>
      </c>
      <c r="U438" s="1"/>
      <c r="V438" s="1"/>
      <c r="W438" s="1"/>
      <c r="X438" s="1"/>
      <c r="Y438" s="1" t="s">
        <v>2</v>
      </c>
      <c r="Z438" s="1" t="s">
        <v>3</v>
      </c>
    </row>
    <row r="439" spans="1:26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>
        <v>9.5660000000000007</v>
      </c>
      <c r="Q439" s="1"/>
      <c r="R439" s="1"/>
      <c r="S439" s="1" t="s">
        <v>1</v>
      </c>
      <c r="T439" s="1">
        <v>1</v>
      </c>
      <c r="U439" s="1"/>
      <c r="V439" s="1"/>
      <c r="W439" s="1"/>
      <c r="X439" s="1"/>
      <c r="Y439" s="1" t="s">
        <v>2</v>
      </c>
      <c r="Z439" s="1" t="s">
        <v>3</v>
      </c>
    </row>
    <row r="440" spans="1:26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>
        <v>9.6129999999999995</v>
      </c>
      <c r="Q440" s="1"/>
      <c r="R440" s="1"/>
      <c r="S440" s="1" t="s">
        <v>1</v>
      </c>
      <c r="T440" s="1">
        <v>1</v>
      </c>
      <c r="U440" s="1"/>
      <c r="V440" s="1"/>
      <c r="W440" s="1"/>
      <c r="X440" s="1"/>
      <c r="Y440" s="1" t="s">
        <v>2</v>
      </c>
      <c r="Z440" s="1" t="s">
        <v>3</v>
      </c>
    </row>
    <row r="441" spans="1:26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>
        <v>9.5589999999999993</v>
      </c>
      <c r="Q441" s="1"/>
      <c r="R441" s="1"/>
      <c r="S441" s="1" t="s">
        <v>1</v>
      </c>
      <c r="T441" s="1">
        <v>1</v>
      </c>
      <c r="U441" s="1"/>
      <c r="V441" s="1"/>
      <c r="W441" s="1"/>
      <c r="X441" s="1"/>
      <c r="Y441" s="1" t="s">
        <v>2</v>
      </c>
      <c r="Z441" s="1" t="s">
        <v>3</v>
      </c>
    </row>
    <row r="442" spans="1:26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>
        <v>9.609</v>
      </c>
      <c r="Q442" s="1"/>
      <c r="R442" s="1"/>
      <c r="S442" s="1" t="s">
        <v>1</v>
      </c>
      <c r="T442" s="1">
        <v>1</v>
      </c>
      <c r="U442" s="1"/>
      <c r="V442" s="1"/>
      <c r="W442" s="1"/>
      <c r="X442" s="1"/>
      <c r="Y442" s="1" t="s">
        <v>2</v>
      </c>
      <c r="Z442" s="1" t="s">
        <v>3</v>
      </c>
    </row>
    <row r="443" spans="1:26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>
        <v>9.5830000000000002</v>
      </c>
      <c r="Q443" s="1"/>
      <c r="R443" s="1"/>
      <c r="S443" s="1" t="s">
        <v>1</v>
      </c>
      <c r="T443" s="1">
        <v>1</v>
      </c>
      <c r="U443" s="1"/>
      <c r="V443" s="1"/>
      <c r="W443" s="1"/>
      <c r="X443" s="1"/>
      <c r="Y443" s="1" t="s">
        <v>2</v>
      </c>
      <c r="Z443" s="1" t="s">
        <v>3</v>
      </c>
    </row>
    <row r="444" spans="1:26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>
        <v>9.5830000000000002</v>
      </c>
      <c r="Q444" s="1"/>
      <c r="R444" s="1"/>
      <c r="S444" s="1" t="s">
        <v>1</v>
      </c>
      <c r="T444" s="1">
        <v>1</v>
      </c>
      <c r="U444" s="1"/>
      <c r="V444" s="1"/>
      <c r="W444" s="1"/>
      <c r="X444" s="1"/>
      <c r="Y444" s="1" t="s">
        <v>2</v>
      </c>
      <c r="Z444" s="1" t="s">
        <v>3</v>
      </c>
    </row>
    <row r="445" spans="1:26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>
        <v>9.5730000000000004</v>
      </c>
      <c r="Q445" s="1"/>
      <c r="R445" s="1"/>
      <c r="S445" s="1" t="s">
        <v>1</v>
      </c>
      <c r="T445" s="1">
        <v>1</v>
      </c>
      <c r="U445" s="1"/>
      <c r="V445" s="1"/>
      <c r="W445" s="1"/>
      <c r="X445" s="1"/>
      <c r="Y445" s="1" t="s">
        <v>2</v>
      </c>
      <c r="Z445" s="1" t="s">
        <v>3</v>
      </c>
    </row>
    <row r="446" spans="1:26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>
        <v>9.5860000000000003</v>
      </c>
      <c r="Q446" s="1"/>
      <c r="R446" s="1"/>
      <c r="S446" s="1" t="s">
        <v>1</v>
      </c>
      <c r="T446" s="1">
        <v>1</v>
      </c>
      <c r="U446" s="1"/>
      <c r="V446" s="1"/>
      <c r="W446" s="1"/>
      <c r="X446" s="1"/>
      <c r="Y446" s="1" t="s">
        <v>2</v>
      </c>
      <c r="Z446" s="1" t="s">
        <v>3</v>
      </c>
    </row>
    <row r="447" spans="1:26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>
        <v>9.6120000000000001</v>
      </c>
      <c r="Q447" s="1"/>
      <c r="R447" s="1"/>
      <c r="S447" s="1" t="s">
        <v>1</v>
      </c>
      <c r="T447" s="1">
        <v>1</v>
      </c>
      <c r="U447" s="1"/>
      <c r="V447" s="1"/>
      <c r="W447" s="1"/>
      <c r="X447" s="1"/>
      <c r="Y447" s="1" t="s">
        <v>2</v>
      </c>
      <c r="Z447" s="1" t="s">
        <v>3</v>
      </c>
    </row>
    <row r="448" spans="1:26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>
        <v>9.577</v>
      </c>
      <c r="Q448" s="1"/>
      <c r="R448" s="1"/>
      <c r="S448" s="1" t="s">
        <v>1</v>
      </c>
      <c r="T448" s="1">
        <v>1</v>
      </c>
      <c r="U448" s="1"/>
      <c r="V448" s="1"/>
      <c r="W448" s="1"/>
      <c r="X448" s="1"/>
      <c r="Y448" s="1" t="s">
        <v>2</v>
      </c>
      <c r="Z448" s="1" t="s">
        <v>3</v>
      </c>
    </row>
    <row r="449" spans="1:26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>
        <v>9.5510000000000002</v>
      </c>
      <c r="Q449" s="1"/>
      <c r="R449" s="1"/>
      <c r="S449" s="1" t="s">
        <v>1</v>
      </c>
      <c r="T449" s="1">
        <v>1</v>
      </c>
      <c r="U449" s="1"/>
      <c r="V449" s="1"/>
      <c r="W449" s="1"/>
      <c r="X449" s="1"/>
      <c r="Y449" s="1" t="s">
        <v>2</v>
      </c>
      <c r="Z449" s="1" t="s">
        <v>3</v>
      </c>
    </row>
    <row r="450" spans="1:26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>
        <v>9.593</v>
      </c>
      <c r="Q450" s="1"/>
      <c r="R450" s="1"/>
      <c r="S450" s="1" t="s">
        <v>1</v>
      </c>
      <c r="T450" s="1">
        <v>1</v>
      </c>
      <c r="U450" s="1"/>
      <c r="V450" s="1"/>
      <c r="W450" s="1"/>
      <c r="X450" s="1"/>
      <c r="Y450" s="1" t="s">
        <v>2</v>
      </c>
      <c r="Z450" s="1" t="s">
        <v>3</v>
      </c>
    </row>
    <row r="451" spans="1:26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>
        <v>9.5809999999999995</v>
      </c>
      <c r="Q451" s="1"/>
      <c r="R451" s="1"/>
      <c r="S451" s="1" t="s">
        <v>1</v>
      </c>
      <c r="T451" s="1">
        <v>1</v>
      </c>
      <c r="U451" s="1"/>
      <c r="V451" s="1"/>
      <c r="W451" s="1"/>
      <c r="X451" s="1"/>
      <c r="Y451" s="1" t="s">
        <v>2</v>
      </c>
      <c r="Z451" s="1" t="s">
        <v>3</v>
      </c>
    </row>
    <row r="452" spans="1:26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>
        <v>9.6319999999999997</v>
      </c>
      <c r="Q452" s="1"/>
      <c r="R452" s="1"/>
      <c r="S452" s="1" t="s">
        <v>1</v>
      </c>
      <c r="T452" s="1">
        <v>1</v>
      </c>
      <c r="U452" s="1"/>
      <c r="V452" s="1"/>
      <c r="W452" s="1"/>
      <c r="X452" s="1"/>
      <c r="Y452" s="1" t="s">
        <v>2</v>
      </c>
      <c r="Z452" s="1" t="s">
        <v>3</v>
      </c>
    </row>
    <row r="453" spans="1:26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>
        <v>9.7530000000000001</v>
      </c>
      <c r="Q453" s="1"/>
      <c r="R453" s="1"/>
      <c r="S453" s="1" t="s">
        <v>1</v>
      </c>
      <c r="T453" s="1">
        <v>1</v>
      </c>
      <c r="U453" s="1"/>
      <c r="V453" s="1"/>
      <c r="W453" s="1"/>
      <c r="X453" s="1"/>
      <c r="Y453" s="1" t="s">
        <v>2</v>
      </c>
      <c r="Z453" s="1" t="s">
        <v>3</v>
      </c>
    </row>
    <row r="454" spans="1:26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>
        <v>9.5180000000000007</v>
      </c>
      <c r="Q454" s="1"/>
      <c r="R454" s="1"/>
      <c r="S454" s="1" t="s">
        <v>1</v>
      </c>
      <c r="T454" s="1">
        <v>1</v>
      </c>
      <c r="U454" s="1"/>
      <c r="V454" s="1"/>
      <c r="W454" s="1"/>
      <c r="X454" s="1"/>
      <c r="Y454" s="1" t="s">
        <v>2</v>
      </c>
      <c r="Z454" s="1" t="s">
        <v>3</v>
      </c>
    </row>
    <row r="455" spans="1:26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>
        <v>9.6059999999999999</v>
      </c>
      <c r="Q455" s="1"/>
      <c r="R455" s="1"/>
      <c r="S455" s="1" t="s">
        <v>1</v>
      </c>
      <c r="T455" s="1">
        <v>1</v>
      </c>
      <c r="U455" s="1"/>
      <c r="V455" s="1"/>
      <c r="W455" s="1"/>
      <c r="X455" s="1"/>
      <c r="Y455" s="1" t="s">
        <v>2</v>
      </c>
      <c r="Z455" s="1" t="s">
        <v>3</v>
      </c>
    </row>
    <row r="456" spans="1:26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>
        <v>9.4740000000000002</v>
      </c>
      <c r="Q456" s="1"/>
      <c r="R456" s="1"/>
      <c r="S456" s="1" t="s">
        <v>1</v>
      </c>
      <c r="T456" s="1">
        <v>1</v>
      </c>
      <c r="U456" s="1"/>
      <c r="V456" s="1"/>
      <c r="W456" s="1"/>
      <c r="X456" s="1"/>
      <c r="Y456" s="1" t="s">
        <v>2</v>
      </c>
      <c r="Z456" s="1" t="s">
        <v>3</v>
      </c>
    </row>
    <row r="457" spans="1:26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>
        <v>9.5060000000000002</v>
      </c>
      <c r="Q457" s="1"/>
      <c r="R457" s="1"/>
      <c r="S457" s="1" t="s">
        <v>1</v>
      </c>
      <c r="T457" s="1">
        <v>1</v>
      </c>
      <c r="U457" s="1"/>
      <c r="V457" s="1"/>
      <c r="W457" s="1"/>
      <c r="X457" s="1"/>
      <c r="Y457" s="1" t="s">
        <v>2</v>
      </c>
      <c r="Z457" s="1" t="s">
        <v>3</v>
      </c>
    </row>
    <row r="458" spans="1:26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>
        <v>9.5399999999999991</v>
      </c>
      <c r="Q458" s="1"/>
      <c r="R458" s="1"/>
      <c r="S458" s="1" t="s">
        <v>1</v>
      </c>
      <c r="T458" s="1">
        <v>1</v>
      </c>
      <c r="U458" s="1"/>
      <c r="V458" s="1"/>
      <c r="W458" s="1"/>
      <c r="X458" s="1"/>
      <c r="Y458" s="1" t="s">
        <v>2</v>
      </c>
      <c r="Z458" s="1" t="s">
        <v>3</v>
      </c>
    </row>
    <row r="459" spans="1:26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>
        <v>9.5129999999999999</v>
      </c>
      <c r="Q459" s="1"/>
      <c r="R459" s="1"/>
      <c r="S459" s="1" t="s">
        <v>1</v>
      </c>
      <c r="T459" s="1">
        <v>1</v>
      </c>
      <c r="U459" s="1"/>
      <c r="V459" s="1"/>
      <c r="W459" s="1"/>
      <c r="X459" s="1"/>
      <c r="Y459" s="1" t="s">
        <v>2</v>
      </c>
      <c r="Z459" s="1" t="s">
        <v>3</v>
      </c>
    </row>
    <row r="460" spans="1:26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>
        <v>9.5739999999999998</v>
      </c>
      <c r="Q460" s="1"/>
      <c r="R460" s="1"/>
      <c r="S460" s="1" t="s">
        <v>1</v>
      </c>
      <c r="T460" s="1">
        <v>1</v>
      </c>
      <c r="U460" s="1"/>
      <c r="V460" s="1"/>
      <c r="W460" s="1"/>
      <c r="X460" s="1"/>
      <c r="Y460" s="1" t="s">
        <v>2</v>
      </c>
      <c r="Z460" s="1" t="s">
        <v>3</v>
      </c>
    </row>
    <row r="461" spans="1:26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>
        <v>9.5389999999999997</v>
      </c>
      <c r="Q461" s="1"/>
      <c r="R461" s="1"/>
      <c r="S461" s="1" t="s">
        <v>1</v>
      </c>
      <c r="T461" s="1">
        <v>1</v>
      </c>
      <c r="U461" s="1"/>
      <c r="V461" s="1"/>
      <c r="W461" s="1"/>
      <c r="X461" s="1"/>
      <c r="Y461" s="1" t="s">
        <v>2</v>
      </c>
      <c r="Z461" s="1" t="s">
        <v>3</v>
      </c>
    </row>
    <row r="462" spans="1:26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>
        <v>9.5530000000000008</v>
      </c>
      <c r="Q462" s="1"/>
      <c r="R462" s="1"/>
      <c r="S462" s="1" t="s">
        <v>1</v>
      </c>
      <c r="T462" s="1">
        <v>1</v>
      </c>
      <c r="U462" s="1"/>
      <c r="V462" s="1"/>
      <c r="W462" s="1"/>
      <c r="X462" s="1"/>
      <c r="Y462" s="1" t="s">
        <v>2</v>
      </c>
      <c r="Z462" s="1" t="s">
        <v>3</v>
      </c>
    </row>
    <row r="463" spans="1:26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>
        <v>9.5370000000000008</v>
      </c>
      <c r="Q463" s="1"/>
      <c r="R463" s="1"/>
      <c r="S463" s="1" t="s">
        <v>1</v>
      </c>
      <c r="T463" s="1">
        <v>1</v>
      </c>
      <c r="U463" s="1"/>
      <c r="V463" s="1"/>
      <c r="W463" s="1"/>
      <c r="X463" s="1"/>
      <c r="Y463" s="1" t="s">
        <v>2</v>
      </c>
      <c r="Z463" s="1" t="s">
        <v>3</v>
      </c>
    </row>
    <row r="464" spans="1:26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>
        <v>9.5579999999999998</v>
      </c>
      <c r="Q464" s="1"/>
      <c r="R464" s="1"/>
      <c r="S464" s="1" t="s">
        <v>1</v>
      </c>
      <c r="T464" s="1">
        <v>1</v>
      </c>
      <c r="U464" s="1"/>
      <c r="V464" s="1"/>
      <c r="W464" s="1"/>
      <c r="X464" s="1"/>
      <c r="Y464" s="1" t="s">
        <v>2</v>
      </c>
      <c r="Z464" s="1" t="s">
        <v>3</v>
      </c>
    </row>
    <row r="465" spans="1:26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>
        <v>9.548</v>
      </c>
      <c r="Q465" s="1"/>
      <c r="R465" s="1"/>
      <c r="S465" s="1" t="s">
        <v>1</v>
      </c>
      <c r="T465" s="1">
        <v>1</v>
      </c>
      <c r="U465" s="1"/>
      <c r="V465" s="1"/>
      <c r="W465" s="1"/>
      <c r="X465" s="1"/>
      <c r="Y465" s="1" t="s">
        <v>2</v>
      </c>
      <c r="Z465" s="1" t="s">
        <v>3</v>
      </c>
    </row>
    <row r="466" spans="1:26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>
        <v>9.5229999999999997</v>
      </c>
      <c r="Q466" s="1"/>
      <c r="R466" s="1"/>
      <c r="S466" s="1" t="s">
        <v>1</v>
      </c>
      <c r="T466" s="1">
        <v>1</v>
      </c>
      <c r="U466" s="1"/>
      <c r="V466" s="1"/>
      <c r="W466" s="1"/>
      <c r="X466" s="1"/>
      <c r="Y466" s="1" t="s">
        <v>2</v>
      </c>
      <c r="Z466" s="1" t="s">
        <v>3</v>
      </c>
    </row>
    <row r="467" spans="1:26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>
        <v>9.5399999999999991</v>
      </c>
      <c r="Q467" s="1"/>
      <c r="R467" s="1"/>
      <c r="S467" s="1" t="s">
        <v>1</v>
      </c>
      <c r="T467" s="1">
        <v>1</v>
      </c>
      <c r="U467" s="1"/>
      <c r="V467" s="1"/>
      <c r="W467" s="1"/>
      <c r="X467" s="1"/>
      <c r="Y467" s="1" t="s">
        <v>2</v>
      </c>
      <c r="Z467" s="1" t="s">
        <v>3</v>
      </c>
    </row>
    <row r="468" spans="1:26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>
        <v>9.5220000000000002</v>
      </c>
      <c r="Q468" s="1"/>
      <c r="R468" s="1"/>
      <c r="S468" s="1" t="s">
        <v>1</v>
      </c>
      <c r="T468" s="1">
        <v>1</v>
      </c>
      <c r="U468" s="1"/>
      <c r="V468" s="1"/>
      <c r="W468" s="1"/>
      <c r="X468" s="1"/>
      <c r="Y468" s="1" t="s">
        <v>2</v>
      </c>
      <c r="Z468" s="1" t="s">
        <v>3</v>
      </c>
    </row>
    <row r="469" spans="1:26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>
        <v>9.5519999999999996</v>
      </c>
      <c r="Q469" s="1"/>
      <c r="R469" s="1"/>
      <c r="S469" s="1" t="s">
        <v>1</v>
      </c>
      <c r="T469" s="1">
        <v>1</v>
      </c>
      <c r="U469" s="1"/>
      <c r="V469" s="1"/>
      <c r="W469" s="1"/>
      <c r="X469" s="1"/>
      <c r="Y469" s="1" t="s">
        <v>2</v>
      </c>
      <c r="Z469" s="1" t="s">
        <v>3</v>
      </c>
    </row>
    <row r="470" spans="1:26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>
        <v>9.5459999999999994</v>
      </c>
      <c r="Q470" s="1"/>
      <c r="R470" s="1"/>
      <c r="S470" s="1" t="s">
        <v>1</v>
      </c>
      <c r="T470" s="1">
        <v>1</v>
      </c>
      <c r="U470" s="1"/>
      <c r="V470" s="1"/>
      <c r="W470" s="1"/>
      <c r="X470" s="1"/>
      <c r="Y470" s="1" t="s">
        <v>2</v>
      </c>
      <c r="Z470" s="1" t="s">
        <v>3</v>
      </c>
    </row>
    <row r="471" spans="1:26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>
        <v>9.5380000000000003</v>
      </c>
      <c r="Q471" s="1"/>
      <c r="R471" s="1"/>
      <c r="S471" s="1" t="s">
        <v>1</v>
      </c>
      <c r="T471" s="1">
        <v>1</v>
      </c>
      <c r="U471" s="1"/>
      <c r="V471" s="1"/>
      <c r="W471" s="1"/>
      <c r="X471" s="1"/>
      <c r="Y471" s="1" t="s">
        <v>2</v>
      </c>
      <c r="Z471" s="1" t="s">
        <v>3</v>
      </c>
    </row>
    <row r="472" spans="1:26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>
        <v>9.5609999999999999</v>
      </c>
      <c r="Q472" s="1"/>
      <c r="R472" s="1"/>
      <c r="S472" s="1" t="s">
        <v>1</v>
      </c>
      <c r="T472" s="1">
        <v>1</v>
      </c>
      <c r="U472" s="1"/>
      <c r="V472" s="1"/>
      <c r="W472" s="1"/>
      <c r="X472" s="1"/>
      <c r="Y472" s="1" t="s">
        <v>2</v>
      </c>
      <c r="Z472" s="1" t="s">
        <v>3</v>
      </c>
    </row>
    <row r="473" spans="1:26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>
        <v>9.5570000000000004</v>
      </c>
      <c r="Q473" s="1"/>
      <c r="R473" s="1"/>
      <c r="S473" s="1" t="s">
        <v>1</v>
      </c>
      <c r="T473" s="1">
        <v>1</v>
      </c>
      <c r="U473" s="1"/>
      <c r="V473" s="1"/>
      <c r="W473" s="1"/>
      <c r="X473" s="1"/>
      <c r="Y473" s="1" t="s">
        <v>2</v>
      </c>
      <c r="Z473" s="1" t="s">
        <v>3</v>
      </c>
    </row>
    <row r="474" spans="1:26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>
        <v>9.5229999999999997</v>
      </c>
      <c r="Q474" s="1"/>
      <c r="R474" s="1"/>
      <c r="S474" s="1" t="s">
        <v>1</v>
      </c>
      <c r="T474" s="1">
        <v>1</v>
      </c>
      <c r="U474" s="1"/>
      <c r="V474" s="1"/>
      <c r="W474" s="1"/>
      <c r="X474" s="1"/>
      <c r="Y474" s="1" t="s">
        <v>2</v>
      </c>
      <c r="Z474" s="1" t="s">
        <v>3</v>
      </c>
    </row>
    <row r="475" spans="1:26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>
        <v>9.5679999999999996</v>
      </c>
      <c r="Q475" s="1"/>
      <c r="R475" s="1"/>
      <c r="S475" s="1" t="s">
        <v>1</v>
      </c>
      <c r="T475" s="1">
        <v>1</v>
      </c>
      <c r="U475" s="1"/>
      <c r="V475" s="1"/>
      <c r="W475" s="1"/>
      <c r="X475" s="1"/>
      <c r="Y475" s="1" t="s">
        <v>2</v>
      </c>
      <c r="Z475" s="1" t="s">
        <v>3</v>
      </c>
    </row>
    <row r="476" spans="1:26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>
        <v>9.5609999999999999</v>
      </c>
      <c r="Q476" s="1"/>
      <c r="R476" s="1"/>
      <c r="S476" s="1" t="s">
        <v>1</v>
      </c>
      <c r="T476" s="1">
        <v>1</v>
      </c>
      <c r="U476" s="1"/>
      <c r="V476" s="1"/>
      <c r="W476" s="1"/>
      <c r="X476" s="1"/>
      <c r="Y476" s="1" t="s">
        <v>2</v>
      </c>
      <c r="Z476" s="1" t="s">
        <v>3</v>
      </c>
    </row>
    <row r="477" spans="1:26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>
        <v>9.577</v>
      </c>
      <c r="Q477" s="1"/>
      <c r="R477" s="1"/>
      <c r="S477" s="1" t="s">
        <v>1</v>
      </c>
      <c r="T477" s="1">
        <v>1</v>
      </c>
      <c r="U477" s="1"/>
      <c r="V477" s="1"/>
      <c r="W477" s="1"/>
      <c r="X477" s="1"/>
      <c r="Y477" s="1" t="s">
        <v>2</v>
      </c>
      <c r="Z477" s="1" t="s">
        <v>3</v>
      </c>
    </row>
    <row r="478" spans="1:26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>
        <v>9.5109999999999992</v>
      </c>
      <c r="Q478" s="1"/>
      <c r="R478" s="1"/>
      <c r="S478" s="1" t="s">
        <v>1</v>
      </c>
      <c r="T478" s="1">
        <v>1</v>
      </c>
      <c r="U478" s="1"/>
      <c r="V478" s="1"/>
      <c r="W478" s="1"/>
      <c r="X478" s="1"/>
      <c r="Y478" s="1" t="s">
        <v>2</v>
      </c>
      <c r="Z478" s="1" t="s">
        <v>3</v>
      </c>
    </row>
    <row r="479" spans="1:26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>
        <v>9.5679999999999996</v>
      </c>
      <c r="Q479" s="1"/>
      <c r="R479" s="1"/>
      <c r="S479" s="1" t="s">
        <v>1</v>
      </c>
      <c r="T479" s="1">
        <v>1</v>
      </c>
      <c r="U479" s="1"/>
      <c r="V479" s="1"/>
      <c r="W479" s="1"/>
      <c r="X479" s="1"/>
      <c r="Y479" s="1" t="s">
        <v>2</v>
      </c>
      <c r="Z479" s="1" t="s">
        <v>3</v>
      </c>
    </row>
    <row r="480" spans="1:26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>
        <v>9.4920000000000009</v>
      </c>
      <c r="Q480" s="1"/>
      <c r="R480" s="1"/>
      <c r="S480" s="1" t="s">
        <v>1</v>
      </c>
      <c r="T480" s="1">
        <v>1</v>
      </c>
      <c r="U480" s="1"/>
      <c r="V480" s="1"/>
      <c r="W480" s="1"/>
      <c r="X480" s="1"/>
      <c r="Y480" s="1" t="s">
        <v>2</v>
      </c>
      <c r="Z480" s="1" t="s">
        <v>3</v>
      </c>
    </row>
    <row r="481" spans="1:26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>
        <v>9.5519999999999996</v>
      </c>
      <c r="Q481" s="1"/>
      <c r="R481" s="1"/>
      <c r="S481" s="1" t="s">
        <v>1</v>
      </c>
      <c r="T481" s="1">
        <v>1</v>
      </c>
      <c r="U481" s="1"/>
      <c r="V481" s="1"/>
      <c r="W481" s="1"/>
      <c r="X481" s="1"/>
      <c r="Y481" s="1" t="s">
        <v>2</v>
      </c>
      <c r="Z481" s="1" t="s">
        <v>3</v>
      </c>
    </row>
    <row r="482" spans="1:26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>
        <v>9.5239999999999991</v>
      </c>
      <c r="Q482" s="1"/>
      <c r="R482" s="1"/>
      <c r="S482" s="1" t="s">
        <v>1</v>
      </c>
      <c r="T482" s="1">
        <v>1</v>
      </c>
      <c r="U482" s="1"/>
      <c r="V482" s="1"/>
      <c r="W482" s="1"/>
      <c r="X482" s="1"/>
      <c r="Y482" s="1" t="s">
        <v>2</v>
      </c>
      <c r="Z482" s="1" t="s">
        <v>3</v>
      </c>
    </row>
    <row r="483" spans="1:26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>
        <v>9.5419999999999998</v>
      </c>
      <c r="Q483" s="1"/>
      <c r="R483" s="1"/>
      <c r="S483" s="1" t="s">
        <v>1</v>
      </c>
      <c r="T483" s="1">
        <v>1</v>
      </c>
      <c r="U483" s="1"/>
      <c r="V483" s="1"/>
      <c r="W483" s="1"/>
      <c r="X483" s="1"/>
      <c r="Y483" s="1" t="s">
        <v>2</v>
      </c>
      <c r="Z483" s="1" t="s">
        <v>3</v>
      </c>
    </row>
    <row r="484" spans="1:26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>
        <v>9.5690000000000008</v>
      </c>
      <c r="Q484" s="1"/>
      <c r="R484" s="1"/>
      <c r="S484" s="1" t="s">
        <v>1</v>
      </c>
      <c r="T484" s="1">
        <v>1</v>
      </c>
      <c r="U484" s="1"/>
      <c r="V484" s="1"/>
      <c r="W484" s="1"/>
      <c r="X484" s="1"/>
      <c r="Y484" s="1" t="s">
        <v>2</v>
      </c>
      <c r="Z484" s="1" t="s">
        <v>3</v>
      </c>
    </row>
    <row r="485" spans="1:26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>
        <v>9.5239999999999991</v>
      </c>
      <c r="Q485" s="1"/>
      <c r="R485" s="1"/>
      <c r="S485" s="1" t="s">
        <v>1</v>
      </c>
      <c r="T485" s="1">
        <v>1</v>
      </c>
      <c r="U485" s="1"/>
      <c r="V485" s="1"/>
      <c r="W485" s="1"/>
      <c r="X485" s="1"/>
      <c r="Y485" s="1" t="s">
        <v>2</v>
      </c>
      <c r="Z485" s="1" t="s">
        <v>3</v>
      </c>
    </row>
    <row r="486" spans="1:26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>
        <v>9.5920000000000005</v>
      </c>
      <c r="Q486" s="1"/>
      <c r="R486" s="1"/>
      <c r="S486" s="1" t="s">
        <v>1</v>
      </c>
      <c r="T486" s="1">
        <v>1</v>
      </c>
      <c r="U486" s="1"/>
      <c r="V486" s="1"/>
      <c r="W486" s="1"/>
      <c r="X486" s="1"/>
      <c r="Y486" s="1" t="s">
        <v>2</v>
      </c>
      <c r="Z486" s="1" t="s">
        <v>3</v>
      </c>
    </row>
    <row r="487" spans="1:26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>
        <v>9.5359999999999996</v>
      </c>
      <c r="Q487" s="1"/>
      <c r="R487" s="1"/>
      <c r="S487" s="1" t="s">
        <v>1</v>
      </c>
      <c r="T487" s="1">
        <v>1</v>
      </c>
      <c r="U487" s="1"/>
      <c r="V487" s="1"/>
      <c r="W487" s="1"/>
      <c r="X487" s="1"/>
      <c r="Y487" s="1" t="s">
        <v>2</v>
      </c>
      <c r="Z487" s="1" t="s">
        <v>3</v>
      </c>
    </row>
    <row r="488" spans="1:26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>
        <v>9.5440000000000005</v>
      </c>
      <c r="Q488" s="1"/>
      <c r="R488" s="1"/>
      <c r="S488" s="1" t="s">
        <v>1</v>
      </c>
      <c r="T488" s="1">
        <v>1</v>
      </c>
      <c r="U488" s="1"/>
      <c r="V488" s="1"/>
      <c r="W488" s="1"/>
      <c r="X488" s="1"/>
      <c r="Y488" s="1" t="s">
        <v>2</v>
      </c>
      <c r="Z488" s="1" t="s">
        <v>3</v>
      </c>
    </row>
    <row r="489" spans="1:26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>
        <v>9.5640000000000001</v>
      </c>
      <c r="Q489" s="1"/>
      <c r="R489" s="1"/>
      <c r="S489" s="1" t="s">
        <v>1</v>
      </c>
      <c r="T489" s="1">
        <v>1</v>
      </c>
      <c r="U489" s="1"/>
      <c r="V489" s="1"/>
      <c r="W489" s="1"/>
      <c r="X489" s="1"/>
      <c r="Y489" s="1" t="s">
        <v>2</v>
      </c>
      <c r="Z489" s="1" t="s">
        <v>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B6"/>
  <sheetViews>
    <sheetView workbookViewId="0">
      <selection activeCell="E20" sqref="E20"/>
    </sheetView>
  </sheetViews>
  <sheetFormatPr baseColWidth="10" defaultRowHeight="15" x14ac:dyDescent="0.25"/>
  <sheetData>
    <row r="1" spans="1:2" x14ac:dyDescent="0.25">
      <c r="A1">
        <v>1</v>
      </c>
    </row>
    <row r="3" spans="1:2" x14ac:dyDescent="0.25">
      <c r="A3">
        <v>1</v>
      </c>
      <c r="B3" t="s">
        <v>21</v>
      </c>
    </row>
    <row r="4" spans="1:2" x14ac:dyDescent="0.25">
      <c r="A4">
        <v>2</v>
      </c>
      <c r="B4" t="s">
        <v>22</v>
      </c>
    </row>
    <row r="5" spans="1:2" x14ac:dyDescent="0.25">
      <c r="A5">
        <v>3</v>
      </c>
      <c r="B5" t="s">
        <v>23</v>
      </c>
    </row>
    <row r="6" spans="1:2" x14ac:dyDescent="0.25">
      <c r="A6">
        <v>4</v>
      </c>
      <c r="B6" t="s">
        <v>24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P38"/>
  <sheetViews>
    <sheetView showGridLines="0" workbookViewId="0">
      <selection activeCell="J18" sqref="J18"/>
    </sheetView>
  </sheetViews>
  <sheetFormatPr baseColWidth="10" defaultRowHeight="15" x14ac:dyDescent="0.25"/>
  <cols>
    <col min="3" max="3" width="11.85546875" customWidth="1"/>
    <col min="5" max="5" width="7" customWidth="1"/>
    <col min="7" max="7" width="14" customWidth="1"/>
  </cols>
  <sheetData>
    <row r="1" spans="2:16" x14ac:dyDescent="0.25">
      <c r="P1" t="s">
        <v>25</v>
      </c>
    </row>
    <row r="2" spans="2:16" x14ac:dyDescent="0.25">
      <c r="P2" t="s">
        <v>26</v>
      </c>
    </row>
    <row r="3" spans="2:16" x14ac:dyDescent="0.25">
      <c r="C3" s="11"/>
      <c r="D3" s="11" t="s">
        <v>27</v>
      </c>
      <c r="E3" s="11" t="s">
        <v>92</v>
      </c>
      <c r="F3" s="11"/>
      <c r="G3" s="11"/>
      <c r="H3" s="11"/>
      <c r="I3" s="11"/>
      <c r="J3" s="11"/>
      <c r="K3" s="11"/>
      <c r="L3" s="11"/>
      <c r="P3" t="s">
        <v>28</v>
      </c>
    </row>
    <row r="4" spans="2:16" x14ac:dyDescent="0.25">
      <c r="C4" s="11"/>
      <c r="D4" s="11" t="s">
        <v>29</v>
      </c>
      <c r="E4" s="11" t="str">
        <f>CONCATENATE("D:\SymbioticStudies\" &amp; E5&amp;F3)</f>
        <v>D:\SymbioticStudies\SULyn</v>
      </c>
      <c r="F4" s="11"/>
      <c r="G4" s="11"/>
      <c r="H4" s="11" t="str">
        <f>+E4</f>
        <v>D:\SymbioticStudies\SULyn</v>
      </c>
      <c r="I4" s="11"/>
      <c r="J4" s="11"/>
      <c r="K4" s="11"/>
      <c r="L4" s="11"/>
      <c r="P4" t="s">
        <v>30</v>
      </c>
    </row>
    <row r="5" spans="2:16" x14ac:dyDescent="0.25">
      <c r="C5" s="11"/>
      <c r="D5" s="11" t="s">
        <v>31</v>
      </c>
      <c r="E5" s="11" t="str">
        <f>+SUBSTITUTE(E3," ","")</f>
        <v>SULyn</v>
      </c>
      <c r="F5" s="11"/>
      <c r="G5" s="11"/>
      <c r="H5" s="11"/>
      <c r="I5" s="11"/>
      <c r="J5" s="11"/>
      <c r="K5" s="11"/>
      <c r="L5" s="11"/>
      <c r="P5" t="s">
        <v>32</v>
      </c>
    </row>
    <row r="6" spans="2:16" x14ac:dyDescent="0.25">
      <c r="P6" t="s">
        <v>33</v>
      </c>
    </row>
    <row r="7" spans="2:16" x14ac:dyDescent="0.25">
      <c r="C7" s="12" t="s">
        <v>34</v>
      </c>
      <c r="D7" s="12">
        <v>0</v>
      </c>
      <c r="F7" s="11" t="s">
        <v>35</v>
      </c>
      <c r="G7" s="11">
        <f>+VLOOKUP($J$9,$B$16:$G$37,5)</f>
        <v>1</v>
      </c>
      <c r="H7" s="11"/>
      <c r="P7" t="s">
        <v>36</v>
      </c>
    </row>
    <row r="8" spans="2:16" x14ac:dyDescent="0.25">
      <c r="C8" s="12" t="s">
        <v>37</v>
      </c>
      <c r="D8" s="12">
        <v>0</v>
      </c>
      <c r="F8" s="11" t="s">
        <v>38</v>
      </c>
      <c r="G8" s="11">
        <v>500</v>
      </c>
      <c r="H8" s="11" t="s">
        <v>39</v>
      </c>
      <c r="P8" t="s">
        <v>40</v>
      </c>
    </row>
    <row r="9" spans="2:16" x14ac:dyDescent="0.25">
      <c r="C9" s="12" t="s">
        <v>41</v>
      </c>
      <c r="D9" s="12">
        <v>0</v>
      </c>
      <c r="F9" s="11" t="s">
        <v>42</v>
      </c>
      <c r="G9" s="11">
        <f>+G8/2</f>
        <v>250</v>
      </c>
      <c r="H9" s="11"/>
      <c r="J9">
        <v>4</v>
      </c>
      <c r="P9" t="s">
        <v>43</v>
      </c>
    </row>
    <row r="10" spans="2:16" x14ac:dyDescent="0.25">
      <c r="F10" s="11" t="s">
        <v>44</v>
      </c>
      <c r="G10" s="11">
        <f>+VLOOKUP($J$9,$B$16:$G$37,6)</f>
        <v>0.5</v>
      </c>
      <c r="H10" s="11"/>
      <c r="P10" t="s">
        <v>45</v>
      </c>
    </row>
    <row r="11" spans="2:16" x14ac:dyDescent="0.25">
      <c r="C11" s="11" t="s">
        <v>46</v>
      </c>
      <c r="D11" s="11">
        <v>250</v>
      </c>
      <c r="F11" s="11" t="s">
        <v>47</v>
      </c>
      <c r="G11" s="11"/>
      <c r="H11" s="11"/>
      <c r="J11" s="12"/>
      <c r="K11" s="12"/>
      <c r="P11" t="s">
        <v>48</v>
      </c>
    </row>
    <row r="12" spans="2:16" x14ac:dyDescent="0.25">
      <c r="C12" s="11" t="s">
        <v>49</v>
      </c>
      <c r="D12" s="11">
        <v>500</v>
      </c>
      <c r="F12" s="11" t="s">
        <v>50</v>
      </c>
      <c r="G12" s="11">
        <f>+VLOOKUP($J$9,$B$16:$H$37,7)</f>
        <v>12</v>
      </c>
      <c r="H12" s="11"/>
      <c r="P12" t="s">
        <v>51</v>
      </c>
    </row>
    <row r="13" spans="2:16" x14ac:dyDescent="0.25">
      <c r="C13" s="11" t="s">
        <v>52</v>
      </c>
      <c r="D13" s="13" t="str">
        <f>+VLOOKUP(E1:E13,[1]Feuil1!A3:B6,2)</f>
        <v>b</v>
      </c>
      <c r="E13" s="14">
        <v>1</v>
      </c>
      <c r="F13" s="11" t="s">
        <v>53</v>
      </c>
      <c r="G13" s="15">
        <f>+VLOOKUP($J$9,$B$16:$H$37,4)</f>
        <v>6300.32</v>
      </c>
      <c r="H13" s="11"/>
      <c r="P13" t="s">
        <v>54</v>
      </c>
    </row>
    <row r="14" spans="2:16" x14ac:dyDescent="0.25">
      <c r="F14" s="11" t="s">
        <v>55</v>
      </c>
      <c r="G14" s="16" t="str">
        <f>+VLOOKUP($J$9,$B$16:$H$37,2)</f>
        <v>[OI] 6300</v>
      </c>
      <c r="H14" s="11"/>
      <c r="P14" t="s">
        <v>56</v>
      </c>
    </row>
    <row r="15" spans="2:16" ht="36" customHeight="1" x14ac:dyDescent="0.25">
      <c r="F15" s="5" t="s">
        <v>35</v>
      </c>
      <c r="G15" s="5" t="s">
        <v>44</v>
      </c>
      <c r="H15" s="5"/>
      <c r="P15" t="s">
        <v>57</v>
      </c>
    </row>
    <row r="16" spans="2:16" x14ac:dyDescent="0.25">
      <c r="B16" s="17">
        <v>1</v>
      </c>
      <c r="C16" t="str">
        <f>+CONCATENATE(D16 &amp; " " &amp; ROUND( E16,0))</f>
        <v>Ha 6563</v>
      </c>
      <c r="D16" t="s">
        <v>58</v>
      </c>
      <c r="E16">
        <v>6562.82</v>
      </c>
      <c r="F16" s="5">
        <v>1</v>
      </c>
      <c r="G16" s="5">
        <v>0.5</v>
      </c>
      <c r="H16" s="5">
        <v>12</v>
      </c>
      <c r="P16" t="s">
        <v>59</v>
      </c>
    </row>
    <row r="17" spans="2:16" x14ac:dyDescent="0.25">
      <c r="B17" s="17">
        <v>2</v>
      </c>
      <c r="C17" t="str">
        <f t="shared" ref="C17:C34" si="0">+CONCATENATE(D17 &amp; " " &amp; ROUND( E17,0))</f>
        <v>Hb 4861</v>
      </c>
      <c r="D17" t="s">
        <v>60</v>
      </c>
      <c r="E17">
        <v>4861.34</v>
      </c>
      <c r="F17" s="5">
        <v>1.5</v>
      </c>
      <c r="G17" s="5">
        <v>0.5</v>
      </c>
      <c r="H17" s="5">
        <v>16</v>
      </c>
      <c r="P17" t="s">
        <v>61</v>
      </c>
    </row>
    <row r="18" spans="2:16" x14ac:dyDescent="0.25">
      <c r="B18">
        <v>3</v>
      </c>
      <c r="C18" t="str">
        <f t="shared" si="0"/>
        <v>Hg 4340</v>
      </c>
      <c r="D18" t="s">
        <v>62</v>
      </c>
      <c r="E18">
        <v>4340</v>
      </c>
      <c r="F18" s="5"/>
      <c r="G18" s="5"/>
      <c r="H18" s="5"/>
      <c r="P18" t="s">
        <v>63</v>
      </c>
    </row>
    <row r="19" spans="2:16" x14ac:dyDescent="0.25">
      <c r="B19" s="17">
        <v>4</v>
      </c>
      <c r="C19" t="str">
        <f t="shared" si="0"/>
        <v>[OI] 6300</v>
      </c>
      <c r="D19" t="s">
        <v>64</v>
      </c>
      <c r="E19">
        <v>6300.32</v>
      </c>
      <c r="F19" s="5">
        <v>1</v>
      </c>
      <c r="G19" s="5">
        <v>0.5</v>
      </c>
      <c r="H19" s="5">
        <v>12</v>
      </c>
      <c r="P19" t="s">
        <v>65</v>
      </c>
    </row>
    <row r="20" spans="2:16" x14ac:dyDescent="0.25">
      <c r="B20">
        <v>5</v>
      </c>
      <c r="C20" t="str">
        <f t="shared" si="0"/>
        <v>[OI] 6363</v>
      </c>
      <c r="D20" t="s">
        <v>64</v>
      </c>
      <c r="E20">
        <v>6363</v>
      </c>
      <c r="F20" s="5"/>
      <c r="G20" s="5"/>
      <c r="H20" s="5"/>
      <c r="P20" t="s">
        <v>66</v>
      </c>
    </row>
    <row r="21" spans="2:16" x14ac:dyDescent="0.25">
      <c r="B21">
        <v>6</v>
      </c>
      <c r="C21" t="str">
        <f>+CONCATENATE(D21 &amp; " " &amp; ROUND( E21,0))</f>
        <v>He I 5016</v>
      </c>
      <c r="D21" t="s">
        <v>67</v>
      </c>
      <c r="E21">
        <v>5015.68</v>
      </c>
      <c r="F21" s="5">
        <v>2</v>
      </c>
      <c r="G21" s="5">
        <v>1</v>
      </c>
      <c r="H21" s="5">
        <v>40</v>
      </c>
      <c r="P21" t="s">
        <v>68</v>
      </c>
    </row>
    <row r="22" spans="2:16" x14ac:dyDescent="0.25">
      <c r="B22" s="17">
        <v>7</v>
      </c>
      <c r="C22" t="str">
        <f t="shared" si="0"/>
        <v>He I 5876</v>
      </c>
      <c r="D22" t="s">
        <v>67</v>
      </c>
      <c r="E22">
        <v>5875.65</v>
      </c>
      <c r="F22" s="5">
        <v>2</v>
      </c>
      <c r="G22" s="5">
        <v>0.2</v>
      </c>
      <c r="H22" s="5">
        <v>15</v>
      </c>
      <c r="P22" t="s">
        <v>69</v>
      </c>
    </row>
    <row r="23" spans="2:16" x14ac:dyDescent="0.25">
      <c r="B23">
        <v>8</v>
      </c>
      <c r="C23" t="str">
        <f t="shared" si="0"/>
        <v>He I 6678</v>
      </c>
      <c r="D23" t="s">
        <v>67</v>
      </c>
      <c r="E23">
        <v>6678.15</v>
      </c>
      <c r="F23" s="5">
        <v>1</v>
      </c>
      <c r="G23" s="5">
        <v>0.2</v>
      </c>
      <c r="H23" s="5">
        <v>25</v>
      </c>
      <c r="P23" t="s">
        <v>70</v>
      </c>
    </row>
    <row r="24" spans="2:16" x14ac:dyDescent="0.25">
      <c r="B24">
        <v>9</v>
      </c>
      <c r="C24" t="str">
        <f t="shared" si="0"/>
        <v>He I 7065</v>
      </c>
      <c r="D24" t="s">
        <v>67</v>
      </c>
      <c r="E24">
        <v>7065</v>
      </c>
      <c r="F24" s="5">
        <v>6</v>
      </c>
      <c r="G24" s="5">
        <v>2</v>
      </c>
      <c r="H24" s="5">
        <v>110</v>
      </c>
      <c r="P24" t="s">
        <v>71</v>
      </c>
    </row>
    <row r="25" spans="2:16" x14ac:dyDescent="0.25">
      <c r="B25">
        <v>10</v>
      </c>
      <c r="C25" t="str">
        <f t="shared" si="0"/>
        <v>He II 4686</v>
      </c>
      <c r="D25" t="s">
        <v>72</v>
      </c>
      <c r="E25">
        <v>4685.68</v>
      </c>
      <c r="F25" s="5">
        <v>20</v>
      </c>
      <c r="G25" s="5">
        <v>5</v>
      </c>
      <c r="H25" s="5">
        <v>350</v>
      </c>
      <c r="P25" t="s">
        <v>73</v>
      </c>
    </row>
    <row r="26" spans="2:16" x14ac:dyDescent="0.25">
      <c r="B26" s="17">
        <v>11</v>
      </c>
      <c r="C26" t="str">
        <f t="shared" si="0"/>
        <v>[O III] 5007</v>
      </c>
      <c r="D26" t="s">
        <v>74</v>
      </c>
      <c r="E26">
        <v>5006.84</v>
      </c>
      <c r="F26" s="5">
        <v>2</v>
      </c>
      <c r="G26" s="5">
        <v>1</v>
      </c>
      <c r="H26" s="5">
        <v>22</v>
      </c>
      <c r="P26" t="s">
        <v>75</v>
      </c>
    </row>
    <row r="27" spans="2:16" x14ac:dyDescent="0.25">
      <c r="B27">
        <v>12</v>
      </c>
      <c r="C27" t="str">
        <f t="shared" si="0"/>
        <v>[O III] 4959</v>
      </c>
      <c r="D27" t="s">
        <v>74</v>
      </c>
      <c r="E27">
        <v>4959</v>
      </c>
      <c r="F27" s="5">
        <v>1</v>
      </c>
      <c r="G27" s="5">
        <v>1</v>
      </c>
      <c r="H27" s="5">
        <v>12</v>
      </c>
      <c r="P27" t="s">
        <v>76</v>
      </c>
    </row>
    <row r="28" spans="2:16" x14ac:dyDescent="0.25">
      <c r="B28">
        <v>13</v>
      </c>
      <c r="C28" t="str">
        <f t="shared" si="0"/>
        <v>[O III] 4363</v>
      </c>
      <c r="D28" t="s">
        <v>74</v>
      </c>
      <c r="E28">
        <v>4363</v>
      </c>
      <c r="F28" s="5"/>
      <c r="G28" s="5"/>
      <c r="H28" s="5"/>
      <c r="P28" t="s">
        <v>77</v>
      </c>
    </row>
    <row r="29" spans="2:16" x14ac:dyDescent="0.25">
      <c r="B29">
        <v>14</v>
      </c>
      <c r="C29" t="str">
        <f t="shared" si="0"/>
        <v>Fe II 4924</v>
      </c>
      <c r="D29" t="s">
        <v>78</v>
      </c>
      <c r="E29">
        <v>4923.92</v>
      </c>
      <c r="F29" s="5">
        <v>1</v>
      </c>
      <c r="G29" s="5">
        <v>1</v>
      </c>
      <c r="H29" s="5">
        <v>25</v>
      </c>
      <c r="P29" t="s">
        <v>79</v>
      </c>
    </row>
    <row r="30" spans="2:16" x14ac:dyDescent="0.25">
      <c r="B30" s="17">
        <v>15</v>
      </c>
      <c r="C30" t="str">
        <f t="shared" si="0"/>
        <v>Fe II 5018</v>
      </c>
      <c r="D30" t="s">
        <v>78</v>
      </c>
      <c r="E30">
        <v>5018.43</v>
      </c>
      <c r="F30" s="5">
        <v>2</v>
      </c>
      <c r="G30" s="5">
        <v>1</v>
      </c>
      <c r="H30" s="5">
        <v>50</v>
      </c>
      <c r="P30" t="s">
        <v>80</v>
      </c>
    </row>
    <row r="31" spans="2:16" x14ac:dyDescent="0.25">
      <c r="B31">
        <v>16</v>
      </c>
      <c r="C31" t="str">
        <f t="shared" si="0"/>
        <v>Na ID 5890</v>
      </c>
      <c r="D31" t="s">
        <v>81</v>
      </c>
      <c r="E31">
        <v>5889.95</v>
      </c>
      <c r="F31" s="5">
        <v>1</v>
      </c>
      <c r="G31" s="5">
        <v>-0.2</v>
      </c>
      <c r="H31" s="5">
        <v>6</v>
      </c>
      <c r="P31" t="s">
        <v>82</v>
      </c>
    </row>
    <row r="32" spans="2:16" x14ac:dyDescent="0.25">
      <c r="B32">
        <v>17</v>
      </c>
      <c r="F32" s="5"/>
      <c r="G32" s="5"/>
      <c r="H32" s="5"/>
      <c r="P32" t="s">
        <v>83</v>
      </c>
    </row>
    <row r="33" spans="2:16" x14ac:dyDescent="0.25">
      <c r="B33">
        <v>18</v>
      </c>
      <c r="C33" t="str">
        <f t="shared" si="0"/>
        <v>[Fe VII] 6087</v>
      </c>
      <c r="D33" t="s">
        <v>84</v>
      </c>
      <c r="E33">
        <v>6087</v>
      </c>
      <c r="F33" s="5">
        <v>2</v>
      </c>
      <c r="G33" s="5">
        <v>1</v>
      </c>
      <c r="H33" s="5">
        <v>40</v>
      </c>
      <c r="P33" t="s">
        <v>85</v>
      </c>
    </row>
    <row r="34" spans="2:16" x14ac:dyDescent="0.25">
      <c r="B34">
        <v>19</v>
      </c>
      <c r="C34" t="str">
        <f t="shared" si="0"/>
        <v>[Fe VII] 5721</v>
      </c>
      <c r="D34" t="s">
        <v>84</v>
      </c>
      <c r="E34">
        <v>5721</v>
      </c>
      <c r="F34" s="5">
        <v>2</v>
      </c>
      <c r="G34" s="5">
        <v>1</v>
      </c>
      <c r="H34" s="5">
        <v>45</v>
      </c>
      <c r="P34" t="s">
        <v>86</v>
      </c>
    </row>
    <row r="35" spans="2:16" x14ac:dyDescent="0.25">
      <c r="B35">
        <v>20</v>
      </c>
      <c r="D35" t="s">
        <v>84</v>
      </c>
      <c r="P35" t="s">
        <v>87</v>
      </c>
    </row>
    <row r="36" spans="2:16" x14ac:dyDescent="0.25">
      <c r="B36">
        <v>21</v>
      </c>
      <c r="D36" t="s">
        <v>88</v>
      </c>
      <c r="P36" t="s">
        <v>89</v>
      </c>
    </row>
    <row r="37" spans="2:16" x14ac:dyDescent="0.25">
      <c r="B37">
        <v>22</v>
      </c>
      <c r="D37" t="s">
        <v>88</v>
      </c>
      <c r="P37" t="s">
        <v>90</v>
      </c>
    </row>
    <row r="38" spans="2:16" x14ac:dyDescent="0.25">
      <c r="P38" t="s">
        <v>91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Drop Down 1">
              <controlPr defaultSize="0" autoLine="0" autoPict="0" macro="[2]!m">
                <anchor moveWithCells="1">
                  <from>
                    <xdr:col>9</xdr:col>
                    <xdr:colOff>0</xdr:colOff>
                    <xdr:row>6</xdr:row>
                    <xdr:rowOff>0</xdr:rowOff>
                  </from>
                  <to>
                    <xdr:col>10</xdr:col>
                    <xdr:colOff>457200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2]!m">
                <anchor moveWithCells="1" sizeWithCells="1">
                  <from>
                    <xdr:col>10</xdr:col>
                    <xdr:colOff>552450</xdr:colOff>
                    <xdr:row>5</xdr:row>
                    <xdr:rowOff>180975</xdr:rowOff>
                  </from>
                  <to>
                    <xdr:col>11</xdr:col>
                    <xdr:colOff>476250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Drop Down 3">
              <controlPr defaultSize="0" autoLine="0" autoPict="0">
                <anchor moveWithCells="1">
                  <from>
                    <xdr:col>3</xdr:col>
                    <xdr:colOff>104775</xdr:colOff>
                    <xdr:row>12</xdr:row>
                    <xdr:rowOff>9525</xdr:rowOff>
                  </from>
                  <to>
                    <xdr:col>3</xdr:col>
                    <xdr:colOff>638175</xdr:colOff>
                    <xdr:row>13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Index</vt:lpstr>
      <vt:lpstr>Feuil2</vt:lpstr>
      <vt:lpstr>V</vt:lpstr>
      <vt:lpstr>Vis</vt:lpstr>
      <vt:lpstr>B</vt:lpstr>
      <vt:lpstr>Feuil1</vt:lpstr>
      <vt:lpstr>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francois teyssier</dc:creator>
  <cp:lastModifiedBy>francois teyssier</cp:lastModifiedBy>
  <cp:lastPrinted>2017-04-09T07:26:17Z</cp:lastPrinted>
  <dcterms:created xsi:type="dcterms:W3CDTF">2015-04-04T15:31:14Z</dcterms:created>
  <dcterms:modified xsi:type="dcterms:W3CDTF">2017-08-05T06:51:11Z</dcterms:modified>
</cp:coreProperties>
</file>